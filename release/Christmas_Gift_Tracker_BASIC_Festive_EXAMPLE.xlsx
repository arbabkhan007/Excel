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🛍️ Shopping List" sheetId="4" r:id="rId4"/>
    <sheet name="⚙️ Setup" sheetId="5" r:id="rId5"/>
    <sheet name="📖 Start Here" sheetId="6" r:id="rId6"/>
    <sheet name="_Data" sheetId="7" state="hidden" r:id="rId7"/>
  </sheets>
  <definedNames>
    <definedName name="_xlnm._FilterDatabase" localSheetId="1" hidden="1">'🎁 Gift Tracker'!$B$7:$T$67</definedName>
    <definedName name="_xlnm._FilterDatabase" localSheetId="3" hidden="1">'🛍️ Shopping List'!$B$7:$M$52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4">'⚙️ Setup'!$A$1:$J$29</definedName>
    <definedName name="_xlnm.Print_Area" localSheetId="1">'🎁 Gift Tracker'!$A$1:$T$78</definedName>
    <definedName name="_xlnm.Print_Area" localSheetId="0">'🎄 Dashboard'!$A$1:$M$86</definedName>
    <definedName name="_xlnm.Print_Area" localSheetId="2">'💰 Budget'!$A$1:$K$52</definedName>
    <definedName name="_xlnm.Print_Area" localSheetId="5">'📖 Start Here'!$A$1:$L$110</definedName>
    <definedName name="_xlnm.Print_Area" localSheetId="3">'🛍️ Shopping List'!$A$1:$M$63</definedName>
    <definedName name="_xlnm.Print_Titles" localSheetId="4">'⚙️ Setup'!$1:$5</definedName>
    <definedName name="_xlnm.Print_Titles" localSheetId="1">'🎁 Gift Tracker'!$1:$7</definedName>
    <definedName name="_xlnm.Print_Titles" localSheetId="2">'💰 Budget'!$1:$14</definedName>
    <definedName name="_xlnm.Print_Titles" localSheetId="3">'🛍️ Shopping List'!$1:$7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<sst xmlns="http://schemas.openxmlformats.org/spreadsheetml/2006/main" count="864" uniqueCount="567">
  <si>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</si>
  <si>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</si>
  <si>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</si>
  <si>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</si>
  <si>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</si>
  <si>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</si>
  <si>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</si>
  <si>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</si>
  <si>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</si>
  <si>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</si>
  <si>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</si>
  <si>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</si>
  <si>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</si>
  <si>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</si>
  <si>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</si>
  <si>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</si>
  <si>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</si>
  <si>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</si>
  <si>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</si>
  <si>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</si>
  <si>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</si>
  <si>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</si>
  <si>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</si>
  <si>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</si>
  <si>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</si>
  <si>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</si>
  <si>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</si>
  <si>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</si>
  <si>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</si>
  <si>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</si>
  <si>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</si>
  <si>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</si>
  <si>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</si>
  <si>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</si>
  <si>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</si>
  <si>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</si>
  <si>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</si>
  <si>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</si>
  <si>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</si>
  <si>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</si>
  <si>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</si>
  <si>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</si>
  <si>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</si>
  <si>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</si>
  <si>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</si>
  <si>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</si>
  <si>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</si>
  <si>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</si>
  <si>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</si>
  <si>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</si>
  <si>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</si>
  <si>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</si>
  <si>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</si>
  <si>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</si>
  <si>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</si>
  <si>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</si>
  <si>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</si>
  <si>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</si>
  <si>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</si>
  <si>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</si>
  <si>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</si>
  <si>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</si>
  <si>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</si>
  <si>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</si>
  <si>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</si>
  <si>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</si>
  <si>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</si>
  <si>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</si>
  <si>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</si>
  <si>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</si>
  <si>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</si>
  <si>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</si>
  <si>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</si>
  <si>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</si>
  <si>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</si>
  <si>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</si>
  <si>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</si>
  <si>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</si>
  <si>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</si>
  <si>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</si>
  <si>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</si>
  <si>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</si>
  <si>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</si>
  <si>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</si>
  <si>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</si>
  <si>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</si>
  <si>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</si>
  <si>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</si>
  <si>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</si>
  <si>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</si>
  <si>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</si>
  <si>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</si>
  <si>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</si>
  <si>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</si>
  <si>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</si>
  <si>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</si>
  <si>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</si>
  <si>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</si>
  <si>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</si>
  <si>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</si>
  <si>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</si>
  <si>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</si>
  <si>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</si>
  <si>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</si>
  <si>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</si>
  <si>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</si>
  <si>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</si>
  <si>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</si>
  <si>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</si>
  <si>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</si>
  <si>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</si>
  <si>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</si>
  <si>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</si>
  <si>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</si>
  <si>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</si>
  <si>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</si>
  <si>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</si>
  <si>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</si>
  <si>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</si>
  <si>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</si>
  <si>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</si>
  <si>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</si>
  <si>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</si>
  <si>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</si>
  <si>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</si>
  <si>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</si>
  <si>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</si>
  <si>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</si>
  <si>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</si>
  <si>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</si>
  <si>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</si>
  <si>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</si>
  <si>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</si>
  <si>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</si>
  <si>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</si>
  <si>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</si>
  <si>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</si>
  <si>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</si>
  <si>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</si>
  <si>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</si>
  <si>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</si>
  <si>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</si>
  <si>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</si>
  <si>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</si>
  <si>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</si>
  <si>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</si>
  <si>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</si>
  <si>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</si>
  <si>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</si>
  <si>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</si>
  <si>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</si>
  <si>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</si>
  <si>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</si>
  <si>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</si>
  <si>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</si>
  <si>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</si>
  <si>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</si>
  <si>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</si>
  <si>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</si>
  <si>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</si>
  <si>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</si>
  <si>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</si>
  <si>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</si>
  <si>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</si>
  <si>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</si>
  <si>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</si>
  <si>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</si>
  <si>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</si>
  <si>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</si>
  <si>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</si>
  <si>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</si>
  <si>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</si>
  <si>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</si>
  <si>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</si>
  <si>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</si>
  <si>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</si>
  <si>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</si>
  <si>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</si>
  <si>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</si>
  <si>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</si>
  <si>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</si>
  <si>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</si>
  <si>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</si>
  <si>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</si>
  <si>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</si>
  <si>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</si>
  <si>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</si>
  <si>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</si>
  <si>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</si>
  <si>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</si>
  <si>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</si>
  <si>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</si>
  <si>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</si>
  <si>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</si>
  <si>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</si>
  <si>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</si>
  <si>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</si>
  <si>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</si>
  <si>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</si>
  <si>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</si>
  <si>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</si>
  <si>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</si>
  <si>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</si>
  <si>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</si>
  <si>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</si>
  <si>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</si>
  <si>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</si>
  <si>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</si>
  <si>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Uncle Bill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</si>
  <si>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</si>
  <si>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</si>
  <si>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</si>
  <si>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</si>
  <si>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</si>
  <si>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</si>
  <si>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</si>
  <si>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</si>
  <si>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</si>
  <si>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</si>
  <si>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</si>
  <si>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</si>
  <si>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</si>
  <si>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</si>
  <si>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</si>
  <si>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</si>
  <si>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</si>
  <si>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</si>
  <si>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</si>
  <si>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</si>
  <si>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</si>
  <si>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</si>
  <si>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</si>
  <si>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</si>
  <si>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</si>
  <si>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</si>
  <si>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</si>
  <si>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</si>
  <si>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</si>
  <si>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</si>
  <si>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</si>
  <si>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</si>
  <si>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</si>
  <si>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</si>
  <si>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</si>
  <si>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</si>
  <si>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</si>
  <si>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</si>
  <si>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</si>
  <si>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</si>
  <si>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</si>
  <si>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</si>
  <si>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🛍️ Shop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</si>
  <si>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</si>
  <si>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</si>
  <si>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</si>
  <si>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</si>
  <si>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</si>
  <si>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</si>
  <si>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</si>
  <si>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</si>
  <si>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</si>
  <si>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</si>
  <si>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</si>
  <si>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</si>
  <si>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</si>
  <si>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</si>
  <si>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</si>
  <si>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</si>
  <si>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</si>
  <si>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</si>
  <si>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</si>
  <si>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</si>
  <si>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</si>
  <si>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>Cashmere scarf</t>
  </si>
  <si>
    <t>https://www.johnlewis.com</t>
  </si>
  <si>
    <t>Wanted burgundy or cream</t>
  </si>
  <si>
    <t>Spa gift set</t>
  </si>
  <si>
    <t>https://www.sephora.com</t>
  </si>
  <si>
    <t>Leather wallet</t>
  </si>
  <si>
    <t>https://www.amazon.com</t>
  </si>
  <si>
    <t>Engraved initials</t>
  </si>
  <si>
    <t>Whisky tasting set</t>
  </si>
  <si>
    <t>https://www.notonthehighstreet.com</t>
  </si>
  <si>
    <t>Digital photo frame</t>
  </si>
  <si>
    <t>Pre-load family photos</t>
  </si>
  <si>
    <t>Chunky knitted blanket</t>
  </si>
  <si>
    <t>https://www.etsy.com</t>
  </si>
  <si>
    <t>Crossword book bundle</t>
  </si>
  <si>
    <t>Heated slippers</t>
  </si>
  <si>
    <t>Gold hoop earrings</t>
  </si>
  <si>
    <t>Bath bomb gift box</t>
  </si>
  <si>
    <t>Check the winter collection</t>
  </si>
  <si>
    <t>Wireless earbuds</t>
  </si>
  <si>
    <t>https://www.bestbuy.com</t>
  </si>
  <si>
    <t>Express delivery paid</t>
  </si>
  <si>
    <t>Craft beer hamper</t>
  </si>
  <si>
    <t>LEGO Friends set</t>
  </si>
  <si>
    <t>Age 8 - checked the age guide</t>
  </si>
  <si>
    <t>Art supplies case</t>
  </si>
  <si>
    <t>Dinosaur museum tickets</t>
  </si>
  <si>
    <t>Print the voucher</t>
  </si>
  <si>
    <t>Graphic novel bundle</t>
  </si>
  <si>
    <t>Ask Emily what he is reading</t>
  </si>
  <si>
    <t>Weekend getaway</t>
  </si>
  <si>
    <t>Booked, no wrapping!</t>
  </si>
  <si>
    <t>Engraved watch</t>
  </si>
  <si>
    <t>Scented candle trio</t>
  </si>
  <si>
    <t>Baking cookbook</t>
  </si>
  <si>
    <t>Strategy board game</t>
  </si>
  <si>
    <t>https://www.target.com</t>
  </si>
  <si>
    <t>Coffee bean subscription</t>
  </si>
  <si>
    <t>3-month subscription</t>
  </si>
  <si>
    <t>Silk scarf</t>
  </si>
  <si>
    <t>https://www.marksandspencer.com</t>
  </si>
  <si>
    <t>Garden gloves &amp; tool set</t>
  </si>
  <si>
    <t>Novelty reindeer mug</t>
  </si>
  <si>
    <t>Office Secret Santa - $15 limit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</si>
  <si>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</si>
  <si>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</si>
  <si>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</si>
  <si>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</si>
  <si>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</si>
  <si>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</si>
  <si>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</si>
  <si>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</si>
  <si>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</si>
  <si>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</si>
  <si>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</si>
  <si>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</si>
  <si>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</si>
  <si>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</si>
  <si>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</si>
  <si>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</si>
  <si>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</si>
  <si>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</si>
  <si>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</si>
  <si>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</si>
  <si>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</si>
  <si>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</si>
  <si>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</si>
  <si>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</si>
  <si>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</si>
  <si>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</si>
  <si>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</si>
  <si>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</si>
  <si>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</si>
  <si>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</si>
  <si>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</si>
  <si>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</si>
  <si>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</si>
  <si>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</si>
  <si>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</si>
  <si>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</si>
  <si>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</si>
  <si>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</si>
  <si>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</si>
  <si>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</si>
  <si>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</si>
  <si>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</si>
  <si>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</si>
  <si>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</si>
  <si>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- 3 roll pack</t>
  </si>
  <si>
    <t>Gold foil design</t>
  </si>
  <si>
    <t>Ribbon - red &amp; gold</t>
  </si>
  <si>
    <t>Gift tags (pack of 50)</t>
  </si>
  <si>
    <t>Hand-lettered</t>
  </si>
  <si>
    <t>Sticky tape &amp; scissors</t>
  </si>
  <si>
    <t>Tissue paper bundle</t>
  </si>
  <si>
    <t>Christmas cards (box of 30)</t>
  </si>
  <si>
    <t>Stamps - book of 30</t>
  </si>
  <si>
    <t>Post office</t>
  </si>
  <si>
    <t>Thank-you notes</t>
  </si>
  <si>
    <t>For January</t>
  </si>
  <si>
    <t>Plain flour</t>
  </si>
  <si>
    <t>Grocery store</t>
  </si>
  <si>
    <t>Cookie cutters set</t>
  </si>
  <si>
    <t>Cake decorating sprinkles</t>
  </si>
  <si>
    <t>Chocolate for stockings</t>
  </si>
  <si>
    <t>Candy canes</t>
  </si>
  <si>
    <t>Christmas crackers</t>
  </si>
  <si>
    <t>Napkins &amp; party plates</t>
  </si>
  <si>
    <t>Tree baubles - gold</t>
  </si>
  <si>
    <t>Fairy lights (warm white)</t>
  </si>
  <si>
    <t>Wreath for the front door</t>
  </si>
  <si>
    <t>Local market</t>
  </si>
  <si>
    <t>Turkey &amp; trimmings</t>
  </si>
  <si>
    <t>Order by 18 Dec</t>
  </si>
  <si>
    <t>Sparkling cider</t>
  </si>
  <si>
    <t>Chocolate selection boxes</t>
  </si>
  <si>
    <t>For neighbours &amp; teachers</t>
  </si>
  <si>
    <t>Petrol / parking for the trip</t>
  </si>
  <si>
    <t>Shell</t>
  </si>
  <si>
    <t>Food bank donation</t>
  </si>
  <si>
    <t>Local charity</t>
  </si>
  <si>
    <t>Gift bags (spares)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</si>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</sst>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4" formatCode="0%"/>
    <numFmt numFmtId="167" formatCode="#,##0"/>
    <numFmt numFmtId="164" formatCode="0%"/>
    <numFmt numFmtId="168" formatCode="#,##0.00"/>
    <numFmt numFmtId="168" formatCode="#,##0.00"/>
    <numFmt numFmtId="164" formatCode="0%"/>
    <numFmt numFmtId="169" formatCode="dd mmm yyyy"/>
    <numFmt numFmtId="167" formatCode="#,##0"/>
    <numFmt numFmtId="168" formatCode="#,##0.00"/>
    <numFmt numFmtId="169" formatCode="dd mmm yyyy"/>
    <numFmt numFmtId="168" formatCode="#,##0.00"/>
    <numFmt numFmtId="164" formatCode="0%"/>
    <numFmt numFmtId="167" formatCode="#,##0"/>
    <numFmt numFmtId="167" formatCode="#,##0"/>
    <numFmt numFmtId="170" formatCode="@"/>
    <numFmt numFmtId="169" formatCode="dd mmm yyyy"/>
    <numFmt numFmtId="169" formatCode="dd mmm yyyy"/>
    <numFmt numFmtId="168" formatCode="#,##0.00"/>
    <numFmt numFmtId="164" formatCode="0%"/>
    <numFmt numFmtId="168" formatCode="#,##0.00"/>
    <numFmt numFmtId="164" formatCode="0%"/>
    <numFmt numFmtId="169" formatCode="dd mmm yyyy"/>
    <numFmt numFmtId="164" formatCode="0%"/>
    <numFmt numFmtId="168" formatCode="#,##0.00"/>
  </numFmts>
  <fonts count="62">
    <font>
      <sz val="11"/>
      <color theme="1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BF2DA"/>
      <name val="Georgia"/>
      <family val="2"/>
    </font>
    <font>
      <i/>
      <sz val="10"/>
      <color rgb="FF33261C"/>
      <name val="Calibri"/>
      <family val="2"/>
      <scheme val="minor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22"/>
      <color rgb="FF14432A"/>
      <name val="Georgia"/>
      <family val="2"/>
    </font>
    <font>
      <b/>
      <sz val="22"/>
      <color rgb="FF7B1E28"/>
      <name val="Georgia"/>
      <family val="2"/>
    </font>
    <font>
      <b/>
      <sz val="22"/>
      <color rgb="FF2F7D4F"/>
      <name val="Georgia"/>
      <family val="2"/>
    </font>
    <font>
      <b/>
      <sz val="22"/>
      <color rgb="FFB8912F"/>
      <name val="Georgia"/>
      <family val="2"/>
    </font>
    <font>
      <b/>
      <sz val="10"/>
      <color rgb="FF33261C"/>
      <name val="Calibri"/>
      <family val="2"/>
      <scheme val="minor"/>
    </font>
    <font>
      <b/>
      <sz val="13"/>
      <color rgb="FF1E6B45"/>
      <name val="Consolas"/>
      <family val="2"/>
    </font>
    <font>
      <b/>
      <sz val="13"/>
      <color rgb="FF7B1E28"/>
      <name val="Consolas"/>
      <family val="2"/>
    </font>
    <font>
      <b/>
      <sz val="22"/>
      <color rgb="FF2A5D8F"/>
      <name val="Georgia"/>
      <family val="2"/>
    </font>
    <font>
      <b/>
      <sz val="22"/>
      <color rgb="FFB4761A"/>
      <name val="Georgia"/>
      <family val="2"/>
    </font>
    <font>
      <b/>
      <sz val="22"/>
      <color rgb="FF6C3A6E"/>
      <name val="Georgia"/>
      <family val="2"/>
    </font>
    <font>
      <b/>
      <sz val="22"/>
      <color rgb="FF1E6B45"/>
      <name val="Georgia"/>
      <family val="2"/>
    </font>
    <font>
      <b/>
      <sz val="13"/>
      <color rgb="FF33261C"/>
      <name val="Georgia"/>
      <family val="2"/>
    </font>
    <font>
      <sz val="10.5"/>
      <color rgb="FF33261C"/>
      <name val="Calibri"/>
      <family val="2"/>
      <scheme val="minor"/>
    </font>
    <font>
      <b/>
      <sz val="10"/>
      <color rgb="FF7B1E28"/>
      <name val="Calibri"/>
      <family val="2"/>
      <scheme val="minor"/>
    </font>
    <font>
      <sz val="10"/>
      <color rgb="FF33261C"/>
      <name val="Calibri"/>
      <family val="2"/>
      <scheme val="minor"/>
    </font>
    <font>
      <b/>
      <sz val="10"/>
      <color rgb="FF14432A"/>
      <name val="Calibri"/>
      <family val="2"/>
      <scheme val="minor"/>
    </font>
    <font>
      <b/>
      <sz val="12"/>
      <color rgb="FF14432A"/>
      <name val="Georgia"/>
      <family val="2"/>
    </font>
    <font>
      <b/>
      <sz val="10"/>
      <color rgb="FFFFFFFF"/>
      <name val="Calibri"/>
      <family val="2"/>
      <scheme val="minor"/>
    </font>
    <font>
      <b/>
      <sz val="10.5"/>
      <color rgb="FF33261C"/>
      <name val="Calibri"/>
      <family val="2"/>
      <scheme val="minor"/>
    </font>
    <font>
      <sz val="10.5"/>
      <color rgb="FF33261C"/>
      <name val="Calibri"/>
      <family val="2"/>
      <scheme val="minor"/>
    </font>
    <font>
      <b/>
      <sz val="10.5"/>
      <color rgb="FF14432A"/>
      <name val="Calibri"/>
      <family val="2"/>
      <scheme val="minor"/>
    </font>
    <font>
      <b/>
      <sz val="10"/>
      <color rgb="FF1E6B45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BF2DA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A7A6D"/>
      <name val="Calibri"/>
      <family val="2"/>
      <scheme val="minor"/>
    </font>
    <font>
      <b/>
      <sz val="20"/>
      <color rgb="FF14432A"/>
      <name val="Georgia"/>
      <family val="2"/>
    </font>
    <font>
      <i/>
      <sz val="10.5"/>
      <color rgb="FF8A7A6D"/>
      <name val="Calibri"/>
      <family val="2"/>
      <scheme val="minor"/>
    </font>
    <font>
      <b/>
      <sz val="10.5"/>
      <color rgb="FF2F7D4F"/>
      <name val="Calibri"/>
      <family val="2"/>
      <scheme val="minor"/>
    </font>
    <font>
      <b/>
      <sz val="10.5"/>
      <color rgb="FF7B1E28"/>
      <name val="Calibri"/>
      <family val="2"/>
      <scheme val="minor"/>
    </font>
    <font>
      <b/>
      <sz val="10.5"/>
      <color rgb="FF2A5D8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1E6B45"/>
      <name val="Calibri"/>
      <family val="2"/>
      <scheme val="minor"/>
    </font>
    <font>
      <sz val="9"/>
      <color rgb="FF8A7A6D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14432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A7A6D"/>
      <name val="Calibri"/>
      <family val="2"/>
      <scheme val="minor"/>
    </font>
    <font>
      <b/>
      <sz val="19"/>
      <color rgb="FF14432A"/>
      <name val="Georgia"/>
      <family val="2"/>
    </font>
    <font>
      <b/>
      <sz val="19"/>
      <color rgb="FF7B1E28"/>
      <name val="Georgia"/>
      <family val="2"/>
    </font>
    <font>
      <b/>
      <sz val="19"/>
      <color rgb="FF2F7D4F"/>
      <name val="Georgia"/>
      <family val="2"/>
    </font>
    <font>
      <b/>
      <sz val="10"/>
      <color rgb="FF2A5D8F"/>
      <name val="Calibri"/>
      <family val="2"/>
      <scheme val="minor"/>
    </font>
    <font>
      <b/>
      <sz val="10"/>
      <color rgb="FFB02A2A"/>
      <name val="Calibri"/>
      <family val="2"/>
      <scheme val="minor"/>
    </font>
    <font>
      <b/>
      <sz val="10"/>
      <color rgb="FFB8912F"/>
      <name val="Calibri"/>
      <family val="2"/>
      <scheme val="minor"/>
    </font>
    <font>
      <b/>
      <sz val="10.5"/>
      <color rgb="FFB8912F"/>
      <name val="Calibri"/>
      <family val="2"/>
      <scheme val="minor"/>
    </font>
    <font>
      <b/>
      <sz val="11"/>
      <color rgb="FF33261C"/>
      <name val="Calibri"/>
      <family val="2"/>
      <scheme val="minor"/>
    </font>
    <font>
      <b/>
      <sz val="11"/>
      <color rgb="FF14432A"/>
      <name val="Calibri"/>
      <family val="2"/>
      <scheme val="minor"/>
    </font>
    <font>
      <i/>
      <sz val="9.5"/>
      <color rgb="FF8A7A6D"/>
      <name val="Calibri"/>
      <family val="2"/>
      <scheme val="minor"/>
    </font>
    <font>
      <b/>
      <sz val="11"/>
      <color rgb="FF1E6B45"/>
      <name val="Calibri"/>
      <family val="2"/>
      <scheme val="minor"/>
    </font>
    <font>
      <b/>
      <sz val="28"/>
      <color rgb="FF14432A"/>
      <name val="Georgia"/>
      <family val="2"/>
    </font>
    <font>
      <i/>
      <sz val="12"/>
      <color rgb="FF8A7A6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33261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261C"/>
      <name val="Calibri"/>
      <family val="2"/>
      <scheme val="minor"/>
    </font>
    <font>
      <b/>
      <sz val="9"/>
      <color rgb="FF14432A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9EF"/>
        <bgColor indexed="64"/>
      </patternFill>
    </fill>
    <fill>
      <patternFill patternType="solid">
        <fgColor rgb="FF14432A"/>
        <bgColor indexed="64"/>
      </patternFill>
    </fill>
    <fill>
      <patternFill patternType="solid">
        <fgColor rgb="FF7B1E28"/>
        <bgColor indexed="64"/>
      </patternFill>
    </fill>
    <fill>
      <patternFill patternType="solid">
        <fgColor rgb="FFFBF2DA"/>
        <bgColor indexed="64"/>
      </patternFill>
    </fill>
    <fill>
      <patternFill patternType="solid">
        <fgColor rgb="FF2F7D4F"/>
        <bgColor indexed="64"/>
      </patternFill>
    </fill>
    <fill>
      <patternFill patternType="solid">
        <fgColor rgb="FFB891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1E6B45"/>
        <bgColor indexed="64"/>
      </patternFill>
    </fill>
    <fill>
      <patternFill patternType="solid">
        <fgColor rgb="FFE4EFE6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6E4E4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DDEBE1"/>
        <bgColor indexed="64"/>
      </patternFill>
    </fill>
    <fill>
      <patternFill patternType="solid">
        <fgColor rgb="FFFDFAF3"/>
        <bgColor indexed="64"/>
      </patternFill>
    </fill>
    <fill>
      <patternFill patternType="solid">
        <fgColor rgb="FFB02A2A"/>
        <bgColor indexed="64"/>
      </patternFill>
    </fill>
    <fill>
      <patternFill patternType="solid">
        <fgColor rgb="FFF8E2E2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8A7A6D"/>
        <bgColor indexed="64"/>
      </patternFill>
    </fill>
  </fills>
  <borders count="24">
    <border>
      <left/>
      <right/>
      <top/>
      <bottom/>
      <diagonal/>
    </border>
    <border>
      <left style="thin">
        <color rgb="FF14432A"/>
      </left>
      <right style="thin">
        <color rgb="FF14432A"/>
      </right>
      <top style="thin">
        <color rgb="FF14432A"/>
      </top>
      <bottom style="thin">
        <color rgb="FF14432A"/>
      </bottom>
      <diagonal/>
    </border>
    <border>
      <left style="thin">
        <color rgb="FF7B1E28"/>
      </left>
      <right style="thin">
        <color rgb="FF7B1E28"/>
      </right>
      <top style="thin">
        <color rgb="FF7B1E28"/>
      </top>
      <bottom style="thin">
        <color rgb="FF7B1E28"/>
      </bottom>
      <diagonal/>
    </border>
    <border>
      <left style="thin">
        <color rgb="FF2F7D4F"/>
      </left>
      <right style="thin">
        <color rgb="FF2F7D4F"/>
      </right>
      <top style="thin">
        <color rgb="FF2F7D4F"/>
      </top>
      <bottom style="thin">
        <color rgb="FF2F7D4F"/>
      </bottom>
      <diagonal/>
    </border>
    <border>
      <left style="thin">
        <color rgb="FFB8912F"/>
      </left>
      <right style="thin">
        <color rgb="FFB8912F"/>
      </right>
      <top style="thin">
        <color rgb="FFB8912F"/>
      </top>
      <bottom style="thin">
        <color rgb="FFB8912F"/>
      </bottom>
      <diagonal/>
    </border>
    <border>
      <left style="thin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thin">
        <color rgb="FF2A5D8F"/>
      </left>
      <right style="thin">
        <color rgb="FF2A5D8F"/>
      </right>
      <top style="thin">
        <color rgb="FF2A5D8F"/>
      </top>
      <bottom style="thin">
        <color rgb="FF2A5D8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6C3A6E"/>
      </left>
      <right style="thin">
        <color rgb="FF6C3A6E"/>
      </right>
      <top style="thin">
        <color rgb="FF6C3A6E"/>
      </top>
      <bottom style="thin">
        <color rgb="FF6C3A6E"/>
      </bottom>
      <diagonal/>
    </border>
    <border>
      <left style="thin">
        <color rgb="FF1E6B45"/>
      </left>
      <right style="thin">
        <color rgb="FF1E6B45"/>
      </right>
      <top style="thin">
        <color rgb="FF1E6B45"/>
      </top>
      <bottom style="thin">
        <color rgb="FF1E6B45"/>
      </bottom>
      <diagonal/>
    </border>
    <border>
      <left/>
      <right/>
      <top/>
      <bottom style="medium">
        <color rgb="FFB8912F"/>
      </bottom>
      <diagonal/>
    </border>
    <border>
      <left style="dashed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dotted">
        <color rgb="FFB8912F"/>
      </left>
      <right/>
      <top/>
      <bottom/>
      <diagonal/>
    </border>
    <border>
      <left style="thin">
        <color rgb="FFE4EFE6"/>
      </left>
      <right style="thin">
        <color rgb="FFE4EFE6"/>
      </right>
      <top style="thin">
        <color rgb="FFE4EFE6"/>
      </top>
      <bottom style="thin">
        <color rgb="FFE4EFE6"/>
      </bottom>
      <diagonal/>
    </border>
    <border>
      <left style="thin">
        <color rgb="FFDFF0E3"/>
      </left>
      <right style="thin">
        <color rgb="FFDFF0E3"/>
      </right>
      <top style="thin">
        <color rgb="FFDFF0E3"/>
      </top>
      <bottom style="thin">
        <color rgb="FFDFF0E3"/>
      </bottom>
      <diagonal/>
    </border>
    <border>
      <left style="thin">
        <color rgb="FFF6E4E4"/>
      </left>
      <right style="thin">
        <color rgb="FFF6E4E4"/>
      </right>
      <top style="thin">
        <color rgb="FFF6E4E4"/>
      </top>
      <bottom style="thin">
        <color rgb="FFF6E4E4"/>
      </bottom>
      <diagonal/>
    </border>
    <border>
      <left style="thin">
        <color rgb="FFE3EDF7"/>
      </left>
      <right style="thin">
        <color rgb="FFE3EDF7"/>
      </right>
      <top style="thin">
        <color rgb="FFE3EDF7"/>
      </top>
      <bottom style="thin">
        <color rgb="FFE3EDF7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02A2A"/>
      </left>
      <right style="thin">
        <color rgb="FFB02A2A"/>
      </right>
      <top style="thin">
        <color rgb="FFB02A2A"/>
      </top>
      <bottom style="thin">
        <color rgb="FFB02A2A"/>
      </bottom>
      <diagonal/>
    </border>
    <border>
      <left style="thin">
        <color rgb="FFF8E2E2"/>
      </left>
      <right style="thin">
        <color rgb="FFF8E2E2"/>
      </right>
      <top style="thin">
        <color rgb="FFF8E2E2"/>
      </top>
      <bottom style="thin">
        <color rgb="FFF8E2E2"/>
      </bottom>
      <diagonal/>
    </border>
    <border>
      <left style="thin">
        <color rgb="FFFBF2DA"/>
      </left>
      <right style="thin">
        <color rgb="FFFBF2DA"/>
      </right>
      <top style="thin">
        <color rgb="FFFBF2DA"/>
      </top>
      <bottom style="thin">
        <color rgb="FFFBF2DA"/>
      </bottom>
      <diagonal/>
    </border>
    <border>
      <left style="medium">
        <color rgb="FFB8912F"/>
      </left>
      <right style="medium">
        <color rgb="FFB8912F"/>
      </right>
      <top style="medium">
        <color rgb="FFB8912F"/>
      </top>
      <bottom style="medium">
        <color rgb="FFB8912F"/>
      </bottom>
      <diagonal/>
    </border>
    <border>
      <left style="thin">
        <color rgb="FF8A7A6D"/>
      </left>
      <right style="thin">
        <color rgb="FF8A7A6D"/>
      </right>
      <top style="thin">
        <color rgb="FF8A7A6D"/>
      </top>
      <bottom style="thin">
        <color rgb="FF8A7A6D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9" borderId="6" xfId="0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 indent="1"/>
    </xf>
    <xf numFmtId="0" fontId="5" fillId="11" borderId="8" xfId="0" applyFont="1" applyFill="1" applyBorder="1" applyAlignment="1">
      <alignment horizontal="left" vertical="center" indent="1"/>
    </xf>
    <xf numFmtId="0" fontId="5" fillId="12" borderId="9" xfId="0" applyFont="1" applyFill="1" applyBorder="1" applyAlignment="1">
      <alignment horizontal="left" vertical="center" indent="1"/>
    </xf>
    <xf numFmtId="0" fontId="14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8" borderId="11" xfId="0" applyFont="1" applyFill="1" applyBorder="1" applyAlignment="1">
      <alignment horizontal="left" vertical="center"/>
    </xf>
    <xf numFmtId="165" fontId="19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 indent="1"/>
    </xf>
    <xf numFmtId="166" fontId="21" fillId="8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3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indent="1"/>
    </xf>
    <xf numFmtId="167" fontId="25" fillId="8" borderId="5" xfId="0" applyNumberFormat="1" applyFont="1" applyFill="1" applyBorder="1" applyAlignment="1">
      <alignment horizontal="right" vertical="center"/>
    </xf>
    <xf numFmtId="1" fontId="25" fillId="8" borderId="5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11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left" vertical="center"/>
    </xf>
    <xf numFmtId="0" fontId="34" fillId="14" borderId="14" xfId="0" applyFont="1" applyFill="1" applyBorder="1" applyAlignment="1">
      <alignment horizontal="left" vertical="center"/>
    </xf>
    <xf numFmtId="0" fontId="35" fillId="15" borderId="15" xfId="0" applyFont="1" applyFill="1" applyBorder="1" applyAlignment="1">
      <alignment horizontal="left" vertical="center"/>
    </xf>
    <xf numFmtId="0" fontId="36" fillId="16" borderId="16" xfId="0" applyFont="1" applyFill="1" applyBorder="1" applyAlignment="1">
      <alignment horizontal="left" vertical="center"/>
    </xf>
    <xf numFmtId="0" fontId="37" fillId="17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2" borderId="9" xfId="0" applyFont="1" applyFill="1" applyBorder="1" applyAlignment="1">
      <alignment horizontal="center" vertical="center" wrapText="1"/>
    </xf>
    <xf numFmtId="1" fontId="39" fillId="19" borderId="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 applyProtection="1">
      <alignment horizontal="center" vertical="center"/>
      <protection locked="0"/>
    </xf>
    <xf numFmtId="0" fontId="40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>
      <alignment horizontal="center" vertical="center"/>
    </xf>
    <xf numFmtId="168" fontId="25" fillId="19" borderId="5" xfId="0" applyNumberFormat="1" applyFont="1" applyFill="1" applyBorder="1" applyAlignment="1" applyProtection="1">
      <alignment horizontal="right" vertical="center"/>
      <protection locked="0"/>
    </xf>
    <xf numFmtId="168" fontId="41" fillId="19" borderId="5" xfId="0" applyNumberFormat="1" applyFont="1" applyFill="1" applyBorder="1" applyAlignment="1">
      <alignment horizontal="right" vertical="center"/>
    </xf>
    <xf numFmtId="164" fontId="41" fillId="19" borderId="5" xfId="0" applyNumberFormat="1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/>
      <protection locked="0"/>
    </xf>
    <xf numFmtId="169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41" fillId="19" borderId="5" xfId="0" applyNumberFormat="1" applyFont="1" applyFill="1" applyBorder="1" applyAlignment="1">
      <alignment horizontal="right" vertical="center"/>
    </xf>
    <xf numFmtId="1" fontId="39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25" fillId="8" borderId="5" xfId="0" applyFont="1" applyFill="1" applyBorder="1" applyAlignment="1" applyProtection="1">
      <alignment horizontal="center" vertical="center"/>
      <protection locked="0"/>
    </xf>
    <xf numFmtId="0" fontId="40" fillId="8" borderId="5" xfId="0" applyFont="1" applyFill="1" applyBorder="1" applyAlignment="1" applyProtection="1">
      <alignment horizontal="left" vertical="center"/>
      <protection locked="0"/>
    </xf>
    <xf numFmtId="168" fontId="25" fillId="8" borderId="5" xfId="0" applyNumberFormat="1" applyFont="1" applyFill="1" applyBorder="1" applyAlignment="1" applyProtection="1">
      <alignment horizontal="right" vertical="center"/>
      <protection locked="0"/>
    </xf>
    <xf numFmtId="0" fontId="42" fillId="8" borderId="5" xfId="0" applyFont="1" applyFill="1" applyBorder="1" applyAlignment="1" applyProtection="1">
      <alignment horizontal="center" vertical="center"/>
      <protection locked="0"/>
    </xf>
    <xf numFmtId="169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9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20" borderId="19" xfId="0" applyFont="1" applyFill="1" applyBorder="1" applyAlignment="1">
      <alignment horizontal="left" vertical="center" indent="1"/>
    </xf>
    <xf numFmtId="0" fontId="44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3" borderId="13" xfId="0" applyFont="1" applyFill="1" applyBorder="1" applyAlignment="1">
      <alignment horizontal="left" vertical="center"/>
    </xf>
    <xf numFmtId="0" fontId="47" fillId="16" borderId="16" xfId="0" applyFont="1" applyFill="1" applyBorder="1" applyAlignment="1">
      <alignment horizontal="left" vertical="center"/>
    </xf>
    <xf numFmtId="0" fontId="48" fillId="21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167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0" fontId="51" fillId="8" borderId="5" xfId="0" applyFont="1" applyFill="1" applyBorder="1" applyAlignment="1">
      <alignment horizontal="left" vertical="center" indent="1"/>
    </xf>
    <xf numFmtId="0" fontId="52" fillId="5" borderId="22" xfId="0" applyFont="1" applyFill="1" applyBorder="1" applyAlignment="1" applyProtection="1">
      <alignment horizontal="center" vertical="center"/>
      <protection locked="0"/>
    </xf>
    <xf numFmtId="0" fontId="53" fillId="8" borderId="5" xfId="0" applyFont="1" applyFill="1" applyBorder="1" applyAlignment="1">
      <alignment horizontal="left" vertical="center" indent="1"/>
    </xf>
    <xf numFmtId="169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54" fillId="13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4" fillId="13" borderId="5" xfId="0" applyNumberFormat="1" applyFont="1" applyFill="1" applyBorder="1" applyAlignment="1">
      <alignment horizontal="center" vertical="center"/>
    </xf>
    <xf numFmtId="168" fontId="52" fillId="5" borderId="22" xfId="0" applyNumberFormat="1" applyFont="1" applyFill="1" applyBorder="1" applyAlignment="1" applyProtection="1">
      <alignment horizontal="center" vertical="center"/>
      <protection locked="0"/>
    </xf>
    <xf numFmtId="164" fontId="52" fillId="5" borderId="22" xfId="0" applyNumberFormat="1" applyFont="1" applyFill="1" applyBorder="1" applyAlignment="1" applyProtection="1">
      <alignment horizontal="center" vertical="center"/>
      <protection locked="0"/>
    </xf>
    <xf numFmtId="1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20" fillId="8" borderId="5" xfId="0" applyFont="1" applyFill="1" applyBorder="1" applyAlignment="1" applyProtection="1">
      <alignment horizontal="left" vertical="center" indent="1"/>
      <protection locked="0"/>
    </xf>
    <xf numFmtId="0" fontId="20" fillId="19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indent="1"/>
    </xf>
    <xf numFmtId="0" fontId="25" fillId="22" borderId="0" xfId="0" applyFont="1" applyFill="1" applyAlignment="1">
      <alignment vertical="center"/>
    </xf>
    <xf numFmtId="0" fontId="55" fillId="22" borderId="0" xfId="0" applyFont="1" applyFill="1" applyAlignment="1">
      <alignment horizontal="center" vertical="center"/>
    </xf>
    <xf numFmtId="0" fontId="56" fillId="22" borderId="0" xfId="0" applyFont="1" applyFill="1" applyAlignment="1">
      <alignment horizontal="center" vertical="center"/>
    </xf>
    <xf numFmtId="0" fontId="57" fillId="4" borderId="2" xfId="0" applyFont="1" applyFill="1" applyBorder="1" applyAlignment="1">
      <alignment horizontal="center" vertical="center"/>
    </xf>
    <xf numFmtId="0" fontId="52" fillId="13" borderId="5" xfId="0" applyFont="1" applyFill="1" applyBorder="1" applyAlignment="1">
      <alignment horizontal="left" vertical="center" indent="1"/>
    </xf>
    <xf numFmtId="0" fontId="25" fillId="8" borderId="5" xfId="0" applyFont="1" applyFill="1" applyBorder="1" applyAlignment="1">
      <alignment horizontal="left" vertical="top" indent="1" wrapText="1"/>
    </xf>
    <xf numFmtId="0" fontId="58" fillId="8" borderId="5" xfId="0" applyFont="1" applyFill="1" applyBorder="1" applyAlignment="1">
      <alignment horizontal="left" vertical="top" indent="1" wrapText="1"/>
    </xf>
    <xf numFmtId="0" fontId="58" fillId="19" borderId="5" xfId="0" applyFont="1" applyFill="1" applyBorder="1" applyAlignment="1">
      <alignment horizontal="left" vertical="top" indent="1" wrapText="1"/>
    </xf>
    <xf numFmtId="0" fontId="43" fillId="19" borderId="5" xfId="0" applyFont="1" applyFill="1" applyBorder="1" applyAlignment="1">
      <alignment horizontal="left" vertical="top" indent="1" wrapText="1"/>
    </xf>
    <xf numFmtId="0" fontId="59" fillId="23" borderId="23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1" fontId="60" fillId="0" borderId="0" xfId="0" applyNumberFormat="1" applyFont="1" applyAlignment="1">
      <alignment vertical="center"/>
    </xf>
    <xf numFmtId="168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169" fontId="60" fillId="0" borderId="0" xfId="0" applyNumberFormat="1" applyFont="1" applyAlignment="1">
      <alignment vertical="center"/>
    </xf>
    <xf numFmtId="1" fontId="61" fillId="0" borderId="0" xfId="0" applyNumberFormat="1" applyFont="1" applyAlignment="1">
      <alignment vertical="center"/>
    </xf>
    <xf numFmtId="164" fontId="61" fillId="0" borderId="0" xfId="0" applyNumberFormat="1" applyFont="1" applyAlignment="1">
      <alignment vertical="center"/>
    </xf>
    <xf numFmtId="168" fontId="61" fillId="0" borderId="0" xfId="0" applyNumberFormat="1" applyFont="1" applyAlignment="1">
      <alignment vertical="center"/>
    </xf>
  </cellXfs>
  <cellStyles count="1">
    <cellStyle name="Normal" xfId="0" builtinId="0"/>
  </cellStyles>
  <dxfs count="17">
    <dxf>
      <font>
        <b/>
        <color rgb="FF6C3A6E"/>
      </font>
      <fill>
        <patternFill>
          <bgColor rgb="FFF0E6F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8912F"/>
      </font>
      <fill>
        <patternFill>
          <bgColor rgb="FFFBF2DA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</dxf>
    <dxf>
      <font>
        <b/>
        <color rgb="FF2F7D4F"/>
      </font>
      <fill>
        <patternFill>
          <bgColor rgb="FFDFF0E3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</dxf>
    <dxf>
      <font>
        <b/>
        <color rgb="FFB4761A"/>
      </font>
      <fill>
        <patternFill>
          <bgColor rgb="FFFBF2DA"/>
        </patternFill>
      </fill>
    </dxf>
    <dxf>
      <font>
        <color rgb="FF14432A"/>
      </font>
      <fill>
        <patternFill>
          <bgColor rgb="FFE4EFE6"/>
        </patternFill>
      </fill>
    </dxf>
    <dxf>
      <font>
        <b/>
        <color rgb="FF8A7A6D"/>
      </font>
      <fill>
        <patternFill>
          <bgColor rgb="FFFDFAF3"/>
        </patternFill>
      </fill>
    </dxf>
    <dxf>
      <font>
        <color rgb="FFB02A2A"/>
      </font>
      <fill>
        <patternFill>
          <bgColor rgb="FFF8E2E2"/>
        </patternFill>
      </fill>
    </dxf>
    <dxf>
      <font>
        <strike/>
        <color rgb="FF8A7A6D"/>
      </font>
      <fill>
        <patternFill>
          <bgColor rgb="FFDFF0E3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97.99000000000001</c:v>
                </c:pt>
                <c:pt idx="1">
                  <c:v>93.5</c:v>
                </c:pt>
                <c:pt idx="2">
                  <c:v>129.99</c:v>
                </c:pt>
                <c:pt idx="3">
                  <c:v>49.5</c:v>
                </c:pt>
                <c:pt idx="4">
                  <c:v>48.0</c:v>
                </c:pt>
                <c:pt idx="5">
                  <c:v>107.99</c:v>
                </c:pt>
                <c:pt idx="6">
                  <c:v>59.99</c:v>
                </c:pt>
                <c:pt idx="7">
                  <c:v>36.0</c:v>
                </c:pt>
                <c:pt idx="8">
                  <c:v>254.0</c:v>
                </c:pt>
                <c:pt idx="9">
                  <c:v>28.5</c:v>
                </c:pt>
                <c:pt idx="10">
                  <c:v>32.0</c:v>
                </c:pt>
                <c:pt idx="11">
                  <c:v>53.5</c:v>
                </c:pt>
                <c:pt idx="12">
                  <c:v>0</c:v>
                </c:pt>
                <c:pt idx="13">
                  <c:v>12.99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BB894"/>
            </a:solidFill>
            <a:ln>
              <a:solidFill>
                <a:srgbClr val="CBB894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850</c:v>
                </c:pt>
                <c:pt idx="1">
                  <c:v>140</c:v>
                </c:pt>
                <c:pt idx="2">
                  <c:v>55</c:v>
                </c:pt>
                <c:pt idx="3">
                  <c:v>40</c:v>
                </c:pt>
                <c:pt idx="4">
                  <c:v>200</c:v>
                </c:pt>
                <c:pt idx="5">
                  <c:v>35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  <c:pt idx="9">
                  <c:v>40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15.8</c:v>
                </c:pt>
                <c:pt idx="2">
                  <c:v>24.3</c:v>
                </c:pt>
                <c:pt idx="3">
                  <c:v>33.9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C3A6E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2A5D8F"/>
              </a:solidFill>
            </c:spPr>
          </c:dPt>
          <c:dPt>
            <c:idx val="3"/>
            <c:spPr>
              <a:solidFill>
                <a:srgbClr val="2F7D4F"/>
              </a:solidFill>
            </c:spPr>
          </c:dPt>
          <c:dPt>
            <c:idx val="4"/>
            <c:spPr>
              <a:solidFill>
                <a:srgbClr val="B8912F"/>
              </a:solidFill>
            </c:spPr>
          </c:dPt>
          <c:dPt>
            <c:idx val="5"/>
            <c:spPr>
              <a:solidFill>
                <a:srgbClr val="14432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8912F"/>
            </a:solidFill>
            <a:ln>
              <a:solidFill>
                <a:srgbClr val="B8912F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850</c:v>
                </c:pt>
                <c:pt idx="1">
                  <c:v>140</c:v>
                </c:pt>
                <c:pt idx="2">
                  <c:v>55</c:v>
                </c:pt>
                <c:pt idx="3">
                  <c:v>40</c:v>
                </c:pt>
                <c:pt idx="4">
                  <c:v>200</c:v>
                </c:pt>
                <c:pt idx="5">
                  <c:v>35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  <c:pt idx="9">
                  <c:v>40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15.8</c:v>
                </c:pt>
                <c:pt idx="2">
                  <c:v>24.3</c:v>
                </c:pt>
                <c:pt idx="3">
                  <c:v>33.9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14432A"/>
              </a:solidFill>
            </c:spPr>
          </c:dPt>
          <c:dPt>
            <c:idx val="1"/>
            <c:spPr>
              <a:solidFill>
                <a:srgbClr val="7B1E28"/>
              </a:solidFill>
            </c:spPr>
          </c:dPt>
          <c:dPt>
            <c:idx val="2"/>
            <c:spPr>
              <a:solidFill>
                <a:srgbClr val="B8912F"/>
              </a:solidFill>
            </c:spPr>
          </c:dPt>
          <c:dPt>
            <c:idx val="3"/>
            <c:spPr>
              <a:solidFill>
                <a:srgbClr val="2A5D8F"/>
              </a:solidFill>
            </c:spPr>
          </c:dPt>
          <c:dPt>
            <c:idx val="4"/>
            <c:spPr>
              <a:solidFill>
                <a:srgbClr val="2F7D4F"/>
              </a:solidFill>
            </c:spPr>
          </c:dPt>
          <c:dPt>
            <c:idx val="5"/>
            <c:spPr>
              <a:solidFill>
                <a:srgbClr val="6C3A6E"/>
              </a:solidFill>
            </c:spPr>
          </c:dPt>
          <c:dPt>
            <c:idx val="6"/>
            <c:spPr>
              <a:solidFill>
                <a:srgbClr val="C1443C"/>
              </a:solidFill>
            </c:spPr>
          </c:dPt>
          <c:dPt>
            <c:idx val="7"/>
            <c:spPr>
              <a:solidFill>
                <a:srgbClr val="8A7A6D"/>
              </a:solidFill>
            </c:spPr>
          </c:dPt>
          <c:dPt>
            <c:idx val="8"/>
            <c:spPr>
              <a:solidFill>
                <a:srgbClr val="1E6B45"/>
              </a:solidFill>
            </c:spPr>
          </c:dPt>
          <c:dPt>
            <c:idx val="9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15.8</c:v>
                </c:pt>
                <c:pt idx="2">
                  <c:v>24.3</c:v>
                </c:pt>
                <c:pt idx="3">
                  <c:v>33.9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14</xdr:row>
      <xdr:rowOff>49703</xdr:rowOff>
    </xdr:to>
    <xdr:pic>
      <xdr:nvPicPr>
        <xdr:cNvPr id="2" name="Picture 1" descr="banner_festi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69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ohnlewis.com" TargetMode="External"/><Relationship Id="rId2" Type="http://schemas.openxmlformats.org/officeDocument/2006/relationships/hyperlink" Target="https://www.sephora.com" TargetMode="External"/><Relationship Id="rId3" Type="http://schemas.openxmlformats.org/officeDocument/2006/relationships/hyperlink" Target="https://www.amazon.com" TargetMode="External"/><Relationship Id="rId4" Type="http://schemas.openxmlformats.org/officeDocument/2006/relationships/hyperlink" Target="https://www.notonthehighstreet.com" TargetMode="External"/><Relationship Id="rId5" Type="http://schemas.openxmlformats.org/officeDocument/2006/relationships/hyperlink" Target="https://www.amazon.com" TargetMode="External"/><Relationship Id="rId6" Type="http://schemas.openxmlformats.org/officeDocument/2006/relationships/hyperlink" Target="https://www.etsy.com" TargetMode="External"/><Relationship Id="rId7" Type="http://schemas.openxmlformats.org/officeDocument/2006/relationships/hyperlink" Target="https://www.amazon.com" TargetMode="External"/><Relationship Id="rId8" Type="http://schemas.openxmlformats.org/officeDocument/2006/relationships/hyperlink" Target="https://www.etsy.com" TargetMode="External"/><Relationship Id="rId9" Type="http://schemas.openxmlformats.org/officeDocument/2006/relationships/hyperlink" Target="https://www.sephora.com" TargetMode="External"/><Relationship Id="rId10" Type="http://schemas.openxmlformats.org/officeDocument/2006/relationships/hyperlink" Target="https://www.bestbuy.com" TargetMode="External"/><Relationship Id="rId11" Type="http://schemas.openxmlformats.org/officeDocument/2006/relationships/hyperlink" Target="https://www.amazon.com" TargetMode="External"/><Relationship Id="rId12" Type="http://schemas.openxmlformats.org/officeDocument/2006/relationships/hyperlink" Target="https://www.etsy.com" TargetMode="External"/><Relationship Id="rId13" Type="http://schemas.openxmlformats.org/officeDocument/2006/relationships/hyperlink" Target="https://www.etsy.com" TargetMode="External"/><Relationship Id="rId14" Type="http://schemas.openxmlformats.org/officeDocument/2006/relationships/hyperlink" Target="https://www.notonthehighstreet.com" TargetMode="External"/><Relationship Id="rId15" Type="http://schemas.openxmlformats.org/officeDocument/2006/relationships/hyperlink" Target="https://www.amazon.com" TargetMode="External"/><Relationship Id="rId16" Type="http://schemas.openxmlformats.org/officeDocument/2006/relationships/hyperlink" Target="https://www.target.com" TargetMode="External"/><Relationship Id="rId17" Type="http://schemas.openxmlformats.org/officeDocument/2006/relationships/hyperlink" Target="https://www.etsy.com" TargetMode="External"/><Relationship Id="rId18" Type="http://schemas.openxmlformats.org/officeDocument/2006/relationships/hyperlink" Target="https://www.marksandspencer.com" TargetMode="External"/><Relationship Id="rId19" Type="http://schemas.openxmlformats.org/officeDocument/2006/relationships/hyperlink" Target="https://www.amazon.com" TargetMode="External"/><Relationship Id="rId20" Type="http://schemas.openxmlformats.org/officeDocument/2006/relationships/hyperlink" Target="https://www.target.com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28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over"</f>
        <v>Saturday 12 September 2026   •   Christmas falls on Friday 25 December 2026   •   18 of 25 gifts bought   •   13 wrapped   •   6 handed over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398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399</v>
      </c>
      <c r="C7" s="6"/>
      <c r="D7" s="6"/>
      <c r="E7" s="7" t="s">
        <v>400</v>
      </c>
      <c r="F7" s="7"/>
      <c r="G7" s="7"/>
      <c r="H7" s="8" t="s">
        <v>401</v>
      </c>
      <c r="I7" s="8"/>
      <c r="J7" s="8"/>
      <c r="K7" s="9" t="s">
        <v>402</v>
      </c>
      <c r="L7" s="9"/>
      <c r="M7" s="9"/>
    </row>
    <row r="8" spans="1:13" ht="38" customHeight="1" x14ac:dyDescent="0.25">
      <c r="A8" s="1"/>
      <c r="B8" s="10" t="str">
        <f>Currency&amp;TEXT('_Data'!$AF$17,"#,##0")</f>
        <v>$1,500</v>
      </c>
      <c r="C8" s="10"/>
      <c r="D8" s="10"/>
      <c r="E8" s="11" t="str">
        <f>Currency&amp;TEXT('_Data'!$AF$18,"#,##0")</f>
        <v>$1,206</v>
      </c>
      <c r="F8" s="11"/>
      <c r="G8" s="11"/>
      <c r="H8" s="12" t="str">
        <f>Currency&amp;TEXT('_Data'!$AF$19,"#,##0")</f>
        <v>$294</v>
      </c>
      <c r="I8" s="12"/>
      <c r="J8" s="12"/>
      <c r="K8" s="13">
        <f>'_Data'!$AF$20</f>
        <v>0.8038266666666668</v>
      </c>
      <c r="L8" s="13"/>
      <c r="M8" s="13"/>
    </row>
    <row r="9" spans="1:13" ht="24" customHeight="1" x14ac:dyDescent="0.25">
      <c r="A9" s="1"/>
      <c r="B9" s="14" t="s">
        <v>331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████████████████████████████████░░░░░░░░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80%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403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404</v>
      </c>
      <c r="C12" s="6"/>
      <c r="D12" s="6"/>
      <c r="E12" s="8" t="s">
        <v>405</v>
      </c>
      <c r="F12" s="8"/>
      <c r="G12" s="8"/>
      <c r="H12" s="7" t="s">
        <v>406</v>
      </c>
      <c r="I12" s="7"/>
      <c r="J12" s="7"/>
      <c r="K12" s="18" t="s">
        <v>407</v>
      </c>
      <c r="L12" s="18"/>
      <c r="M12" s="18"/>
    </row>
    <row r="13" spans="1:13" ht="38" customHeight="1" x14ac:dyDescent="0.25">
      <c r="A13" s="1"/>
      <c r="B13" s="10">
        <f>'_Data'!$AF$4</f>
        <v>25</v>
      </c>
      <c r="C13" s="10"/>
      <c r="D13" s="10"/>
      <c r="E13" s="12" t="str">
        <f>'_Data'!$AF$5&amp;" / "&amp;'_Data'!$AF$4</f>
        <v>18 / 25</v>
      </c>
      <c r="F13" s="12"/>
      <c r="G13" s="12"/>
      <c r="H13" s="11">
        <f>'_Data'!$AF$6</f>
        <v>13</v>
      </c>
      <c r="I13" s="11"/>
      <c r="J13" s="11"/>
      <c r="K13" s="19">
        <f>'_Data'!$AF$7</f>
        <v>6</v>
      </c>
      <c r="L13" s="19"/>
      <c r="M13" s="19"/>
    </row>
    <row r="14" spans="1:13" ht="18" customHeight="1" x14ac:dyDescent="0.25">
      <c r="A14" s="1"/>
      <c r="B14" s="20" t="s">
        <v>408</v>
      </c>
      <c r="C14" s="20"/>
      <c r="D14" s="20"/>
      <c r="E14" s="21" t="s">
        <v>409</v>
      </c>
      <c r="F14" s="21"/>
      <c r="G14" s="21"/>
      <c r="H14" s="9" t="s">
        <v>410</v>
      </c>
      <c r="I14" s="9"/>
      <c r="J14" s="9"/>
      <c r="K14" s="22" t="s">
        <v>411</v>
      </c>
      <c r="L14" s="22"/>
      <c r="M14" s="22"/>
    </row>
    <row r="15" spans="1:13" ht="38" customHeight="1" x14ac:dyDescent="0.25">
      <c r="A15" s="1"/>
      <c r="B15" s="23">
        <f>'_Data'!$AF$8</f>
        <v>4</v>
      </c>
      <c r="C15" s="23"/>
      <c r="D15" s="23"/>
      <c r="E15" s="24">
        <f>'_Data'!$AF$9</f>
        <v>3</v>
      </c>
      <c r="F15" s="24"/>
      <c r="G15" s="24"/>
      <c r="H15" s="13">
        <f>'_Data'!$AF$12</f>
        <v>0.72</v>
      </c>
      <c r="I15" s="13"/>
      <c r="J15" s="13"/>
      <c r="K15" s="25" t="str">
        <f>Currency&amp;TEXT('_Data'!$AF$14,"#,##0")</f>
        <v>$77</v>
      </c>
      <c r="L15" s="25"/>
      <c r="M15" s="25"/>
    </row>
    <row r="16" spans="1:13" ht="24" customHeight="1" x14ac:dyDescent="0.25">
      <c r="A16" s="1"/>
      <c r="B16" s="14" t="s">
        <v>412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█████████████████████████████░░░░░░░░░░░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18 / 25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413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414</v>
      </c>
      <c r="C49" s="5"/>
      <c r="D49" s="5"/>
      <c r="E49" s="5"/>
      <c r="F49" s="5"/>
      <c r="G49" s="5"/>
      <c r="H49" s="26" t="s">
        <v>415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🛒  4 gift(s) still to buy (3 already on order)</v>
      </c>
      <c r="C50" s="27"/>
      <c r="D50" s="27"/>
      <c r="E50" s="27"/>
      <c r="F50" s="27"/>
      <c r="G50" s="27"/>
      <c r="H50" s="28">
        <f>IFERROR(SMALL('_Data'!$AA$2:$AA$61,1),"")</f>
        <v>46346.0</v>
      </c>
      <c r="I50" s="29" t="str">
        <f>IF($H50="","— nothing scheduled —",IFERROR(INDEX('_Data'!$AB$2:$AB$61,MATCH(SMALL('_Data'!$AA$2:$AA$61,1),'_Data'!$AA$2:$AA$61,0)),""))</f>
        <v>✅ Address &amp; write all cards</v>
      </c>
      <c r="J50" s="29"/>
      <c r="K50" s="29"/>
      <c r="L50" s="30">
        <f>IF($H50="","",$H50-TODAY())</f>
        <v>69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🎀  5 present(s) still to wrap</v>
      </c>
      <c r="C51" s="27"/>
      <c r="D51" s="27"/>
      <c r="E51" s="27"/>
      <c r="F51" s="27"/>
      <c r="G51" s="27"/>
      <c r="H51" s="28">
        <f>IFERROR(SMALL('_Data'!$AA$2:$AA$61,2),"")</f>
        <v>46356.0</v>
      </c>
      <c r="I51" s="29" t="str">
        <f>IF($H51="","— nothing scheduled —",IFERROR(INDEX('_Data'!$AB$2:$AB$61,MATCH(SMALL('_Data'!$AA$2:$AA$61,2),'_Data'!$AA$2:$AA$61,0)),""))</f>
        <v>✅ Post the cards</v>
      </c>
      <c r="J51" s="29"/>
      <c r="K51" s="29"/>
      <c r="L51" s="30">
        <f>IF($H51="","",$H51-TODAY())</f>
        <v>79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📦  7 wrapped gift(s) not given yet</v>
      </c>
      <c r="C52" s="27"/>
      <c r="D52" s="27"/>
      <c r="E52" s="27"/>
      <c r="F52" s="27"/>
      <c r="G52" s="27"/>
      <c r="H52" s="28">
        <f>IFERROR(SMALL('_Data'!$AA$2:$AA$61,3),"")</f>
        <v>46360.0</v>
      </c>
      <c r="I52" s="29" t="str">
        <f>IF($H52="","— nothing scheduled —",IFERROR(INDEX('_Data'!$AB$2:$AB$61,MATCH(SMALL('_Data'!$AA$2:$AA$61,3),'_Data'!$AA$2:$AA$61,0)),""))</f>
        <v>✅ Book travel / check the car</v>
      </c>
      <c r="J52" s="29"/>
      <c r="K52" s="29"/>
      <c r="L52" s="30">
        <f>IF($H52="","",$H52-TODAY())</f>
        <v>83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💰  $294 left to spend (80% used)</v>
      </c>
      <c r="C53" s="27"/>
      <c r="D53" s="27"/>
      <c r="E53" s="27"/>
      <c r="F53" s="27"/>
      <c r="G53" s="27"/>
      <c r="H53" s="28">
        <f>IFERROR(SMALL('_Data'!$AA$2:$AA$61,4),"")</f>
        <v>46363.0</v>
      </c>
      <c r="I53" s="29" t="str">
        <f>IF($H53="","— nothing scheduled —",IFERROR(INDEX('_Data'!$AB$2:$AB$61,MATCH(SMALL('_Data'!$AA$2:$AA$61,4),'_Data'!$AA$2:$AA$61,0)),""))</f>
        <v>✅ Prepare the stockings</v>
      </c>
      <c r="J53" s="29"/>
      <c r="K53" s="29"/>
      <c r="L53" s="30">
        <f>IF($H53="","",$H53-TODAY())</f>
        <v>86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11 of 24 shopping items still to buy</v>
      </c>
      <c r="C54" s="27"/>
      <c r="D54" s="27"/>
      <c r="E54" s="27"/>
      <c r="F54" s="27"/>
      <c r="G54" s="27"/>
      <c r="H54" s="28">
        <f>IFERROR(SMALL('_Data'!$AA$2:$AA$61,5),"")</f>
        <v>46367.0</v>
      </c>
      <c r="I54" s="29" t="str">
        <f>IF($H54="","— nothing scheduled —",IFERROR(INDEX('_Data'!$AB$2:$AB$61,MATCH(SMALL('_Data'!$AA$2:$AA$61,5),'_Data'!$AA$2:$AA$61,0)),""))</f>
        <v>✅ Plan the Christmas dinner menu</v>
      </c>
      <c r="J54" s="29"/>
      <c r="K54" s="29"/>
      <c r="L54" s="30">
        <f>IF($H54="","",$H54-TODAY())</f>
        <v>90</v>
      </c>
      <c r="M54" s="30"/>
    </row>
    <row r="55" spans="1:13" ht="19" customHeight="1" x14ac:dyDescent="0.25">
      <c r="A55" s="1"/>
      <c r="B55" s="27" t="str">
        <f>"💡  Tip: sort the 🎁 Gift Tracker by “Store” and you shop the whole list in one trip."</f>
        <v>💡  Tip: sort the 🎁 Gift Tracker by “Store” and you shop the whole list in one trip.</v>
      </c>
      <c r="C55" s="27"/>
      <c r="D55" s="27"/>
      <c r="E55" s="27"/>
      <c r="F55" s="27"/>
      <c r="G55" s="27"/>
      <c r="H55" s="31" t="s">
        <v>416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"💡  Tip: the 🎀 Wrapping tab remembers where every present is hiding."</f>
        <v>💡  Tip: the 🎀 Wrapping tab remembers where every present is hiding.</v>
      </c>
      <c r="C56" s="27"/>
      <c r="D56" s="27"/>
      <c r="E56" s="27"/>
      <c r="F56" s="27"/>
      <c r="G56" s="27"/>
      <c r="H56" s="28">
        <f>EventDate-10</f>
        <v>46371.0</v>
      </c>
      <c r="I56" s="29" t="s">
        <v>417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"💡  Tip: change the event date in ⚙️ Setup and every deadline re-dates itself."</f>
        <v>💡  Tip: change the event date in ⚙️ Setup and every deadline re-dates itself.</v>
      </c>
      <c r="C57" s="27"/>
      <c r="D57" s="27"/>
      <c r="E57" s="27"/>
      <c r="F57" s="27"/>
      <c r="G57" s="27"/>
      <c r="H57" s="28">
        <f>EventDate-14</f>
        <v>46367.0</v>
      </c>
      <c r="I57" s="29" t="s">
        <v>418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"💡  Tip: use this file for birthdays too — pick an occasion in ⚙️ Setup."</f>
        <v>💡  Tip: use this file for birthdays too — pick an occasion in ⚙️ Setup.</v>
      </c>
      <c r="C58" s="27"/>
      <c r="D58" s="27"/>
      <c r="E58" s="27"/>
      <c r="F58" s="27"/>
      <c r="G58" s="27"/>
      <c r="H58" s="28">
        <f>EventDate-2</f>
        <v>46379.0</v>
      </c>
      <c r="I58" s="29" t="s">
        <v>419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"💡  Tip: 🙈 Secret Mode hides the hiding spots when somebody is watching."</f>
        <v>💡  Tip: 🙈 Secret Mode hides the hiding spots when somebody is watching.</v>
      </c>
      <c r="C59" s="27"/>
      <c r="D59" s="27"/>
      <c r="E59" s="27"/>
      <c r="F59" s="27"/>
      <c r="G59" s="27"/>
      <c r="H59" s="28">
        <f>EventDate</f>
        <v>46381.0</v>
      </c>
      <c r="I59" s="29" t="s">
        <v>420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421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264</v>
      </c>
      <c r="E62" s="33" t="s">
        <v>25</v>
      </c>
      <c r="F62" s="33" t="s">
        <v>337</v>
      </c>
      <c r="G62" s="33" t="s">
        <v>26</v>
      </c>
      <c r="H62" s="33" t="s">
        <v>27</v>
      </c>
      <c r="I62" s="33" t="s">
        <v>28</v>
      </c>
      <c r="J62" s="33" t="s">
        <v>422</v>
      </c>
      <c r="K62" s="33" t="s">
        <v>30</v>
      </c>
      <c r="L62" s="33" t="s">
        <v>31</v>
      </c>
      <c r="M62" s="33" t="s">
        <v>339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105</v>
      </c>
      <c r="E63" s="35">
        <f>IF($B63="","",'_Data'!$J$2)</f>
        <v>97.99000000000001</v>
      </c>
      <c r="F63" s="35">
        <f>IF(OR($B63="",'_Data'!$H$2=""),"",$D63-$E63)</f>
        <v>7.009999999999991</v>
      </c>
      <c r="G63" s="36">
        <f>IF($B63="","",'_Data'!$K$2)</f>
        <v>2</v>
      </c>
      <c r="H63" s="36">
        <f>IF($B63="","",'_Data'!$L$2)</f>
        <v>2</v>
      </c>
      <c r="I63" s="36">
        <f>IF($B63="","",'_Data'!$M$2)</f>
        <v>2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>1.0</v>
      </c>
      <c r="M63" s="38" t="str">
        <f>IF($B63="","",REPT("█",ROUND(IFERROR($L63,0)*10,0))&amp;REPT("░",10-ROUND(IFERROR($L63,0)*10,0)))</f>
        <v>██████████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95</v>
      </c>
      <c r="E64" s="35">
        <f>IF($B64="","",'_Data'!$J$3)</f>
        <v>93.5</v>
      </c>
      <c r="F64" s="35">
        <f>IF(OR($B64="",'_Data'!$H$3=""),"",$D64-$E64)</f>
        <v>1.5</v>
      </c>
      <c r="G64" s="36">
        <f>IF($B64="","",'_Data'!$K$3)</f>
        <v>2</v>
      </c>
      <c r="H64" s="36">
        <f>IF($B64="","",'_Data'!$L$3)</f>
        <v>2</v>
      </c>
      <c r="I64" s="36">
        <f>IF($B64="","",'_Data'!$M$3)</f>
        <v>2</v>
      </c>
      <c r="J64" s="36">
        <f>IF($B64="","",'_Data'!$N$3)</f>
        <v>1</v>
      </c>
      <c r="K64" s="36">
        <f>IF($B64="","",'_Data'!$O$3)</f>
        <v>0</v>
      </c>
      <c r="L64" s="37">
        <f>IF($B64="","",'_Data'!$P$3)</f>
        <v>1.0</v>
      </c>
      <c r="M64" s="38" t="str">
        <f>IF($B64="","",REPT("█",ROUND(IFERROR($L64,0)*10,0))&amp;REPT("░",10-ROUND(IFERROR($L64,0)*10,0)))</f>
        <v>██████████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135</v>
      </c>
      <c r="E65" s="35">
        <f>IF($B65="","",'_Data'!$J$4)</f>
        <v>129.99</v>
      </c>
      <c r="F65" s="35">
        <f>IF(OR($B65="",'_Data'!$H$4=""),"",$D65-$E65)</f>
        <v>5.009999999999991</v>
      </c>
      <c r="G65" s="36">
        <f>IF($B65="","",'_Data'!$K$4)</f>
        <v>2</v>
      </c>
      <c r="H65" s="36">
        <f>IF($B65="","",'_Data'!$L$4)</f>
        <v>1</v>
      </c>
      <c r="I65" s="36">
        <f>IF($B65="","",'_Data'!$M$4)</f>
        <v>1</v>
      </c>
      <c r="J65" s="36">
        <f>IF($B65="","",'_Data'!$N$4)</f>
        <v>0</v>
      </c>
      <c r="K65" s="36">
        <f>IF($B65="","",'_Data'!$O$4)</f>
        <v>1</v>
      </c>
      <c r="L65" s="37">
        <f>IF($B65="","",'_Data'!$P$4)</f>
        <v>0.5</v>
      </c>
      <c r="M65" s="38" t="str">
        <f>IF($B65="","",REPT("█",ROUND(IFERROR($L65,0)*10,0))&amp;REPT("░",10-ROUND(IFERROR($L65,0)*10,0)))</f>
        <v>█████░░░░░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55</v>
      </c>
      <c r="E66" s="35">
        <f>IF($B66="","",'_Data'!$J$5)</f>
        <v>49.5</v>
      </c>
      <c r="F66" s="35">
        <f>IF(OR($B66="",'_Data'!$H$5=""),"",$D66-$E66)</f>
        <v>5.5</v>
      </c>
      <c r="G66" s="36">
        <f>IF($B66="","",'_Data'!$K$5)</f>
        <v>2</v>
      </c>
      <c r="H66" s="36">
        <f>IF($B66="","",'_Data'!$L$5)</f>
        <v>2</v>
      </c>
      <c r="I66" s="36">
        <f>IF($B66="","",'_Data'!$M$5)</f>
        <v>2</v>
      </c>
      <c r="J66" s="36">
        <f>IF($B66="","",'_Data'!$N$5)</f>
        <v>2</v>
      </c>
      <c r="K66" s="36">
        <f>IF($B66="","",'_Data'!$O$5)</f>
        <v>0</v>
      </c>
      <c r="L66" s="37">
        <f>IF($B66="","",'_Data'!$P$5)</f>
        <v>1.0</v>
      </c>
      <c r="M66" s="38" t="str">
        <f>IF($B66="","",REPT("█",ROUND(IFERROR($L66,0)*10,0))&amp;REPT("░",10-ROUND(IFERROR($L66,0)*10,0)))</f>
        <v>██████████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75</v>
      </c>
      <c r="E67" s="35">
        <f>IF($B67="","",'_Data'!$J$6)</f>
        <v>48.0</v>
      </c>
      <c r="F67" s="35">
        <f>IF(OR($B67="",'_Data'!$H$6=""),"",$D67-$E67)</f>
        <v>27.0</v>
      </c>
      <c r="G67" s="36">
        <f>IF($B67="","",'_Data'!$K$6)</f>
        <v>2</v>
      </c>
      <c r="H67" s="36">
        <f>IF($B67="","",'_Data'!$L$6)</f>
        <v>1</v>
      </c>
      <c r="I67" s="36">
        <f>IF($B67="","",'_Data'!$M$6)</f>
        <v>1</v>
      </c>
      <c r="J67" s="36">
        <f>IF($B67="","",'_Data'!$N$6)</f>
        <v>0</v>
      </c>
      <c r="K67" s="36">
        <f>IF($B67="","",'_Data'!$O$6)</f>
        <v>1</v>
      </c>
      <c r="L67" s="37">
        <f>IF($B67="","",'_Data'!$P$6)</f>
        <v>0.5</v>
      </c>
      <c r="M67" s="38" t="str">
        <f>IF($B67="","",REPT("█",ROUND(IFERROR($L67,0)*10,0))&amp;REPT("░",10-ROUND(IFERROR($L67,0)*10,0)))</f>
        <v>█████░░░░░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115</v>
      </c>
      <c r="E68" s="35">
        <f>IF($B68="","",'_Data'!$J$7)</f>
        <v>107.99</v>
      </c>
      <c r="F68" s="35">
        <f>IF(OR($B68="",'_Data'!$H$7=""),"",$D68-$E68)</f>
        <v>7.010000000000005</v>
      </c>
      <c r="G68" s="36">
        <f>IF($B68="","",'_Data'!$K$7)</f>
        <v>2</v>
      </c>
      <c r="H68" s="36">
        <f>IF($B68="","",'_Data'!$L$7)</f>
        <v>1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1</v>
      </c>
      <c r="L68" s="37">
        <f>IF($B68="","",'_Data'!$P$7)</f>
        <v>0.5</v>
      </c>
      <c r="M68" s="38" t="str">
        <f>IF($B68="","",REPT("█",ROUND(IFERROR($L68,0)*10,0))&amp;REPT("░",10-ROUND(IFERROR($L68,0)*10,0)))</f>
        <v>█████░░░░░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67</v>
      </c>
      <c r="E69" s="35">
        <f>IF($B69="","",'_Data'!$J$8)</f>
        <v>59.99</v>
      </c>
      <c r="F69" s="35">
        <f>IF(OR($B69="",'_Data'!$H$8=""),"",$D69-$E69)</f>
        <v>7.009999999999998</v>
      </c>
      <c r="G69" s="36">
        <f>IF($B69="","",'_Data'!$K$8)</f>
        <v>2</v>
      </c>
      <c r="H69" s="36">
        <f>IF($B69="","",'_Data'!$L$8)</f>
        <v>2</v>
      </c>
      <c r="I69" s="36">
        <f>IF($B69="","",'_Data'!$M$8)</f>
        <v>2</v>
      </c>
      <c r="J69" s="36">
        <f>IF($B69="","",'_Data'!$N$8)</f>
        <v>1</v>
      </c>
      <c r="K69" s="36">
        <f>IF($B69="","",'_Data'!$O$8)</f>
        <v>0</v>
      </c>
      <c r="L69" s="37">
        <f>IF($B69="","",'_Data'!$P$8)</f>
        <v>1.0</v>
      </c>
      <c r="M69" s="38" t="str">
        <f>IF($B69="","",REPT("█",ROUND(IFERROR($L69,0)*10,0))&amp;REPT("░",10-ROUND(IFERROR($L69,0)*10,0)))</f>
        <v>██████████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65</v>
      </c>
      <c r="E70" s="35">
        <f>IF($B70="","",'_Data'!$J$9)</f>
        <v>36.0</v>
      </c>
      <c r="F70" s="35">
        <f>IF(OR($B70="",'_Data'!$H$9=""),"",$D70-$E70)</f>
        <v>29.0</v>
      </c>
      <c r="G70" s="36">
        <f>IF($B70="","",'_Data'!$K$9)</f>
        <v>2</v>
      </c>
      <c r="H70" s="36">
        <f>IF($B70="","",'_Data'!$L$9)</f>
        <v>1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1</v>
      </c>
      <c r="L70" s="37">
        <f>IF($B70="","",'_Data'!$P$9)</f>
        <v>0.5</v>
      </c>
      <c r="M70" s="38" t="str">
        <f>IF($B70="","",REPT("█",ROUND(IFERROR($L70,0)*10,0))&amp;REPT("░",10-ROUND(IFERROR($L70,0)*10,0)))</f>
        <v>█████░░░░░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275</v>
      </c>
      <c r="E71" s="35">
        <f>IF($B71="","",'_Data'!$J$10)</f>
        <v>254.0</v>
      </c>
      <c r="F71" s="35">
        <f>IF(OR($B71="",'_Data'!$H$10=""),"",$D71-$E71)</f>
        <v>21.0</v>
      </c>
      <c r="G71" s="36">
        <f>IF($B71="","",'_Data'!$K$10)</f>
        <v>2</v>
      </c>
      <c r="H71" s="36">
        <f>IF($B71="","",'_Data'!$L$10)</f>
        <v>1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1</v>
      </c>
      <c r="L71" s="37">
        <f>IF($B71="","",'_Data'!$P$10)</f>
        <v>0.5</v>
      </c>
      <c r="M71" s="38" t="str">
        <f>IF($B71="","",REPT("█",ROUND(IFERROR($L71,0)*10,0))&amp;REPT("░",10-ROUND(IFERROR($L71,0)*10,0)))</f>
        <v>█████░░░░░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52</v>
      </c>
      <c r="E72" s="35">
        <f>IF($B72="","",'_Data'!$J$11)</f>
        <v>28.5</v>
      </c>
      <c r="F72" s="35">
        <f>IF(OR($B72="",'_Data'!$H$11=""),"",$D72-$E72)</f>
        <v>23.5</v>
      </c>
      <c r="G72" s="36">
        <f>IF($B72="","",'_Data'!$K$11)</f>
        <v>2</v>
      </c>
      <c r="H72" s="36">
        <f>IF($B72="","",'_Data'!$L$11)</f>
        <v>1</v>
      </c>
      <c r="I72" s="36">
        <f>IF($B72="","",'_Data'!$M$11)</f>
        <v>1</v>
      </c>
      <c r="J72" s="36">
        <f>IF($B72="","",'_Data'!$N$11)</f>
        <v>1</v>
      </c>
      <c r="K72" s="36">
        <f>IF($B72="","",'_Data'!$O$11)</f>
        <v>1</v>
      </c>
      <c r="L72" s="37">
        <f>IF($B72="","",'_Data'!$P$11)</f>
        <v>0.5</v>
      </c>
      <c r="M72" s="38" t="str">
        <f>IF($B72="","",REPT("█",ROUND(IFERROR($L72,0)*10,0))&amp;REPT("░",10-ROUND(IFERROR($L72,0)*10,0)))</f>
        <v>█████░░░░░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65</v>
      </c>
      <c r="E73" s="35">
        <f>IF($B73="","",'_Data'!$J$12)</f>
        <v>32.0</v>
      </c>
      <c r="F73" s="35">
        <f>IF(OR($B73="",'_Data'!$H$12=""),"",$D73-$E73)</f>
        <v>33.0</v>
      </c>
      <c r="G73" s="36">
        <f>IF($B73="","",'_Data'!$K$12)</f>
        <v>2</v>
      </c>
      <c r="H73" s="36">
        <f>IF($B73="","",'_Data'!$L$12)</f>
        <v>1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1</v>
      </c>
      <c r="L73" s="37">
        <f>IF($B73="","",'_Data'!$P$12)</f>
        <v>0.5</v>
      </c>
      <c r="M73" s="38" t="str">
        <f>IF($B73="","",REPT("█",ROUND(IFERROR($L73,0)*10,0))&amp;REPT("░",10-ROUND(IFERROR($L73,0)*10,0)))</f>
        <v>█████░░░░░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58</v>
      </c>
      <c r="E74" s="35">
        <f>IF($B74="","",'_Data'!$J$13)</f>
        <v>53.5</v>
      </c>
      <c r="F74" s="35">
        <f>IF(OR($B74="",'_Data'!$H$13=""),"",$D74-$E74)</f>
        <v>4.5</v>
      </c>
      <c r="G74" s="36">
        <f>IF($B74="","",'_Data'!$K$13)</f>
        <v>2</v>
      </c>
      <c r="H74" s="36">
        <f>IF($B74="","",'_Data'!$L$13)</f>
        <v>2</v>
      </c>
      <c r="I74" s="36">
        <f>IF($B74="","",'_Data'!$M$13)</f>
        <v>2</v>
      </c>
      <c r="J74" s="36">
        <f>IF($B74="","",'_Data'!$N$13)</f>
        <v>1</v>
      </c>
      <c r="K74" s="36">
        <f>IF($B74="","",'_Data'!$O$13)</f>
        <v>0</v>
      </c>
      <c r="L74" s="37">
        <f>IF($B74="","",'_Data'!$P$13)</f>
        <v>1.0</v>
      </c>
      <c r="M74" s="38" t="str">
        <f>IF($B74="","",REPT("█",ROUND(IFERROR($L74,0)*10,0))&amp;REPT("░",10-ROUND(IFERROR($L74,0)*10,0)))</f>
        <v>██████████</v>
      </c>
    </row>
    <row r="75" spans="1:13" ht="18" customHeight="1" x14ac:dyDescent="0.25">
      <c r="A75" s="1"/>
      <c r="B75" s="34" t="str">
        <f>'_Data'!$H$14</f>
        <v>Uncle Bill</v>
      </c>
      <c r="C75" s="34"/>
      <c r="D75" s="35">
        <f>IF($B75="","",'_Data'!$I$14)</f>
        <v>0</v>
      </c>
      <c r="E75" s="35">
        <f>IF($B75="","",'_Data'!$J$14)</f>
        <v>0</v>
      </c>
      <c r="F75" s="35">
        <f>IF(OR($B75="",'_Data'!$H$14=""),"",$D75-$E75)</f>
        <v>0</v>
      </c>
      <c r="G75" s="36">
        <f>IF($B75="","",'_Data'!$K$14)</f>
        <v>0</v>
      </c>
      <c r="H75" s="36">
        <f>IF($B75="","",'_Data'!$L$14)</f>
        <v>0</v>
      </c>
      <c r="I75" s="36">
        <f>IF($B75="","",'_Data'!$M$14)</f>
        <v>0</v>
      </c>
      <c r="J75" s="36">
        <f>IF($B75="","",'_Data'!$N$14)</f>
        <v>0</v>
      </c>
      <c r="K75" s="36">
        <f>IF($B75="","",'_Data'!$O$14)</f>
        <v>0</v>
      </c>
      <c r="L75" s="37">
        <f>IF($B75="","",'_Data'!$P$14)</f>
        <v/>
      </c>
      <c r="M75" s="38" t="str">
        <f>IF($B75="","",REPT("█",ROUND(IFERROR($L75,0)*10,0))&amp;REPT("░",10-ROUND(IFERROR($L75,0)*10,0)))</f>
        <v>░░░░░░░░░░</v>
      </c>
    </row>
    <row r="76" spans="1:13" ht="18" customHeight="1" x14ac:dyDescent="0.25">
      <c r="A76" s="1"/>
      <c r="B76" s="34" t="str">
        <f>'_Data'!$H$15</f>
        <v>Secret Santa</v>
      </c>
      <c r="C76" s="34"/>
      <c r="D76" s="35">
        <f>IF($B76="","",'_Data'!$I$15)</f>
        <v>15</v>
      </c>
      <c r="E76" s="35">
        <f>IF($B76="","",'_Data'!$J$15)</f>
        <v>12.99</v>
      </c>
      <c r="F76" s="35">
        <f>IF(OR($B76="",'_Data'!$H$15=""),"",$D76-$E76)</f>
        <v>2.01</v>
      </c>
      <c r="G76" s="36">
        <f>IF($B76="","",'_Data'!$K$15)</f>
        <v>1</v>
      </c>
      <c r="H76" s="36">
        <f>IF($B76="","",'_Data'!$L$15)</f>
        <v>1</v>
      </c>
      <c r="I76" s="36">
        <f>IF($B76="","",'_Data'!$M$15)</f>
        <v>0</v>
      </c>
      <c r="J76" s="36">
        <f>IF($B76="","",'_Data'!$N$15)</f>
        <v>0</v>
      </c>
      <c r="K76" s="36">
        <f>IF($B76="","",'_Data'!$O$15)</f>
        <v>0</v>
      </c>
      <c r="L76" s="37">
        <f>IF($B76="","",'_Data'!$P$15)</f>
        <v>1.0</v>
      </c>
      <c r="M76" s="38" t="str">
        <f>IF($B76="","",REPT("█",ROUND(IFERROR($L76,0)*10,0))&amp;REPT("░",10-ROUND(IFERROR($L76,0)*10,0)))</f>
        <v>██████████</v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423</v>
      </c>
      <c r="C79" s="39"/>
      <c r="D79" s="40">
        <f>SUM(D63:D78)</f>
        <v>1177</v>
      </c>
      <c r="E79" s="40">
        <f>SUM(E63:E78)</f>
        <v>1003.95</v>
      </c>
      <c r="F79" s="40">
        <f>SUM(F63:F78)</f>
        <v>173.04999999999998</v>
      </c>
      <c r="G79" s="39">
        <f>SUM(G63:G78)</f>
        <v>25</v>
      </c>
      <c r="H79" s="39">
        <f>SUM(H63:H78)</f>
        <v>18</v>
      </c>
      <c r="I79" s="39">
        <f>SUM(I63:I78)</f>
        <v>13</v>
      </c>
      <c r="J79" s="39">
        <f>SUM(J63:J78)</f>
        <v>6</v>
      </c>
      <c r="K79" s="39">
        <f>SUM(K63:K78)</f>
        <v>4</v>
      </c>
      <c r="L79" s="41">
        <f>IFERROR('_Data'!$AF$5/'_Data'!$AF$4,0)</f>
        <v>0.72</v>
      </c>
      <c r="M79" s="42" t="str">
        <f>SUM(M63:M78)</f>
        <v>███████░░░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424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425</v>
      </c>
      <c r="C82" s="43"/>
      <c r="D82" s="44" t="s">
        <v>249</v>
      </c>
      <c r="E82" s="44"/>
      <c r="F82" s="45" t="s">
        <v>250</v>
      </c>
      <c r="G82" s="45"/>
      <c r="H82" s="46" t="s">
        <v>251</v>
      </c>
      <c r="I82" s="46"/>
      <c r="J82" s="47" t="s">
        <v>321</v>
      </c>
      <c r="K82" s="47"/>
      <c r="L82" s="48" t="s">
        <v>253</v>
      </c>
      <c r="M82" s="48"/>
    </row>
    <row r="83" spans="1:13" ht="8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49" t="s">
        <v>426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mergeCells count="94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4:M84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16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1E6B45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🛍️ Shopping List'!A1" display="🛍️ Shop"/>
    <hyperlink ref="J82" location="'⚙️ Setup'!A1" display="⚙️ Setup"/>
    <hyperlink ref="L8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E6B45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32A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0" width="11.7109375" customWidth="1"/>
    <col min="11" max="11" width="11.7109375" customWidth="1"/>
    <col min="12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0" t="s">
        <v>255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1"/>
      <c r="S2" s="1"/>
      <c r="T2" s="1"/>
    </row>
    <row r="3" spans="1:20" ht="18" customHeight="1" x14ac:dyDescent="0.25">
      <c r="A3" s="1"/>
      <c r="B3" s="51" t="s">
        <v>256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2" t="s">
        <v>81</v>
      </c>
      <c r="S3" s="52"/>
      <c r="T3" s="52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3" t="str">
        <f>"🎁 Planned: "&amp;'_Data'!$AF$4</f>
        <v>🎁 Planned: 25</v>
      </c>
      <c r="C5" s="53"/>
      <c r="D5" s="53"/>
      <c r="E5" s="54" t="str">
        <f>"✅ Purchased: "&amp;'_Data'!$AF$5</f>
        <v>✅ Purchased: 18</v>
      </c>
      <c r="F5" s="54"/>
      <c r="G5" s="54"/>
      <c r="H5" s="55" t="str">
        <f>"🎀 Wrapped: "&amp;'_Data'!$AF$6</f>
        <v>🎀 Wrapped: 13</v>
      </c>
      <c r="I5" s="55"/>
      <c r="J5" s="55"/>
      <c r="K5" s="56" t="str">
        <f>"📦 Given: "&amp;'_Data'!$AF$7</f>
        <v>📦 Given: 6</v>
      </c>
      <c r="L5" s="56"/>
      <c r="M5" s="56"/>
      <c r="N5" s="57" t="str">
        <f>"🛒 Still to buy: "&amp;'_Data'!$AF$8</f>
        <v>🛒 Still to buy: 4</v>
      </c>
      <c r="O5" s="57"/>
      <c r="P5" s="57"/>
      <c r="Q5" s="58" t="str">
        <f>"💰 Spent on gifts: "&amp;Currency&amp;TEXT('_Data'!$AF$16,"#,##0")</f>
        <v>💰 Spent on gifts: $1,004</v>
      </c>
      <c r="R5" s="58"/>
      <c r="S5" s="58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257</v>
      </c>
      <c r="C7" s="33" t="s">
        <v>23</v>
      </c>
      <c r="D7" s="33" t="s">
        <v>258</v>
      </c>
      <c r="E7" s="33" t="s">
        <v>259</v>
      </c>
      <c r="F7" s="33" t="s">
        <v>260</v>
      </c>
      <c r="G7" s="33" t="s">
        <v>261</v>
      </c>
      <c r="H7" s="33" t="s">
        <v>262</v>
      </c>
      <c r="I7" s="59" t="s">
        <v>263</v>
      </c>
      <c r="J7" s="33" t="s">
        <v>264</v>
      </c>
      <c r="K7" s="33" t="s">
        <v>265</v>
      </c>
      <c r="L7" s="60" t="s">
        <v>266</v>
      </c>
      <c r="M7" s="60" t="s">
        <v>267</v>
      </c>
      <c r="N7" s="33" t="s">
        <v>33</v>
      </c>
      <c r="O7" s="33" t="s">
        <v>242</v>
      </c>
      <c r="P7" s="33" t="s">
        <v>268</v>
      </c>
      <c r="Q7" s="33" t="s">
        <v>269</v>
      </c>
      <c r="R7" s="60" t="s">
        <v>270</v>
      </c>
      <c r="S7" s="60" t="s">
        <v>271</v>
      </c>
      <c r="T7" s="33" t="s">
        <v>272</v>
      </c>
    </row>
    <row r="8" spans="1:20" ht="20" customHeight="1" x14ac:dyDescent="0.25">
      <c r="A8" s="1"/>
      <c r="B8" s="61">
        <f>IF($C8="","",ROW()-7)</f>
        <v>1</v>
      </c>
      <c r="C8" s="62" t="s">
        <v>125</v>
      </c>
      <c r="D8" s="63" t="s">
        <v>125</v>
      </c>
      <c r="E8" s="62" t="s">
        <v>273</v>
      </c>
      <c r="F8" s="63" t="s">
        <v>126</v>
      </c>
      <c r="G8" s="62" t="s">
        <v>155</v>
      </c>
      <c r="H8" s="64" t="s">
        <v>274</v>
      </c>
      <c r="I8" s="65" t="str">
        <f>IF($H8="","",HYPERLINK($H8,"🔗"))</f>
        <v>🔗</v>
      </c>
      <c r="J8" s="66">
        <v>60</v>
      </c>
      <c r="K8" s="66">
        <v>55</v>
      </c>
      <c r="L8" s="67">
        <f>IF($K8="","",IF($J8="",0,$J8)-$K8)</f>
        <v>5.0</v>
      </c>
      <c r="M8" s="68">
        <f>IF(OR($K8="",$J8="",$J8=0),"",$K8/$J8)</f>
        <v>0.9166666666666666</v>
      </c>
      <c r="N8" s="63" t="s">
        <v>240</v>
      </c>
      <c r="O8" s="69" t="s">
        <v>233</v>
      </c>
      <c r="P8" s="69"/>
      <c r="Q8" s="70">
        <v>46371</v>
      </c>
      <c r="R8" s="71">
        <f>IF($Q8="","",$Q8-TODAY())</f>
        <v>94</v>
      </c>
      <c r="S8" s="65" t="str">
        <f>IF($C8="","",IF(OR($N8="📦 Delivered",$P8="✓"),"✅ Done",IF($Q8="","",IF($Q8&lt;TODAY(),"🔴 Overdue",IF($Q8-TODAY()&lt;=DueSoonDays,"🟠 Due soon","🟢 On track")))))</f>
        <v>🟢 On track</v>
      </c>
      <c r="T8" s="62" t="s">
        <v>275</v>
      </c>
    </row>
    <row r="9" spans="1:20" ht="20" customHeight="1" x14ac:dyDescent="0.25">
      <c r="A9" s="1"/>
      <c r="B9" s="72">
        <f>IF($C9="","",ROW()-7)</f>
        <v>2</v>
      </c>
      <c r="C9" s="73" t="s">
        <v>125</v>
      </c>
      <c r="D9" s="74" t="s">
        <v>125</v>
      </c>
      <c r="E9" s="73" t="s">
        <v>276</v>
      </c>
      <c r="F9" s="74" t="s">
        <v>132</v>
      </c>
      <c r="G9" s="73" t="s">
        <v>185</v>
      </c>
      <c r="H9" s="75" t="s">
        <v>277</v>
      </c>
      <c r="I9" s="65" t="str">
        <f>IF($H9="","",HYPERLINK($H9,"🔗"))</f>
        <v>🔗</v>
      </c>
      <c r="J9" s="76">
        <v>45</v>
      </c>
      <c r="K9" s="76">
        <v>42.99</v>
      </c>
      <c r="L9" s="67">
        <f>IF($K9="","",IF($J9="",0,$J9)-$K9)</f>
        <v>2.009999999999998</v>
      </c>
      <c r="M9" s="68">
        <f>IF(OR($K9="",$J9="",$J9=0),"",$K9/$J9)</f>
        <v>0.9553333333333334</v>
      </c>
      <c r="N9" s="74" t="s">
        <v>242</v>
      </c>
      <c r="O9" s="77" t="s">
        <v>233</v>
      </c>
      <c r="P9" s="77"/>
      <c r="Q9" s="78">
        <v>46371</v>
      </c>
      <c r="R9" s="71">
        <f>IF($Q9="","",$Q9-TODAY())</f>
        <v>94</v>
      </c>
      <c r="S9" s="65" t="str">
        <f>IF($C9="","",IF(OR($N9="📦 Delivered",$P9="✓"),"✅ Done",IF($Q9="","",IF($Q9&lt;TODAY(),"🔴 Overdue",IF($Q9-TODAY()&lt;=DueSoonDays,"🟠 Due soon","🟢 On track")))))</f>
        <v>🟢 On track</v>
      </c>
      <c r="T9" s="73"/>
    </row>
    <row r="10" spans="1:20" ht="20" customHeight="1" x14ac:dyDescent="0.25">
      <c r="A10" s="1"/>
      <c r="B10" s="61">
        <f>IF($C10="","",ROW()-7)</f>
        <v>3</v>
      </c>
      <c r="C10" s="62" t="s">
        <v>131</v>
      </c>
      <c r="D10" s="63" t="s">
        <v>131</v>
      </c>
      <c r="E10" s="62" t="s">
        <v>278</v>
      </c>
      <c r="F10" s="63" t="s">
        <v>126</v>
      </c>
      <c r="G10" s="62" t="s">
        <v>127</v>
      </c>
      <c r="H10" s="64" t="s">
        <v>279</v>
      </c>
      <c r="I10" s="65" t="str">
        <f>IF($H10="","",HYPERLINK($H10,"🔗"))</f>
        <v>🔗</v>
      </c>
      <c r="J10" s="66">
        <v>40</v>
      </c>
      <c r="K10" s="66">
        <v>38.5</v>
      </c>
      <c r="L10" s="67">
        <f>IF($K10="","",IF($J10="",0,$J10)-$K10)</f>
        <v>1.5</v>
      </c>
      <c r="M10" s="68">
        <f>IF(OR($K10="",$J10="",$J10=0),"",$K10/$J10)</f>
        <v>0.9625</v>
      </c>
      <c r="N10" s="63" t="s">
        <v>244</v>
      </c>
      <c r="O10" s="69" t="s">
        <v>233</v>
      </c>
      <c r="P10" s="69" t="s">
        <v>233</v>
      </c>
      <c r="Q10" s="70">
        <v>46367</v>
      </c>
      <c r="R10" s="71">
        <f>IF($Q10="","",$Q10-TODAY())</f>
        <v>90</v>
      </c>
      <c r="S10" s="65" t="str">
        <f>IF($C10="","",IF(OR($N10="📦 Delivered",$P10="✓"),"✅ Done",IF($Q10="","",IF($Q10&lt;TODAY(),"🔴 Overdue",IF($Q10-TODAY()&lt;=DueSoonDays,"🟠 Due soon","🟢 On track")))))</f>
        <v>✅ Done</v>
      </c>
      <c r="T10" s="62" t="s">
        <v>280</v>
      </c>
    </row>
    <row r="11" spans="1:20" ht="20" customHeight="1" x14ac:dyDescent="0.25">
      <c r="A11" s="1"/>
      <c r="B11" s="72">
        <f>IF($C11="","",ROW()-7)</f>
        <v>4</v>
      </c>
      <c r="C11" s="73" t="s">
        <v>131</v>
      </c>
      <c r="D11" s="74" t="s">
        <v>131</v>
      </c>
      <c r="E11" s="73" t="s">
        <v>281</v>
      </c>
      <c r="F11" s="74" t="s">
        <v>169</v>
      </c>
      <c r="G11" s="73" t="s">
        <v>215</v>
      </c>
      <c r="H11" s="75" t="s">
        <v>282</v>
      </c>
      <c r="I11" s="65" t="str">
        <f>IF($H11="","",HYPERLINK($H11,"🔗"))</f>
        <v>🔗</v>
      </c>
      <c r="J11" s="76">
        <v>55</v>
      </c>
      <c r="K11" s="76">
        <v>55</v>
      </c>
      <c r="L11" s="67">
        <f>IF($K11="","",IF($J11="",0,$J11)-$K11)</f>
        <v>0.0</v>
      </c>
      <c r="M11" s="68">
        <f>IF(OR($K11="",$J11="",$J11=0),"",$K11/$J11)</f>
        <v>1.0</v>
      </c>
      <c r="N11" s="74" t="s">
        <v>240</v>
      </c>
      <c r="O11" s="77" t="s">
        <v>233</v>
      </c>
      <c r="P11" s="77"/>
      <c r="Q11" s="78">
        <v>46373</v>
      </c>
      <c r="R11" s="71">
        <f>IF($Q11="","",$Q11-TODAY())</f>
        <v>96</v>
      </c>
      <c r="S11" s="65" t="str">
        <f>IF($C11="","",IF(OR($N11="📦 Delivered",$P11="✓"),"✅ Done",IF($Q11="","",IF($Q11&lt;TODAY(),"🔴 Overdue",IF($Q11-TODAY()&lt;=DueSoonDays,"🟠 Due soon","🟢 On track")))))</f>
        <v>🟢 On track</v>
      </c>
      <c r="T11" s="73"/>
    </row>
    <row r="12" spans="1:20" ht="20" customHeight="1" x14ac:dyDescent="0.25">
      <c r="A12" s="1"/>
      <c r="B12" s="61">
        <f>IF($C12="","",ROW()-7)</f>
        <v>5</v>
      </c>
      <c r="C12" s="62" t="s">
        <v>139</v>
      </c>
      <c r="D12" s="63" t="s">
        <v>140</v>
      </c>
      <c r="E12" s="62" t="s">
        <v>283</v>
      </c>
      <c r="F12" s="63" t="s">
        <v>141</v>
      </c>
      <c r="G12" s="62" t="s">
        <v>127</v>
      </c>
      <c r="H12" s="64" t="s">
        <v>279</v>
      </c>
      <c r="I12" s="65" t="str">
        <f>IF($H12="","",HYPERLINK($H12,"🔗"))</f>
        <v>🔗</v>
      </c>
      <c r="J12" s="66">
        <v>90</v>
      </c>
      <c r="K12" s="66">
        <v>84.98999999999999</v>
      </c>
      <c r="L12" s="67">
        <f>IF($K12="","",IF($J12="",0,$J12)-$K12)</f>
        <v>5.010000000000005</v>
      </c>
      <c r="M12" s="68">
        <f>IF(OR($K12="",$J12="",$J12=0),"",$K12/$J12)</f>
        <v>0.9443333333333332</v>
      </c>
      <c r="N12" s="63" t="s">
        <v>237</v>
      </c>
      <c r="O12" s="69"/>
      <c r="P12" s="69"/>
      <c r="Q12" s="70">
        <v>46376</v>
      </c>
      <c r="R12" s="71">
        <f>IF($Q12="","",$Q12-TODAY())</f>
        <v>99</v>
      </c>
      <c r="S12" s="65" t="str">
        <f>IF($C12="","",IF(OR($N12="📦 Delivered",$P12="✓"),"✅ Done",IF($Q12="","",IF($Q12&lt;TODAY(),"🔴 Overdue",IF($Q12-TODAY()&lt;=DueSoonDays,"🟠 Due soon","🟢 On track")))))</f>
        <v>🟢 On track</v>
      </c>
      <c r="T12" s="62" t="s">
        <v>284</v>
      </c>
    </row>
    <row r="13" spans="1:20" ht="20" customHeight="1" x14ac:dyDescent="0.25">
      <c r="A13" s="1"/>
      <c r="B13" s="72">
        <f>IF($C13="","",ROW()-7)</f>
        <v>6</v>
      </c>
      <c r="C13" s="73" t="s">
        <v>139</v>
      </c>
      <c r="D13" s="74" t="s">
        <v>140</v>
      </c>
      <c r="E13" s="73" t="s">
        <v>285</v>
      </c>
      <c r="F13" s="74" t="s">
        <v>184</v>
      </c>
      <c r="G13" s="73" t="s">
        <v>133</v>
      </c>
      <c r="H13" s="75" t="s">
        <v>286</v>
      </c>
      <c r="I13" s="65" t="str">
        <f>IF($H13="","",HYPERLINK($H13,"🔗"))</f>
        <v>🔗</v>
      </c>
      <c r="J13" s="76">
        <v>45</v>
      </c>
      <c r="K13" s="76">
        <v>45</v>
      </c>
      <c r="L13" s="67">
        <f>IF($K13="","",IF($J13="",0,$J13)-$K13)</f>
        <v>0.0</v>
      </c>
      <c r="M13" s="68">
        <f>IF(OR($K13="",$J13="",$J13=0),"",$K13/$J13)</f>
        <v>1.0</v>
      </c>
      <c r="N13" s="74" t="s">
        <v>242</v>
      </c>
      <c r="O13" s="77" t="s">
        <v>233</v>
      </c>
      <c r="P13" s="77"/>
      <c r="Q13" s="78">
        <v>46369</v>
      </c>
      <c r="R13" s="71">
        <f>IF($Q13="","",$Q13-TODAY())</f>
        <v>92</v>
      </c>
      <c r="S13" s="65" t="str">
        <f>IF($C13="","",IF(OR($N13="📦 Delivered",$P13="✓"),"✅ Done",IF($Q13="","",IF($Q13&lt;TODAY(),"🔴 Overdue",IF($Q13-TODAY()&lt;=DueSoonDays,"🟠 Due soon","🟢 On track")))))</f>
        <v>🟢 On track</v>
      </c>
      <c r="T13" s="73"/>
    </row>
    <row r="14" spans="1:20" ht="20" customHeight="1" x14ac:dyDescent="0.25">
      <c r="A14" s="1"/>
      <c r="B14" s="61">
        <f>IF($C14="","",ROW()-7)</f>
        <v>7</v>
      </c>
      <c r="C14" s="62" t="s">
        <v>146</v>
      </c>
      <c r="D14" s="63" t="s">
        <v>147</v>
      </c>
      <c r="E14" s="62" t="s">
        <v>287</v>
      </c>
      <c r="F14" s="63" t="s">
        <v>154</v>
      </c>
      <c r="G14" s="62" t="s">
        <v>211</v>
      </c>
      <c r="H14" s="64"/>
      <c r="I14" s="65">
        <f>IF($H14="","",HYPERLINK($H14,"🔗"))</f>
        <v/>
      </c>
      <c r="J14" s="66">
        <v>25</v>
      </c>
      <c r="K14" s="66">
        <v>22</v>
      </c>
      <c r="L14" s="67">
        <f>IF($K14="","",IF($J14="",0,$J14)-$K14)</f>
        <v>3.0</v>
      </c>
      <c r="M14" s="68">
        <f>IF(OR($K14="",$J14="",$J14=0),"",$K14/$J14)</f>
        <v>0.88</v>
      </c>
      <c r="N14" s="63" t="s">
        <v>244</v>
      </c>
      <c r="O14" s="69" t="s">
        <v>233</v>
      </c>
      <c r="P14" s="69" t="s">
        <v>233</v>
      </c>
      <c r="Q14" s="70">
        <v>46365</v>
      </c>
      <c r="R14" s="71">
        <f>IF($Q14="","",$Q14-TODAY())</f>
        <v>88</v>
      </c>
      <c r="S14" s="65" t="str">
        <f>IF($C14="","",IF(OR($N14="📦 Delivered",$P14="✓"),"✅ Done",IF($Q14="","",IF($Q14&lt;TODAY(),"🔴 Overdue",IF($Q14-TODAY()&lt;=DueSoonDays,"🟠 Due soon","🟢 On track")))))</f>
        <v>✅ Done</v>
      </c>
      <c r="T14" s="62"/>
    </row>
    <row r="15" spans="1:20" ht="20" customHeight="1" x14ac:dyDescent="0.25">
      <c r="A15" s="1"/>
      <c r="B15" s="72">
        <f>IF($C15="","",ROW()-7)</f>
        <v>8</v>
      </c>
      <c r="C15" s="73" t="s">
        <v>146</v>
      </c>
      <c r="D15" s="74" t="s">
        <v>147</v>
      </c>
      <c r="E15" s="73" t="s">
        <v>288</v>
      </c>
      <c r="F15" s="74" t="s">
        <v>126</v>
      </c>
      <c r="G15" s="73" t="s">
        <v>127</v>
      </c>
      <c r="H15" s="75" t="s">
        <v>279</v>
      </c>
      <c r="I15" s="65" t="str">
        <f>IF($H15="","",HYPERLINK($H15,"🔗"))</f>
        <v>🔗</v>
      </c>
      <c r="J15" s="76">
        <v>30</v>
      </c>
      <c r="K15" s="76">
        <v>27.5</v>
      </c>
      <c r="L15" s="67">
        <f>IF($K15="","",IF($J15="",0,$J15)-$K15)</f>
        <v>2.5</v>
      </c>
      <c r="M15" s="68">
        <f>IF(OR($K15="",$J15="",$J15=0),"",$K15/$J15)</f>
        <v>0.9166666666666666</v>
      </c>
      <c r="N15" s="74" t="s">
        <v>244</v>
      </c>
      <c r="O15" s="77" t="s">
        <v>233</v>
      </c>
      <c r="P15" s="77" t="s">
        <v>233</v>
      </c>
      <c r="Q15" s="78">
        <v>46365</v>
      </c>
      <c r="R15" s="71">
        <f>IF($Q15="","",$Q15-TODAY())</f>
        <v>88</v>
      </c>
      <c r="S15" s="65" t="str">
        <f>IF($C15="","",IF(OR($N15="📦 Delivered",$P15="✓"),"✅ Done",IF($Q15="","",IF($Q15&lt;TODAY(),"🔴 Overdue",IF($Q15-TODAY()&lt;=DueSoonDays,"🟠 Due soon","🟢 On track")))))</f>
        <v>✅ Done</v>
      </c>
      <c r="T15" s="73"/>
    </row>
    <row r="16" spans="1:20" ht="20" customHeight="1" x14ac:dyDescent="0.25">
      <c r="A16" s="1"/>
      <c r="B16" s="61">
        <f>IF($C16="","",ROW()-7)</f>
        <v>9</v>
      </c>
      <c r="C16" s="62" t="s">
        <v>152</v>
      </c>
      <c r="D16" s="63" t="s">
        <v>153</v>
      </c>
      <c r="E16" s="62" t="s">
        <v>289</v>
      </c>
      <c r="F16" s="63" t="s">
        <v>192</v>
      </c>
      <c r="G16" s="62" t="s">
        <v>133</v>
      </c>
      <c r="H16" s="64" t="s">
        <v>286</v>
      </c>
      <c r="I16" s="65" t="str">
        <f>IF($H16="","",HYPERLINK($H16,"🔗"))</f>
        <v>🔗</v>
      </c>
      <c r="J16" s="66">
        <v>50</v>
      </c>
      <c r="K16" s="66">
        <v>48</v>
      </c>
      <c r="L16" s="67">
        <f>IF($K16="","",IF($J16="",0,$J16)-$K16)</f>
        <v>2.0</v>
      </c>
      <c r="M16" s="68">
        <f>IF(OR($K16="",$J16="",$J16=0),"",$K16/$J16)</f>
        <v>0.96</v>
      </c>
      <c r="N16" s="63" t="s">
        <v>242</v>
      </c>
      <c r="O16" s="69" t="s">
        <v>233</v>
      </c>
      <c r="P16" s="69"/>
      <c r="Q16" s="70">
        <v>46375</v>
      </c>
      <c r="R16" s="71">
        <f>IF($Q16="","",$Q16-TODAY())</f>
        <v>98</v>
      </c>
      <c r="S16" s="65" t="str">
        <f>IF($C16="","",IF(OR($N16="📦 Delivered",$P16="✓"),"✅ Done",IF($Q16="","",IF($Q16&lt;TODAY(),"🔴 Overdue",IF($Q16-TODAY()&lt;=DueSoonDays,"🟠 Due soon","🟢 On track")))))</f>
        <v>🟢 On track</v>
      </c>
      <c r="T16" s="62"/>
    </row>
    <row r="17" spans="1:20" ht="20" customHeight="1" x14ac:dyDescent="0.25">
      <c r="A17" s="1"/>
      <c r="B17" s="72">
        <f>IF($C17="","",ROW()-7)</f>
        <v>10</v>
      </c>
      <c r="C17" s="73" t="s">
        <v>152</v>
      </c>
      <c r="D17" s="74" t="s">
        <v>153</v>
      </c>
      <c r="E17" s="73" t="s">
        <v>290</v>
      </c>
      <c r="F17" s="74" t="s">
        <v>132</v>
      </c>
      <c r="G17" s="73" t="s">
        <v>185</v>
      </c>
      <c r="H17" s="75" t="s">
        <v>277</v>
      </c>
      <c r="I17" s="65" t="str">
        <f>IF($H17="","",HYPERLINK($H17,"🔗"))</f>
        <v>🔗</v>
      </c>
      <c r="J17" s="76">
        <v>25</v>
      </c>
      <c r="K17" s="76"/>
      <c r="L17" s="67">
        <f>IF($K17="","",IF($J17="",0,$J17)-$K17)</f>
        <v/>
      </c>
      <c r="M17" s="68">
        <f>IF(OR($K17="",$J17="",$J17=0),"",$K17/$J17)</f>
        <v/>
      </c>
      <c r="N17" s="74" t="s">
        <v>234</v>
      </c>
      <c r="O17" s="77"/>
      <c r="P17" s="77"/>
      <c r="Q17" s="78">
        <v>46375</v>
      </c>
      <c r="R17" s="71">
        <f>IF($Q17="","",$Q17-TODAY())</f>
        <v>98</v>
      </c>
      <c r="S17" s="65" t="str">
        <f>IF($C17="","",IF(OR($N17="📦 Delivered",$P17="✓"),"✅ Done",IF($Q17="","",IF($Q17&lt;TODAY(),"🔴 Overdue",IF($Q17-TODAY()&lt;=DueSoonDays,"🟠 Due soon","🟢 On track")))))</f>
        <v>🟢 On track</v>
      </c>
      <c r="T17" s="73" t="s">
        <v>291</v>
      </c>
    </row>
    <row r="18" spans="1:20" ht="20" customHeight="1" x14ac:dyDescent="0.25">
      <c r="A18" s="1"/>
      <c r="B18" s="61">
        <f>IF($C18="","",ROW()-7)</f>
        <v>11</v>
      </c>
      <c r="C18" s="62" t="s">
        <v>160</v>
      </c>
      <c r="D18" s="63" t="s">
        <v>161</v>
      </c>
      <c r="E18" s="62" t="s">
        <v>292</v>
      </c>
      <c r="F18" s="63" t="s">
        <v>141</v>
      </c>
      <c r="G18" s="62" t="s">
        <v>193</v>
      </c>
      <c r="H18" s="64" t="s">
        <v>293</v>
      </c>
      <c r="I18" s="65" t="str">
        <f>IF($H18="","",HYPERLINK($H18,"🔗"))</f>
        <v>🔗</v>
      </c>
      <c r="J18" s="66">
        <v>80</v>
      </c>
      <c r="K18" s="66">
        <v>74.98999999999999</v>
      </c>
      <c r="L18" s="67">
        <f>IF($K18="","",IF($J18="",0,$J18)-$K18)</f>
        <v>5.010000000000005</v>
      </c>
      <c r="M18" s="68">
        <f>IF(OR($K18="",$J18="",$J18=0),"",$K18/$J18)</f>
        <v>0.937375</v>
      </c>
      <c r="N18" s="63" t="s">
        <v>237</v>
      </c>
      <c r="O18" s="69"/>
      <c r="P18" s="69"/>
      <c r="Q18" s="70">
        <v>46377</v>
      </c>
      <c r="R18" s="71">
        <f>IF($Q18="","",$Q18-TODAY())</f>
        <v>100</v>
      </c>
      <c r="S18" s="65" t="str">
        <f>IF($C18="","",IF(OR($N18="📦 Delivered",$P18="✓"),"✅ Done",IF($Q18="","",IF($Q18&lt;TODAY(),"🔴 Overdue",IF($Q18-TODAY()&lt;=DueSoonDays,"🟠 Due soon","🟢 On track")))))</f>
        <v>🟢 On track</v>
      </c>
      <c r="T18" s="62" t="s">
        <v>294</v>
      </c>
    </row>
    <row r="19" spans="1:20" ht="20" customHeight="1" x14ac:dyDescent="0.25">
      <c r="A19" s="1"/>
      <c r="B19" s="72">
        <f>IF($C19="","",ROW()-7)</f>
        <v>12</v>
      </c>
      <c r="C19" s="73" t="s">
        <v>160</v>
      </c>
      <c r="D19" s="74" t="s">
        <v>161</v>
      </c>
      <c r="E19" s="73" t="s">
        <v>295</v>
      </c>
      <c r="F19" s="74" t="s">
        <v>169</v>
      </c>
      <c r="G19" s="73" t="s">
        <v>163</v>
      </c>
      <c r="H19" s="75"/>
      <c r="I19" s="65">
        <f>IF($H19="","",HYPERLINK($H19,"🔗"))</f>
        <v/>
      </c>
      <c r="J19" s="76">
        <v>35</v>
      </c>
      <c r="K19" s="76">
        <v>33</v>
      </c>
      <c r="L19" s="67">
        <f>IF($K19="","",IF($J19="",0,$J19)-$K19)</f>
        <v>2.0</v>
      </c>
      <c r="M19" s="68">
        <f>IF(OR($K19="",$J19="",$J19=0),"",$K19/$J19)</f>
        <v>0.9428571428571428</v>
      </c>
      <c r="N19" s="74" t="s">
        <v>240</v>
      </c>
      <c r="O19" s="77"/>
      <c r="P19" s="77"/>
      <c r="Q19" s="78">
        <v>46372</v>
      </c>
      <c r="R19" s="71">
        <f>IF($Q19="","",$Q19-TODAY())</f>
        <v>95</v>
      </c>
      <c r="S19" s="65" t="str">
        <f>IF($C19="","",IF(OR($N19="📦 Delivered",$P19="✓"),"✅ Done",IF($Q19="","",IF($Q19&lt;TODAY(),"🔴 Overdue",IF($Q19-TODAY()&lt;=DueSoonDays,"🟠 Due soon","🟢 On track")))))</f>
        <v>🟢 On track</v>
      </c>
      <c r="T19" s="73"/>
    </row>
    <row r="20" spans="1:20" ht="20" customHeight="1" x14ac:dyDescent="0.25">
      <c r="A20" s="1"/>
      <c r="B20" s="61">
        <f>IF($C20="","",ROW()-7)</f>
        <v>13</v>
      </c>
      <c r="C20" s="62" t="s">
        <v>167</v>
      </c>
      <c r="D20" s="63" t="s">
        <v>191</v>
      </c>
      <c r="E20" s="62" t="s">
        <v>296</v>
      </c>
      <c r="F20" s="63" t="s">
        <v>148</v>
      </c>
      <c r="G20" s="62" t="s">
        <v>127</v>
      </c>
      <c r="H20" s="64" t="s">
        <v>279</v>
      </c>
      <c r="I20" s="65" t="str">
        <f>IF($H20="","",HYPERLINK($H20,"🔗"))</f>
        <v>🔗</v>
      </c>
      <c r="J20" s="66">
        <v>45</v>
      </c>
      <c r="K20" s="66">
        <v>39.99</v>
      </c>
      <c r="L20" s="67">
        <f>IF($K20="","",IF($J20="",0,$J20)-$K20)</f>
        <v>5.009999999999998</v>
      </c>
      <c r="M20" s="68">
        <f>IF(OR($K20="",$J20="",$J20=0),"",$K20/$J20)</f>
        <v>0.8886666666666667</v>
      </c>
      <c r="N20" s="63" t="s">
        <v>244</v>
      </c>
      <c r="O20" s="69" t="s">
        <v>233</v>
      </c>
      <c r="P20" s="69" t="s">
        <v>233</v>
      </c>
      <c r="Q20" s="70">
        <v>46363</v>
      </c>
      <c r="R20" s="71">
        <f>IF($Q20="","",$Q20-TODAY())</f>
        <v>86</v>
      </c>
      <c r="S20" s="65" t="str">
        <f>IF($C20="","",IF(OR($N20="📦 Delivered",$P20="✓"),"✅ Done",IF($Q20="","",IF($Q20&lt;TODAY(),"🔴 Overdue",IF($Q20-TODAY()&lt;=DueSoonDays,"🟠 Due soon","🟢 On track")))))</f>
        <v>✅ Done</v>
      </c>
      <c r="T20" s="62" t="s">
        <v>297</v>
      </c>
    </row>
    <row r="21" spans="1:20" ht="20" customHeight="1" x14ac:dyDescent="0.25">
      <c r="A21" s="1"/>
      <c r="B21" s="72">
        <f>IF($C21="","",ROW()-7)</f>
        <v>14</v>
      </c>
      <c r="C21" s="73" t="s">
        <v>167</v>
      </c>
      <c r="D21" s="74" t="s">
        <v>191</v>
      </c>
      <c r="E21" s="73" t="s">
        <v>298</v>
      </c>
      <c r="F21" s="74" t="s">
        <v>214</v>
      </c>
      <c r="G21" s="73" t="s">
        <v>133</v>
      </c>
      <c r="H21" s="75" t="s">
        <v>286</v>
      </c>
      <c r="I21" s="65" t="str">
        <f>IF($H21="","",HYPERLINK($H21,"🔗"))</f>
        <v>🔗</v>
      </c>
      <c r="J21" s="76">
        <v>22</v>
      </c>
      <c r="K21" s="76">
        <v>20</v>
      </c>
      <c r="L21" s="67">
        <f>IF($K21="","",IF($J21="",0,$J21)-$K21)</f>
        <v>2.0</v>
      </c>
      <c r="M21" s="68">
        <f>IF(OR($K21="",$J21="",$J21=0),"",$K21/$J21)</f>
        <v>0.9090909090909091</v>
      </c>
      <c r="N21" s="74" t="s">
        <v>242</v>
      </c>
      <c r="O21" s="77" t="s">
        <v>233</v>
      </c>
      <c r="P21" s="77"/>
      <c r="Q21" s="78">
        <v>46374</v>
      </c>
      <c r="R21" s="71">
        <f>IF($Q21="","",$Q21-TODAY())</f>
        <v>97</v>
      </c>
      <c r="S21" s="65" t="str">
        <f>IF($C21="","",IF(OR($N21="📦 Delivered",$P21="✓"),"✅ Done",IF($Q21="","",IF($Q21&lt;TODAY(),"🔴 Overdue",IF($Q21-TODAY()&lt;=DueSoonDays,"🟠 Due soon","🟢 On track")))))</f>
        <v>🟢 On track</v>
      </c>
      <c r="T21" s="73"/>
    </row>
    <row r="22" spans="1:20" ht="20" customHeight="1" x14ac:dyDescent="0.25">
      <c r="A22" s="1"/>
      <c r="B22" s="61">
        <f>IF($C22="","",ROW()-7)</f>
        <v>15</v>
      </c>
      <c r="C22" s="62" t="s">
        <v>174</v>
      </c>
      <c r="D22" s="63" t="s">
        <v>198</v>
      </c>
      <c r="E22" s="62" t="s">
        <v>299</v>
      </c>
      <c r="F22" s="63" t="s">
        <v>220</v>
      </c>
      <c r="G22" s="62" t="s">
        <v>195</v>
      </c>
      <c r="H22" s="64"/>
      <c r="I22" s="65">
        <f>IF($H22="","",HYPERLINK($H22,"🔗"))</f>
        <v/>
      </c>
      <c r="J22" s="66">
        <v>40</v>
      </c>
      <c r="K22" s="66">
        <v>36</v>
      </c>
      <c r="L22" s="67">
        <f>IF($K22="","",IF($J22="",0,$J22)-$K22)</f>
        <v>4.0</v>
      </c>
      <c r="M22" s="68">
        <f>IF(OR($K22="",$J22="",$J22=0),"",$K22/$J22)</f>
        <v>0.9</v>
      </c>
      <c r="N22" s="63" t="s">
        <v>240</v>
      </c>
      <c r="O22" s="69"/>
      <c r="P22" s="69"/>
      <c r="Q22" s="70">
        <v>46378</v>
      </c>
      <c r="R22" s="71">
        <f>IF($Q22="","",$Q22-TODAY())</f>
        <v>101</v>
      </c>
      <c r="S22" s="65" t="str">
        <f>IF($C22="","",IF(OR($N22="📦 Delivered",$P22="✓"),"✅ Done",IF($Q22="","",IF($Q22&lt;TODAY(),"🔴 Overdue",IF($Q22-TODAY()&lt;=DueSoonDays,"🟠 Due soon","🟢 On track")))))</f>
        <v>🟢 On track</v>
      </c>
      <c r="T22" s="62" t="s">
        <v>300</v>
      </c>
    </row>
    <row r="23" spans="1:20" ht="20" customHeight="1" x14ac:dyDescent="0.25">
      <c r="A23" s="1"/>
      <c r="B23" s="72">
        <f>IF($C23="","",ROW()-7)</f>
        <v>16</v>
      </c>
      <c r="C23" s="73" t="s">
        <v>174</v>
      </c>
      <c r="D23" s="74" t="s">
        <v>198</v>
      </c>
      <c r="E23" s="73" t="s">
        <v>301</v>
      </c>
      <c r="F23" s="74" t="s">
        <v>154</v>
      </c>
      <c r="G23" s="73" t="s">
        <v>211</v>
      </c>
      <c r="H23" s="75"/>
      <c r="I23" s="65">
        <f>IF($H23="","",HYPERLINK($H23,"🔗"))</f>
        <v/>
      </c>
      <c r="J23" s="76">
        <v>25</v>
      </c>
      <c r="K23" s="76"/>
      <c r="L23" s="67">
        <f>IF($K23="","",IF($J23="",0,$J23)-$K23)</f>
        <v/>
      </c>
      <c r="M23" s="68">
        <f>IF(OR($K23="",$J23="",$J23=0),"",$K23/$J23)</f>
        <v/>
      </c>
      <c r="N23" s="74" t="s">
        <v>230</v>
      </c>
      <c r="O23" s="77"/>
      <c r="P23" s="77"/>
      <c r="Q23" s="78">
        <v>46378</v>
      </c>
      <c r="R23" s="71">
        <f>IF($Q23="","",$Q23-TODAY())</f>
        <v>101</v>
      </c>
      <c r="S23" s="65" t="str">
        <f>IF($C23="","",IF(OR($N23="📦 Delivered",$P23="✓"),"✅ Done",IF($Q23="","",IF($Q23&lt;TODAY(),"🔴 Overdue",IF($Q23-TODAY()&lt;=DueSoonDays,"🟠 Due soon","🟢 On track")))))</f>
        <v>🟢 On track</v>
      </c>
      <c r="T23" s="73" t="s">
        <v>302</v>
      </c>
    </row>
    <row r="24" spans="1:20" ht="20" customHeight="1" x14ac:dyDescent="0.25">
      <c r="A24" s="1"/>
      <c r="B24" s="61">
        <f>IF($C24="","",ROW()-7)</f>
        <v>17</v>
      </c>
      <c r="C24" s="62" t="s">
        <v>182</v>
      </c>
      <c r="D24" s="63" t="s">
        <v>168</v>
      </c>
      <c r="E24" s="62" t="s">
        <v>303</v>
      </c>
      <c r="F24" s="63" t="s">
        <v>220</v>
      </c>
      <c r="G24" s="62" t="s">
        <v>195</v>
      </c>
      <c r="H24" s="64"/>
      <c r="I24" s="65">
        <f>IF($H24="","",HYPERLINK($H24,"🔗"))</f>
        <v/>
      </c>
      <c r="J24" s="66">
        <v>180</v>
      </c>
      <c r="K24" s="66">
        <v>165</v>
      </c>
      <c r="L24" s="67">
        <f>IF($K24="","",IF($J24="",0,$J24)-$K24)</f>
        <v>15.0</v>
      </c>
      <c r="M24" s="68">
        <f>IF(OR($K24="",$J24="",$J24=0),"",$K24/$J24)</f>
        <v>0.9166666666666666</v>
      </c>
      <c r="N24" s="63" t="s">
        <v>240</v>
      </c>
      <c r="O24" s="69"/>
      <c r="P24" s="69"/>
      <c r="Q24" s="70">
        <v>46379</v>
      </c>
      <c r="R24" s="71">
        <f>IF($Q24="","",$Q24-TODAY())</f>
        <v>102</v>
      </c>
      <c r="S24" s="65" t="str">
        <f>IF($C24="","",IF(OR($N24="📦 Delivered",$P24="✓"),"✅ Done",IF($Q24="","",IF($Q24&lt;TODAY(),"🔴 Overdue",IF($Q24-TODAY()&lt;=DueSoonDays,"🟠 Due soon","🟢 On track")))))</f>
        <v>🟢 On track</v>
      </c>
      <c r="T24" s="62" t="s">
        <v>304</v>
      </c>
    </row>
    <row r="25" spans="1:20" ht="20" customHeight="1" x14ac:dyDescent="0.25">
      <c r="A25" s="1"/>
      <c r="B25" s="72">
        <f>IF($C25="","",ROW()-7)</f>
        <v>18</v>
      </c>
      <c r="C25" s="73" t="s">
        <v>182</v>
      </c>
      <c r="D25" s="74" t="s">
        <v>168</v>
      </c>
      <c r="E25" s="73" t="s">
        <v>305</v>
      </c>
      <c r="F25" s="74" t="s">
        <v>192</v>
      </c>
      <c r="G25" s="73" t="s">
        <v>133</v>
      </c>
      <c r="H25" s="75" t="s">
        <v>286</v>
      </c>
      <c r="I25" s="65" t="str">
        <f>IF($H25="","",HYPERLINK($H25,"🔗"))</f>
        <v>🔗</v>
      </c>
      <c r="J25" s="76">
        <v>95</v>
      </c>
      <c r="K25" s="76">
        <v>89</v>
      </c>
      <c r="L25" s="67">
        <f>IF($K25="","",IF($J25="",0,$J25)-$K25)</f>
        <v>6.0</v>
      </c>
      <c r="M25" s="68">
        <f>IF(OR($K25="",$J25="",$J25=0),"",$K25/$J25)</f>
        <v>0.9368421052631579</v>
      </c>
      <c r="N25" s="74" t="s">
        <v>237</v>
      </c>
      <c r="O25" s="77"/>
      <c r="P25" s="77"/>
      <c r="Q25" s="78">
        <v>46376</v>
      </c>
      <c r="R25" s="71">
        <f>IF($Q25="","",$Q25-TODAY())</f>
        <v>99</v>
      </c>
      <c r="S25" s="65" t="str">
        <f>IF($C25="","",IF(OR($N25="📦 Delivered",$P25="✓"),"✅ Done",IF($Q25="","",IF($Q25&lt;TODAY(),"🔴 Overdue",IF($Q25-TODAY()&lt;=DueSoonDays,"🟠 Due soon","🟢 On track")))))</f>
        <v>🟢 On track</v>
      </c>
      <c r="T25" s="73"/>
    </row>
    <row r="26" spans="1:20" ht="20" customHeight="1" x14ac:dyDescent="0.25">
      <c r="A26" s="1"/>
      <c r="B26" s="61">
        <f>IF($C26="","",ROW()-7)</f>
        <v>19</v>
      </c>
      <c r="C26" s="62" t="s">
        <v>190</v>
      </c>
      <c r="D26" s="63" t="s">
        <v>216</v>
      </c>
      <c r="E26" s="62" t="s">
        <v>306</v>
      </c>
      <c r="F26" s="63" t="s">
        <v>162</v>
      </c>
      <c r="G26" s="62" t="s">
        <v>215</v>
      </c>
      <c r="H26" s="64" t="s">
        <v>282</v>
      </c>
      <c r="I26" s="65" t="str">
        <f>IF($H26="","",HYPERLINK($H26,"🔗"))</f>
        <v>🔗</v>
      </c>
      <c r="J26" s="66">
        <v>30</v>
      </c>
      <c r="K26" s="66">
        <v>28.5</v>
      </c>
      <c r="L26" s="67">
        <f>IF($K26="","",IF($J26="",0,$J26)-$K26)</f>
        <v>1.5</v>
      </c>
      <c r="M26" s="68">
        <f>IF(OR($K26="",$J26="",$J26=0),"",$K26/$J26)</f>
        <v>0.95</v>
      </c>
      <c r="N26" s="63" t="s">
        <v>244</v>
      </c>
      <c r="O26" s="69" t="s">
        <v>233</v>
      </c>
      <c r="P26" s="69" t="s">
        <v>233</v>
      </c>
      <c r="Q26" s="70">
        <v>46361</v>
      </c>
      <c r="R26" s="71">
        <f>IF($Q26="","",$Q26-TODAY())</f>
        <v>84</v>
      </c>
      <c r="S26" s="65" t="str">
        <f>IF($C26="","",IF(OR($N26="📦 Delivered",$P26="✓"),"✅ Done",IF($Q26="","",IF($Q26&lt;TODAY(),"🔴 Overdue",IF($Q26-TODAY()&lt;=DueSoonDays,"🟠 Due soon","🟢 On track")))))</f>
        <v>✅ Done</v>
      </c>
      <c r="T26" s="62"/>
    </row>
    <row r="27" spans="1:20" ht="20" customHeight="1" x14ac:dyDescent="0.25">
      <c r="A27" s="1"/>
      <c r="B27" s="72">
        <f>IF($C27="","",ROW()-7)</f>
        <v>20</v>
      </c>
      <c r="C27" s="73" t="s">
        <v>190</v>
      </c>
      <c r="D27" s="74" t="s">
        <v>216</v>
      </c>
      <c r="E27" s="73" t="s">
        <v>307</v>
      </c>
      <c r="F27" s="74" t="s">
        <v>154</v>
      </c>
      <c r="G27" s="73" t="s">
        <v>127</v>
      </c>
      <c r="H27" s="75" t="s">
        <v>279</v>
      </c>
      <c r="I27" s="65" t="str">
        <f>IF($H27="","",HYPERLINK($H27,"🔗"))</f>
        <v>🔗</v>
      </c>
      <c r="J27" s="76">
        <v>22</v>
      </c>
      <c r="K27" s="76"/>
      <c r="L27" s="67">
        <f>IF($K27="","",IF($J27="",0,$J27)-$K27)</f>
        <v/>
      </c>
      <c r="M27" s="68">
        <f>IF(OR($K27="",$J27="",$J27=0),"",$K27/$J27)</f>
        <v/>
      </c>
      <c r="N27" s="74" t="s">
        <v>234</v>
      </c>
      <c r="O27" s="77"/>
      <c r="P27" s="77"/>
      <c r="Q27" s="78">
        <v>46375</v>
      </c>
      <c r="R27" s="71">
        <f>IF($Q27="","",$Q27-TODAY())</f>
        <v>98</v>
      </c>
      <c r="S27" s="65" t="str">
        <f>IF($C27="","",IF(OR($N27="📦 Delivered",$P27="✓"),"✅ Done",IF($Q27="","",IF($Q27&lt;TODAY(),"🔴 Overdue",IF($Q27-TODAY()&lt;=DueSoonDays,"🟠 Due soon","🟢 On track")))))</f>
        <v>🟢 On track</v>
      </c>
      <c r="T27" s="73"/>
    </row>
    <row r="28" spans="1:20" ht="20" customHeight="1" x14ac:dyDescent="0.25">
      <c r="A28" s="1"/>
      <c r="B28" s="61">
        <f>IF($C28="","",ROW()-7)</f>
        <v>21</v>
      </c>
      <c r="C28" s="62" t="s">
        <v>197</v>
      </c>
      <c r="D28" s="63" t="s">
        <v>204</v>
      </c>
      <c r="E28" s="62" t="s">
        <v>308</v>
      </c>
      <c r="F28" s="63" t="s">
        <v>199</v>
      </c>
      <c r="G28" s="62" t="s">
        <v>142</v>
      </c>
      <c r="H28" s="64" t="s">
        <v>309</v>
      </c>
      <c r="I28" s="65" t="str">
        <f>IF($H28="","",HYPERLINK($H28,"🔗"))</f>
        <v>🔗</v>
      </c>
      <c r="J28" s="66">
        <v>35</v>
      </c>
      <c r="K28" s="66">
        <v>32</v>
      </c>
      <c r="L28" s="67">
        <f>IF($K28="","",IF($J28="",0,$J28)-$K28)</f>
        <v>3.0</v>
      </c>
      <c r="M28" s="68">
        <f>IF(OR($K28="",$J28="",$J28=0),"",$K28/$J28)</f>
        <v>0.9142857142857143</v>
      </c>
      <c r="N28" s="63" t="s">
        <v>240</v>
      </c>
      <c r="O28" s="69"/>
      <c r="P28" s="69"/>
      <c r="Q28" s="70">
        <v>46373</v>
      </c>
      <c r="R28" s="71">
        <f>IF($Q28="","",$Q28-TODAY())</f>
        <v>96</v>
      </c>
      <c r="S28" s="65" t="str">
        <f>IF($C28="","",IF(OR($N28="📦 Delivered",$P28="✓"),"✅ Done",IF($Q28="","",IF($Q28&lt;TODAY(),"🔴 Overdue",IF($Q28-TODAY()&lt;=DueSoonDays,"🟠 Due soon","🟢 On track")))))</f>
        <v>🟢 On track</v>
      </c>
      <c r="T28" s="62"/>
    </row>
    <row r="29" spans="1:20" ht="20" customHeight="1" x14ac:dyDescent="0.25">
      <c r="A29" s="1"/>
      <c r="B29" s="72">
        <f>IF($C29="","",ROW()-7)</f>
        <v>22</v>
      </c>
      <c r="C29" s="73" t="s">
        <v>197</v>
      </c>
      <c r="D29" s="74" t="s">
        <v>204</v>
      </c>
      <c r="E29" s="73" t="s">
        <v>310</v>
      </c>
      <c r="F29" s="74" t="s">
        <v>169</v>
      </c>
      <c r="G29" s="73" t="s">
        <v>133</v>
      </c>
      <c r="H29" s="75" t="s">
        <v>286</v>
      </c>
      <c r="I29" s="65" t="str">
        <f>IF($H29="","",HYPERLINK($H29,"🔗"))</f>
        <v>🔗</v>
      </c>
      <c r="J29" s="76">
        <v>30</v>
      </c>
      <c r="K29" s="76"/>
      <c r="L29" s="67">
        <f>IF($K29="","",IF($J29="",0,$J29)-$K29)</f>
        <v/>
      </c>
      <c r="M29" s="68">
        <f>IF(OR($K29="",$J29="",$J29=0),"",$K29/$J29)</f>
        <v/>
      </c>
      <c r="N29" s="74" t="s">
        <v>234</v>
      </c>
      <c r="O29" s="77"/>
      <c r="P29" s="77"/>
      <c r="Q29" s="78">
        <v>46373</v>
      </c>
      <c r="R29" s="71">
        <f>IF($Q29="","",$Q29-TODAY())</f>
        <v>96</v>
      </c>
      <c r="S29" s="65" t="str">
        <f>IF($C29="","",IF(OR($N29="📦 Delivered",$P29="✓"),"✅ Done",IF($Q29="","",IF($Q29&lt;TODAY(),"🔴 Overdue",IF($Q29-TODAY()&lt;=DueSoonDays,"🟠 Due soon","🟢 On track")))))</f>
        <v>🟢 On track</v>
      </c>
      <c r="T29" s="73" t="s">
        <v>311</v>
      </c>
    </row>
    <row r="30" spans="1:20" ht="20" customHeight="1" x14ac:dyDescent="0.25">
      <c r="A30" s="1"/>
      <c r="B30" s="61">
        <f>IF($C30="","",ROW()-7)</f>
        <v>23</v>
      </c>
      <c r="C30" s="62" t="s">
        <v>203</v>
      </c>
      <c r="D30" s="63" t="s">
        <v>209</v>
      </c>
      <c r="E30" s="62" t="s">
        <v>312</v>
      </c>
      <c r="F30" s="63" t="s">
        <v>126</v>
      </c>
      <c r="G30" s="62" t="s">
        <v>206</v>
      </c>
      <c r="H30" s="64" t="s">
        <v>313</v>
      </c>
      <c r="I30" s="65" t="str">
        <f>IF($H30="","",HYPERLINK($H30,"🔗"))</f>
        <v>🔗</v>
      </c>
      <c r="J30" s="66">
        <v>40</v>
      </c>
      <c r="K30" s="66">
        <v>37.5</v>
      </c>
      <c r="L30" s="67">
        <f>IF($K30="","",IF($J30="",0,$J30)-$K30)</f>
        <v>2.5</v>
      </c>
      <c r="M30" s="68">
        <f>IF(OR($K30="",$J30="",$J30=0),"",$K30/$J30)</f>
        <v>0.9375</v>
      </c>
      <c r="N30" s="63" t="s">
        <v>244</v>
      </c>
      <c r="O30" s="69" t="s">
        <v>233</v>
      </c>
      <c r="P30" s="69" t="s">
        <v>233</v>
      </c>
      <c r="Q30" s="70">
        <v>46360</v>
      </c>
      <c r="R30" s="71">
        <f>IF($Q30="","",$Q30-TODAY())</f>
        <v>83</v>
      </c>
      <c r="S30" s="65" t="str">
        <f>IF($C30="","",IF(OR($N30="📦 Delivered",$P30="✓"),"✅ Done",IF($Q30="","",IF($Q30&lt;TODAY(),"🔴 Overdue",IF($Q30-TODAY()&lt;=DueSoonDays,"🟠 Due soon","🟢 On track")))))</f>
        <v>✅ Done</v>
      </c>
      <c r="T30" s="62"/>
    </row>
    <row r="31" spans="1:20" ht="20" customHeight="1" x14ac:dyDescent="0.25">
      <c r="A31" s="1"/>
      <c r="B31" s="72">
        <f>IF($C31="","",ROW()-7)</f>
        <v>24</v>
      </c>
      <c r="C31" s="73" t="s">
        <v>203</v>
      </c>
      <c r="D31" s="74" t="s">
        <v>209</v>
      </c>
      <c r="E31" s="73" t="s">
        <v>314</v>
      </c>
      <c r="F31" s="74" t="s">
        <v>162</v>
      </c>
      <c r="G31" s="73" t="s">
        <v>127</v>
      </c>
      <c r="H31" s="75" t="s">
        <v>279</v>
      </c>
      <c r="I31" s="65" t="str">
        <f>IF($H31="","",HYPERLINK($H31,"🔗"))</f>
        <v>🔗</v>
      </c>
      <c r="J31" s="76">
        <v>18</v>
      </c>
      <c r="K31" s="76">
        <v>16</v>
      </c>
      <c r="L31" s="67">
        <f>IF($K31="","",IF($J31="",0,$J31)-$K31)</f>
        <v>2.0</v>
      </c>
      <c r="M31" s="68">
        <f>IF(OR($K31="",$J31="",$J31=0),"",$K31/$J31)</f>
        <v>0.8888888888888888</v>
      </c>
      <c r="N31" s="74" t="s">
        <v>242</v>
      </c>
      <c r="O31" s="77" t="s">
        <v>233</v>
      </c>
      <c r="P31" s="77"/>
      <c r="Q31" s="78">
        <v>46374</v>
      </c>
      <c r="R31" s="71">
        <f>IF($Q31="","",$Q31-TODAY())</f>
        <v>97</v>
      </c>
      <c r="S31" s="65" t="str">
        <f>IF($C31="","",IF(OR($N31="📦 Delivered",$P31="✓"),"✅ Done",IF($Q31="","",IF($Q31&lt;TODAY(),"🔴 Overdue",IF($Q31-TODAY()&lt;=DueSoonDays,"🟠 Due soon","🟢 On track")))))</f>
        <v>🟢 On track</v>
      </c>
      <c r="T31" s="73"/>
    </row>
    <row r="32" spans="1:20" ht="20" customHeight="1" x14ac:dyDescent="0.25">
      <c r="A32" s="1"/>
      <c r="B32" s="61">
        <f>IF($C32="","",ROW()-7)</f>
        <v>25</v>
      </c>
      <c r="C32" s="62" t="s">
        <v>5</v>
      </c>
      <c r="D32" s="63" t="s">
        <v>5</v>
      </c>
      <c r="E32" s="62" t="s">
        <v>315</v>
      </c>
      <c r="F32" s="63" t="s">
        <v>195</v>
      </c>
      <c r="G32" s="62" t="s">
        <v>142</v>
      </c>
      <c r="H32" s="64" t="s">
        <v>309</v>
      </c>
      <c r="I32" s="65" t="str">
        <f>IF($H32="","",HYPERLINK($H32,"🔗"))</f>
        <v>🔗</v>
      </c>
      <c r="J32" s="66">
        <v>15</v>
      </c>
      <c r="K32" s="66">
        <v>12.99</v>
      </c>
      <c r="L32" s="67">
        <f>IF($K32="","",IF($J32="",0,$J32)-$K32)</f>
        <v>2.01</v>
      </c>
      <c r="M32" s="68">
        <f>IF(OR($K32="",$J32="",$J32=0),"",$K32/$J32)</f>
        <v>0.866</v>
      </c>
      <c r="N32" s="63" t="s">
        <v>240</v>
      </c>
      <c r="O32" s="69"/>
      <c r="P32" s="69"/>
      <c r="Q32" s="70">
        <v>46377</v>
      </c>
      <c r="R32" s="71">
        <f>IF($Q32="","",$Q32-TODAY())</f>
        <v>100</v>
      </c>
      <c r="S32" s="65" t="str">
        <f>IF($C32="","",IF(OR($N32="📦 Delivered",$P32="✓"),"✅ Done",IF($Q32="","",IF($Q32&lt;TODAY(),"🔴 Overdue",IF($Q32-TODAY()&lt;=DueSoonDays,"🟠 Due soon","🟢 On track")))))</f>
        <v>🟢 On track</v>
      </c>
      <c r="T32" s="62" t="s">
        <v>316</v>
      </c>
    </row>
    <row r="33" spans="1:20" ht="20" customHeight="1" x14ac:dyDescent="0.25">
      <c r="A33" s="1"/>
      <c r="B33" s="72">
        <f>IF($C33="","",ROW()-7)</f>
        <v/>
      </c>
      <c r="C33" s="73"/>
      <c r="D33" s="74"/>
      <c r="E33" s="73"/>
      <c r="F33" s="74"/>
      <c r="G33" s="73"/>
      <c r="H33" s="75"/>
      <c r="I33" s="65">
        <f>IF($H33="","",HYPERLINK($H33,"🔗"))</f>
        <v/>
      </c>
      <c r="J33" s="76"/>
      <c r="K33" s="76"/>
      <c r="L33" s="67">
        <f>IF($K33="","",IF($J33="",0,$J33)-$K33)</f>
        <v/>
      </c>
      <c r="M33" s="68">
        <f>IF(OR($K33="",$J33="",$J33=0),"",$K33/$J33)</f>
        <v/>
      </c>
      <c r="N33" s="74"/>
      <c r="O33" s="77"/>
      <c r="P33" s="77"/>
      <c r="Q33" s="78"/>
      <c r="R33" s="71">
        <f>IF($Q33="","",$Q33-TODAY())</f>
        <v/>
      </c>
      <c r="S33" s="65">
        <f>IF($C33="","",IF(OR($N33="📦 Delivered",$P33="✓"),"✅ Done",IF($Q33="","",IF($Q33&lt;TODAY(),"🔴 Overdue",IF($Q33-TODAY()&lt;=DueSoonDays,"🟠 Due soon","🟢 On track")))))</f>
        <v/>
      </c>
      <c r="T33" s="73"/>
    </row>
    <row r="34" spans="1:20" ht="20" customHeight="1" x14ac:dyDescent="0.25">
      <c r="A34" s="1"/>
      <c r="B34" s="61">
        <f>IF($C34="","",ROW()-7)</f>
        <v/>
      </c>
      <c r="C34" s="62"/>
      <c r="D34" s="63"/>
      <c r="E34" s="62"/>
      <c r="F34" s="63"/>
      <c r="G34" s="62"/>
      <c r="H34" s="64"/>
      <c r="I34" s="65">
        <f>IF($H34="","",HYPERLINK($H34,"🔗"))</f>
        <v/>
      </c>
      <c r="J34" s="66"/>
      <c r="K34" s="66"/>
      <c r="L34" s="67">
        <f>IF($K34="","",IF($J34="",0,$J34)-$K34)</f>
        <v/>
      </c>
      <c r="M34" s="68">
        <f>IF(OR($K34="",$J34="",$J34=0),"",$K34/$J34)</f>
        <v/>
      </c>
      <c r="N34" s="63"/>
      <c r="O34" s="69"/>
      <c r="P34" s="69"/>
      <c r="Q34" s="70"/>
      <c r="R34" s="71">
        <f>IF($Q34="","",$Q34-TODAY())</f>
        <v/>
      </c>
      <c r="S34" s="65">
        <f>IF($C34="","",IF(OR($N34="📦 Delivered",$P34="✓"),"✅ Done",IF($Q34="","",IF($Q34&lt;TODAY(),"🔴 Overdue",IF($Q34-TODAY()&lt;=DueSoonDays,"🟠 Due soon","🟢 On track")))))</f>
        <v/>
      </c>
      <c r="T34" s="62"/>
    </row>
    <row r="35" spans="1:20" ht="20" customHeight="1" x14ac:dyDescent="0.25">
      <c r="A35" s="1"/>
      <c r="B35" s="72">
        <f>IF($C35="","",ROW()-7)</f>
        <v/>
      </c>
      <c r="C35" s="73"/>
      <c r="D35" s="74"/>
      <c r="E35" s="73"/>
      <c r="F35" s="74"/>
      <c r="G35" s="73"/>
      <c r="H35" s="75"/>
      <c r="I35" s="65">
        <f>IF($H35="","",HYPERLINK($H35,"🔗"))</f>
        <v/>
      </c>
      <c r="J35" s="76"/>
      <c r="K35" s="76"/>
      <c r="L35" s="67">
        <f>IF($K35="","",IF($J35="",0,$J35)-$K35)</f>
        <v/>
      </c>
      <c r="M35" s="68">
        <f>IF(OR($K35="",$J35="",$J35=0),"",$K35/$J35)</f>
        <v/>
      </c>
      <c r="N35" s="74"/>
      <c r="O35" s="77"/>
      <c r="P35" s="77"/>
      <c r="Q35" s="78"/>
      <c r="R35" s="71">
        <f>IF($Q35="","",$Q35-TODAY())</f>
        <v/>
      </c>
      <c r="S35" s="65">
        <f>IF($C35="","",IF(OR($N35="📦 Delivered",$P35="✓"),"✅ Done",IF($Q35="","",IF($Q35&lt;TODAY(),"🔴 Overdue",IF($Q35-TODAY()&lt;=DueSoonDays,"🟠 Due soon","🟢 On track")))))</f>
        <v/>
      </c>
      <c r="T35" s="73"/>
    </row>
    <row r="36" spans="1:20" ht="20" customHeight="1" x14ac:dyDescent="0.25">
      <c r="A36" s="1"/>
      <c r="B36" s="61">
        <f>IF($C36="","",ROW()-7)</f>
        <v/>
      </c>
      <c r="C36" s="62"/>
      <c r="D36" s="63"/>
      <c r="E36" s="62"/>
      <c r="F36" s="63"/>
      <c r="G36" s="62"/>
      <c r="H36" s="64"/>
      <c r="I36" s="65">
        <f>IF($H36="","",HYPERLINK($H36,"🔗"))</f>
        <v/>
      </c>
      <c r="J36" s="66"/>
      <c r="K36" s="66"/>
      <c r="L36" s="67">
        <f>IF($K36="","",IF($J36="",0,$J36)-$K36)</f>
        <v/>
      </c>
      <c r="M36" s="68">
        <f>IF(OR($K36="",$J36="",$J36=0),"",$K36/$J36)</f>
        <v/>
      </c>
      <c r="N36" s="63"/>
      <c r="O36" s="69"/>
      <c r="P36" s="69"/>
      <c r="Q36" s="70"/>
      <c r="R36" s="71">
        <f>IF($Q36="","",$Q36-TODAY())</f>
        <v/>
      </c>
      <c r="S36" s="65">
        <f>IF($C36="","",IF(OR($N36="📦 Delivered",$P36="✓"),"✅ Done",IF($Q36="","",IF($Q36&lt;TODAY(),"🔴 Overdue",IF($Q36-TODAY()&lt;=DueSoonDays,"🟠 Due soon","🟢 On track")))))</f>
        <v/>
      </c>
      <c r="T36" s="62"/>
    </row>
    <row r="37" spans="1:20" ht="20" customHeight="1" x14ac:dyDescent="0.25">
      <c r="A37" s="1"/>
      <c r="B37" s="72">
        <f>IF($C37="","",ROW()-7)</f>
        <v/>
      </c>
      <c r="C37" s="73"/>
      <c r="D37" s="74"/>
      <c r="E37" s="73"/>
      <c r="F37" s="74"/>
      <c r="G37" s="73"/>
      <c r="H37" s="75"/>
      <c r="I37" s="65">
        <f>IF($H37="","",HYPERLINK($H37,"🔗"))</f>
        <v/>
      </c>
      <c r="J37" s="76"/>
      <c r="K37" s="76"/>
      <c r="L37" s="67">
        <f>IF($K37="","",IF($J37="",0,$J37)-$K37)</f>
        <v/>
      </c>
      <c r="M37" s="68">
        <f>IF(OR($K37="",$J37="",$J37=0),"",$K37/$J37)</f>
        <v/>
      </c>
      <c r="N37" s="74"/>
      <c r="O37" s="77"/>
      <c r="P37" s="77"/>
      <c r="Q37" s="78"/>
      <c r="R37" s="71">
        <f>IF($Q37="","",$Q37-TODAY())</f>
        <v/>
      </c>
      <c r="S37" s="65">
        <f>IF($C37="","",IF(OR($N37="📦 Delivered",$P37="✓"),"✅ Done",IF($Q37="","",IF($Q37&lt;TODAY(),"🔴 Overdue",IF($Q37-TODAY()&lt;=DueSoonDays,"🟠 Due soon","🟢 On track")))))</f>
        <v/>
      </c>
      <c r="T37" s="73"/>
    </row>
    <row r="38" spans="1:20" ht="20" customHeight="1" x14ac:dyDescent="0.25">
      <c r="A38" s="1"/>
      <c r="B38" s="61">
        <f>IF($C38="","",ROW()-7)</f>
        <v/>
      </c>
      <c r="C38" s="62"/>
      <c r="D38" s="63"/>
      <c r="E38" s="62"/>
      <c r="F38" s="63"/>
      <c r="G38" s="62"/>
      <c r="H38" s="64"/>
      <c r="I38" s="65">
        <f>IF($H38="","",HYPERLINK($H38,"🔗"))</f>
        <v/>
      </c>
      <c r="J38" s="66"/>
      <c r="K38" s="66"/>
      <c r="L38" s="67">
        <f>IF($K38="","",IF($J38="",0,$J38)-$K38)</f>
        <v/>
      </c>
      <c r="M38" s="68">
        <f>IF(OR($K38="",$J38="",$J38=0),"",$K38/$J38)</f>
        <v/>
      </c>
      <c r="N38" s="63"/>
      <c r="O38" s="69"/>
      <c r="P38" s="69"/>
      <c r="Q38" s="70"/>
      <c r="R38" s="71">
        <f>IF($Q38="","",$Q38-TODAY())</f>
        <v/>
      </c>
      <c r="S38" s="65">
        <f>IF($C38="","",IF(OR($N38="📦 Delivered",$P38="✓"),"✅ Done",IF($Q38="","",IF($Q38&lt;TODAY(),"🔴 Overdue",IF($Q38-TODAY()&lt;=DueSoonDays,"🟠 Due soon","🟢 On track")))))</f>
        <v/>
      </c>
      <c r="T38" s="62"/>
    </row>
    <row r="39" spans="1:20" ht="20" customHeight="1" x14ac:dyDescent="0.25">
      <c r="A39" s="1"/>
      <c r="B39" s="72">
        <f>IF($C39="","",ROW()-7)</f>
        <v/>
      </c>
      <c r="C39" s="73"/>
      <c r="D39" s="74"/>
      <c r="E39" s="73"/>
      <c r="F39" s="74"/>
      <c r="G39" s="73"/>
      <c r="H39" s="75"/>
      <c r="I39" s="65">
        <f>IF($H39="","",HYPERLINK($H39,"🔗"))</f>
        <v/>
      </c>
      <c r="J39" s="76"/>
      <c r="K39" s="76"/>
      <c r="L39" s="67">
        <f>IF($K39="","",IF($J39="",0,$J39)-$K39)</f>
        <v/>
      </c>
      <c r="M39" s="68">
        <f>IF(OR($K39="",$J39="",$J39=0),"",$K39/$J39)</f>
        <v/>
      </c>
      <c r="N39" s="74"/>
      <c r="O39" s="77"/>
      <c r="P39" s="77"/>
      <c r="Q39" s="78"/>
      <c r="R39" s="71">
        <f>IF($Q39="","",$Q39-TODAY())</f>
        <v/>
      </c>
      <c r="S39" s="65">
        <f>IF($C39="","",IF(OR($N39="📦 Delivered",$P39="✓"),"✅ Done",IF($Q39="","",IF($Q39&lt;TODAY(),"🔴 Overdue",IF($Q39-TODAY()&lt;=DueSoonDays,"🟠 Due soon","🟢 On track")))))</f>
        <v/>
      </c>
      <c r="T39" s="73"/>
    </row>
    <row r="40" spans="1:20" ht="20" customHeight="1" x14ac:dyDescent="0.25">
      <c r="A40" s="1"/>
      <c r="B40" s="61">
        <f>IF($C40="","",ROW()-7)</f>
        <v/>
      </c>
      <c r="C40" s="62"/>
      <c r="D40" s="63"/>
      <c r="E40" s="62"/>
      <c r="F40" s="63"/>
      <c r="G40" s="62"/>
      <c r="H40" s="64"/>
      <c r="I40" s="65">
        <f>IF($H40="","",HYPERLINK($H40,"🔗"))</f>
        <v/>
      </c>
      <c r="J40" s="66"/>
      <c r="K40" s="66"/>
      <c r="L40" s="67">
        <f>IF($K40="","",IF($J40="",0,$J40)-$K40)</f>
        <v/>
      </c>
      <c r="M40" s="68">
        <f>IF(OR($K40="",$J40="",$J40=0),"",$K40/$J40)</f>
        <v/>
      </c>
      <c r="N40" s="63"/>
      <c r="O40" s="69"/>
      <c r="P40" s="69"/>
      <c r="Q40" s="70"/>
      <c r="R40" s="71">
        <f>IF($Q40="","",$Q40-TODAY())</f>
        <v/>
      </c>
      <c r="S40" s="65">
        <f>IF($C40="","",IF(OR($N40="📦 Delivered",$P40="✓"),"✅ Done",IF($Q40="","",IF($Q40&lt;TODAY(),"🔴 Overdue",IF($Q40-TODAY()&lt;=DueSoonDays,"🟠 Due soon","🟢 On track")))))</f>
        <v/>
      </c>
      <c r="T40" s="62"/>
    </row>
    <row r="41" spans="1:20" ht="20" customHeight="1" x14ac:dyDescent="0.25">
      <c r="A41" s="1"/>
      <c r="B41" s="72">
        <f>IF($C41="","",ROW()-7)</f>
        <v/>
      </c>
      <c r="C41" s="73"/>
      <c r="D41" s="74"/>
      <c r="E41" s="73"/>
      <c r="F41" s="74"/>
      <c r="G41" s="73"/>
      <c r="H41" s="75"/>
      <c r="I41" s="65">
        <f>IF($H41="","",HYPERLINK($H41,"🔗"))</f>
        <v/>
      </c>
      <c r="J41" s="76"/>
      <c r="K41" s="76"/>
      <c r="L41" s="67">
        <f>IF($K41="","",IF($J41="",0,$J41)-$K41)</f>
        <v/>
      </c>
      <c r="M41" s="68">
        <f>IF(OR($K41="",$J41="",$J41=0),"",$K41/$J41)</f>
        <v/>
      </c>
      <c r="N41" s="74"/>
      <c r="O41" s="77"/>
      <c r="P41" s="77"/>
      <c r="Q41" s="78"/>
      <c r="R41" s="71">
        <f>IF($Q41="","",$Q41-TODAY())</f>
        <v/>
      </c>
      <c r="S41" s="65">
        <f>IF($C41="","",IF(OR($N41="📦 Delivered",$P41="✓"),"✅ Done",IF($Q41="","",IF($Q41&lt;TODAY(),"🔴 Overdue",IF($Q41-TODAY()&lt;=DueSoonDays,"🟠 Due soon","🟢 On track")))))</f>
        <v/>
      </c>
      <c r="T41" s="73"/>
    </row>
    <row r="42" spans="1:20" ht="20" customHeight="1" x14ac:dyDescent="0.25">
      <c r="A42" s="1"/>
      <c r="B42" s="61">
        <f>IF($C42="","",ROW()-7)</f>
        <v/>
      </c>
      <c r="C42" s="62"/>
      <c r="D42" s="63"/>
      <c r="E42" s="62"/>
      <c r="F42" s="63"/>
      <c r="G42" s="62"/>
      <c r="H42" s="64"/>
      <c r="I42" s="65">
        <f>IF($H42="","",HYPERLINK($H42,"🔗"))</f>
        <v/>
      </c>
      <c r="J42" s="66"/>
      <c r="K42" s="66"/>
      <c r="L42" s="67">
        <f>IF($K42="","",IF($J42="",0,$J42)-$K42)</f>
        <v/>
      </c>
      <c r="M42" s="68">
        <f>IF(OR($K42="",$J42="",$J42=0),"",$K42/$J42)</f>
        <v/>
      </c>
      <c r="N42" s="63"/>
      <c r="O42" s="69"/>
      <c r="P42" s="69"/>
      <c r="Q42" s="70"/>
      <c r="R42" s="71">
        <f>IF($Q42="","",$Q42-TODAY())</f>
        <v/>
      </c>
      <c r="S42" s="65">
        <f>IF($C42="","",IF(OR($N42="📦 Delivered",$P42="✓"),"✅ Done",IF($Q42="","",IF($Q42&lt;TODAY(),"🔴 Overdue",IF($Q42-TODAY()&lt;=DueSoonDays,"🟠 Due soon","🟢 On track")))))</f>
        <v/>
      </c>
      <c r="T42" s="62"/>
    </row>
    <row r="43" spans="1:20" ht="20" customHeight="1" x14ac:dyDescent="0.25">
      <c r="A43" s="1"/>
      <c r="B43" s="72">
        <f>IF($C43="","",ROW()-7)</f>
        <v/>
      </c>
      <c r="C43" s="73"/>
      <c r="D43" s="74"/>
      <c r="E43" s="73"/>
      <c r="F43" s="74"/>
      <c r="G43" s="73"/>
      <c r="H43" s="75"/>
      <c r="I43" s="65">
        <f>IF($H43="","",HYPERLINK($H43,"🔗"))</f>
        <v/>
      </c>
      <c r="J43" s="76"/>
      <c r="K43" s="76"/>
      <c r="L43" s="67">
        <f>IF($K43="","",IF($J43="",0,$J43)-$K43)</f>
        <v/>
      </c>
      <c r="M43" s="68">
        <f>IF(OR($K43="",$J43="",$J43=0),"",$K43/$J43)</f>
        <v/>
      </c>
      <c r="N43" s="74"/>
      <c r="O43" s="77"/>
      <c r="P43" s="77"/>
      <c r="Q43" s="78"/>
      <c r="R43" s="71">
        <f>IF($Q43="","",$Q43-TODAY())</f>
        <v/>
      </c>
      <c r="S43" s="65">
        <f>IF($C43="","",IF(OR($N43="📦 Delivered",$P43="✓"),"✅ Done",IF($Q43="","",IF($Q43&lt;TODAY(),"🔴 Overdue",IF($Q43-TODAY()&lt;=DueSoonDays,"🟠 Due soon","🟢 On track")))))</f>
        <v/>
      </c>
      <c r="T43" s="73"/>
    </row>
    <row r="44" spans="1:20" ht="20" customHeight="1" x14ac:dyDescent="0.25">
      <c r="A44" s="1"/>
      <c r="B44" s="61">
        <f>IF($C44="","",ROW()-7)</f>
        <v/>
      </c>
      <c r="C44" s="62"/>
      <c r="D44" s="63"/>
      <c r="E44" s="62"/>
      <c r="F44" s="63"/>
      <c r="G44" s="62"/>
      <c r="H44" s="64"/>
      <c r="I44" s="65">
        <f>IF($H44="","",HYPERLINK($H44,"🔗"))</f>
        <v/>
      </c>
      <c r="J44" s="66"/>
      <c r="K44" s="66"/>
      <c r="L44" s="67">
        <f>IF($K44="","",IF($J44="",0,$J44)-$K44)</f>
        <v/>
      </c>
      <c r="M44" s="68">
        <f>IF(OR($K44="",$J44="",$J44=0),"",$K44/$J44)</f>
        <v/>
      </c>
      <c r="N44" s="63"/>
      <c r="O44" s="69"/>
      <c r="P44" s="69"/>
      <c r="Q44" s="70"/>
      <c r="R44" s="71">
        <f>IF($Q44="","",$Q44-TODAY())</f>
        <v/>
      </c>
      <c r="S44" s="65">
        <f>IF($C44="","",IF(OR($N44="📦 Delivered",$P44="✓"),"✅ Done",IF($Q44="","",IF($Q44&lt;TODAY(),"🔴 Overdue",IF($Q44-TODAY()&lt;=DueSoonDays,"🟠 Due soon","🟢 On track")))))</f>
        <v/>
      </c>
      <c r="T44" s="62"/>
    </row>
    <row r="45" spans="1:20" ht="20" customHeight="1" x14ac:dyDescent="0.25">
      <c r="A45" s="1"/>
      <c r="B45" s="72">
        <f>IF($C45="","",ROW()-7)</f>
        <v/>
      </c>
      <c r="C45" s="73"/>
      <c r="D45" s="74"/>
      <c r="E45" s="73"/>
      <c r="F45" s="74"/>
      <c r="G45" s="73"/>
      <c r="H45" s="75"/>
      <c r="I45" s="65">
        <f>IF($H45="","",HYPERLINK($H45,"🔗"))</f>
        <v/>
      </c>
      <c r="J45" s="76"/>
      <c r="K45" s="76"/>
      <c r="L45" s="67">
        <f>IF($K45="","",IF($J45="",0,$J45)-$K45)</f>
        <v/>
      </c>
      <c r="M45" s="68">
        <f>IF(OR($K45="",$J45="",$J45=0),"",$K45/$J45)</f>
        <v/>
      </c>
      <c r="N45" s="74"/>
      <c r="O45" s="77"/>
      <c r="P45" s="77"/>
      <c r="Q45" s="78"/>
      <c r="R45" s="71">
        <f>IF($Q45="","",$Q45-TODAY())</f>
        <v/>
      </c>
      <c r="S45" s="65">
        <f>IF($C45="","",IF(OR($N45="📦 Delivered",$P45="✓"),"✅ Done",IF($Q45="","",IF($Q45&lt;TODAY(),"🔴 Overdue",IF($Q45-TODAY()&lt;=DueSoonDays,"🟠 Due soon","🟢 On track")))))</f>
        <v/>
      </c>
      <c r="T45" s="73"/>
    </row>
    <row r="46" spans="1:20" ht="20" customHeight="1" x14ac:dyDescent="0.25">
      <c r="A46" s="1"/>
      <c r="B46" s="61">
        <f>IF($C46="","",ROW()-7)</f>
        <v/>
      </c>
      <c r="C46" s="62"/>
      <c r="D46" s="63"/>
      <c r="E46" s="62"/>
      <c r="F46" s="63"/>
      <c r="G46" s="62"/>
      <c r="H46" s="64"/>
      <c r="I46" s="65">
        <f>IF($H46="","",HYPERLINK($H46,"🔗"))</f>
        <v/>
      </c>
      <c r="J46" s="66"/>
      <c r="K46" s="66"/>
      <c r="L46" s="67">
        <f>IF($K46="","",IF($J46="",0,$J46)-$K46)</f>
        <v/>
      </c>
      <c r="M46" s="68">
        <f>IF(OR($K46="",$J46="",$J46=0),"",$K46/$J46)</f>
        <v/>
      </c>
      <c r="N46" s="63"/>
      <c r="O46" s="69"/>
      <c r="P46" s="69"/>
      <c r="Q46" s="70"/>
      <c r="R46" s="71">
        <f>IF($Q46="","",$Q46-TODAY())</f>
        <v/>
      </c>
      <c r="S46" s="65">
        <f>IF($C46="","",IF(OR($N46="📦 Delivered",$P46="✓"),"✅ Done",IF($Q46="","",IF($Q46&lt;TODAY(),"🔴 Overdue",IF($Q46-TODAY()&lt;=DueSoonDays,"🟠 Due soon","🟢 On track")))))</f>
        <v/>
      </c>
      <c r="T46" s="62"/>
    </row>
    <row r="47" spans="1:20" ht="20" customHeight="1" x14ac:dyDescent="0.25">
      <c r="A47" s="1"/>
      <c r="B47" s="72">
        <f>IF($C47="","",ROW()-7)</f>
        <v/>
      </c>
      <c r="C47" s="73"/>
      <c r="D47" s="74"/>
      <c r="E47" s="73"/>
      <c r="F47" s="74"/>
      <c r="G47" s="73"/>
      <c r="H47" s="75"/>
      <c r="I47" s="65">
        <f>IF($H47="","",HYPERLINK($H47,"🔗"))</f>
        <v/>
      </c>
      <c r="J47" s="76"/>
      <c r="K47" s="76"/>
      <c r="L47" s="67">
        <f>IF($K47="","",IF($J47="",0,$J47)-$K47)</f>
        <v/>
      </c>
      <c r="M47" s="68">
        <f>IF(OR($K47="",$J47="",$J47=0),"",$K47/$J47)</f>
        <v/>
      </c>
      <c r="N47" s="74"/>
      <c r="O47" s="77"/>
      <c r="P47" s="77"/>
      <c r="Q47" s="78"/>
      <c r="R47" s="71">
        <f>IF($Q47="","",$Q47-TODAY())</f>
        <v/>
      </c>
      <c r="S47" s="65">
        <f>IF($C47="","",IF(OR($N47="📦 Delivered",$P47="✓"),"✅ Done",IF($Q47="","",IF($Q47&lt;TODAY(),"🔴 Overdue",IF($Q47-TODAY()&lt;=DueSoonDays,"🟠 Due soon","🟢 On track")))))</f>
        <v/>
      </c>
      <c r="T47" s="73"/>
    </row>
    <row r="48" spans="1:20" ht="20" customHeight="1" x14ac:dyDescent="0.25">
      <c r="A48" s="1"/>
      <c r="B48" s="61">
        <f>IF($C48="","",ROW()-7)</f>
        <v/>
      </c>
      <c r="C48" s="62"/>
      <c r="D48" s="63"/>
      <c r="E48" s="62"/>
      <c r="F48" s="63"/>
      <c r="G48" s="62"/>
      <c r="H48" s="64"/>
      <c r="I48" s="65">
        <f>IF($H48="","",HYPERLINK($H48,"🔗"))</f>
        <v/>
      </c>
      <c r="J48" s="66"/>
      <c r="K48" s="66"/>
      <c r="L48" s="67">
        <f>IF($K48="","",IF($J48="",0,$J48)-$K48)</f>
        <v/>
      </c>
      <c r="M48" s="68">
        <f>IF(OR($K48="",$J48="",$J48=0),"",$K48/$J48)</f>
        <v/>
      </c>
      <c r="N48" s="63"/>
      <c r="O48" s="69"/>
      <c r="P48" s="69"/>
      <c r="Q48" s="70"/>
      <c r="R48" s="71">
        <f>IF($Q48="","",$Q48-TODAY())</f>
        <v/>
      </c>
      <c r="S48" s="65">
        <f>IF($C48="","",IF(OR($N48="📦 Delivered",$P48="✓"),"✅ Done",IF($Q48="","",IF($Q48&lt;TODAY(),"🔴 Overdue",IF($Q48-TODAY()&lt;=DueSoonDays,"🟠 Due soon","🟢 On track")))))</f>
        <v/>
      </c>
      <c r="T48" s="62"/>
    </row>
    <row r="49" spans="1:20" ht="20" customHeight="1" x14ac:dyDescent="0.25">
      <c r="A49" s="1"/>
      <c r="B49" s="72">
        <f>IF($C49="","",ROW()-7)</f>
        <v/>
      </c>
      <c r="C49" s="73"/>
      <c r="D49" s="74"/>
      <c r="E49" s="73"/>
      <c r="F49" s="74"/>
      <c r="G49" s="73"/>
      <c r="H49" s="75"/>
      <c r="I49" s="65">
        <f>IF($H49="","",HYPERLINK($H49,"🔗"))</f>
        <v/>
      </c>
      <c r="J49" s="76"/>
      <c r="K49" s="76"/>
      <c r="L49" s="67">
        <f>IF($K49="","",IF($J49="",0,$J49)-$K49)</f>
        <v/>
      </c>
      <c r="M49" s="68">
        <f>IF(OR($K49="",$J49="",$J49=0),"",$K49/$J49)</f>
        <v/>
      </c>
      <c r="N49" s="74"/>
      <c r="O49" s="77"/>
      <c r="P49" s="77"/>
      <c r="Q49" s="78"/>
      <c r="R49" s="71">
        <f>IF($Q49="","",$Q49-TODAY())</f>
        <v/>
      </c>
      <c r="S49" s="65">
        <f>IF($C49="","",IF(OR($N49="📦 Delivered",$P49="✓"),"✅ Done",IF($Q49="","",IF($Q49&lt;TODAY(),"🔴 Overdue",IF($Q49-TODAY()&lt;=DueSoonDays,"🟠 Due soon","🟢 On track")))))</f>
        <v/>
      </c>
      <c r="T49" s="73"/>
    </row>
    <row r="50" spans="1:20" ht="20" customHeight="1" x14ac:dyDescent="0.25">
      <c r="A50" s="1"/>
      <c r="B50" s="61">
        <f>IF($C50="","",ROW()-7)</f>
        <v/>
      </c>
      <c r="C50" s="62"/>
      <c r="D50" s="63"/>
      <c r="E50" s="62"/>
      <c r="F50" s="63"/>
      <c r="G50" s="62"/>
      <c r="H50" s="64"/>
      <c r="I50" s="65">
        <f>IF($H50="","",HYPERLINK($H50,"🔗"))</f>
        <v/>
      </c>
      <c r="J50" s="66"/>
      <c r="K50" s="66"/>
      <c r="L50" s="67">
        <f>IF($K50="","",IF($J50="",0,$J50)-$K50)</f>
        <v/>
      </c>
      <c r="M50" s="68">
        <f>IF(OR($K50="",$J50="",$J50=0),"",$K50/$J50)</f>
        <v/>
      </c>
      <c r="N50" s="63"/>
      <c r="O50" s="69"/>
      <c r="P50" s="69"/>
      <c r="Q50" s="70"/>
      <c r="R50" s="71">
        <f>IF($Q50="","",$Q50-TODAY())</f>
        <v/>
      </c>
      <c r="S50" s="65">
        <f>IF($C50="","",IF(OR($N50="📦 Delivered",$P50="✓"),"✅ Done",IF($Q50="","",IF($Q50&lt;TODAY(),"🔴 Overdue",IF($Q50-TODAY()&lt;=DueSoonDays,"🟠 Due soon","🟢 On track")))))</f>
        <v/>
      </c>
      <c r="T50" s="62"/>
    </row>
    <row r="51" spans="1:20" ht="20" customHeight="1" x14ac:dyDescent="0.25">
      <c r="A51" s="1"/>
      <c r="B51" s="72">
        <f>IF($C51="","",ROW()-7)</f>
        <v/>
      </c>
      <c r="C51" s="73"/>
      <c r="D51" s="74"/>
      <c r="E51" s="73"/>
      <c r="F51" s="74"/>
      <c r="G51" s="73"/>
      <c r="H51" s="75"/>
      <c r="I51" s="65">
        <f>IF($H51="","",HYPERLINK($H51,"🔗"))</f>
        <v/>
      </c>
      <c r="J51" s="76"/>
      <c r="K51" s="76"/>
      <c r="L51" s="67">
        <f>IF($K51="","",IF($J51="",0,$J51)-$K51)</f>
        <v/>
      </c>
      <c r="M51" s="68">
        <f>IF(OR($K51="",$J51="",$J51=0),"",$K51/$J51)</f>
        <v/>
      </c>
      <c r="N51" s="74"/>
      <c r="O51" s="77"/>
      <c r="P51" s="77"/>
      <c r="Q51" s="78"/>
      <c r="R51" s="71">
        <f>IF($Q51="","",$Q51-TODAY())</f>
        <v/>
      </c>
      <c r="S51" s="65">
        <f>IF($C51="","",IF(OR($N51="📦 Delivered",$P51="✓"),"✅ Done",IF($Q51="","",IF($Q51&lt;TODAY(),"🔴 Overdue",IF($Q51-TODAY()&lt;=DueSoonDays,"🟠 Due soon","🟢 On track")))))</f>
        <v/>
      </c>
      <c r="T51" s="73"/>
    </row>
    <row r="52" spans="1:20" ht="20" customHeight="1" x14ac:dyDescent="0.25">
      <c r="A52" s="1"/>
      <c r="B52" s="61">
        <f>IF($C52="","",ROW()-7)</f>
        <v/>
      </c>
      <c r="C52" s="62"/>
      <c r="D52" s="63"/>
      <c r="E52" s="62"/>
      <c r="F52" s="63"/>
      <c r="G52" s="62"/>
      <c r="H52" s="64"/>
      <c r="I52" s="65">
        <f>IF($H52="","",HYPERLINK($H52,"🔗"))</f>
        <v/>
      </c>
      <c r="J52" s="66"/>
      <c r="K52" s="66"/>
      <c r="L52" s="67">
        <f>IF($K52="","",IF($J52="",0,$J52)-$K52)</f>
        <v/>
      </c>
      <c r="M52" s="68">
        <f>IF(OR($K52="",$J52="",$J52=0),"",$K52/$J52)</f>
        <v/>
      </c>
      <c r="N52" s="63"/>
      <c r="O52" s="69"/>
      <c r="P52" s="69"/>
      <c r="Q52" s="70"/>
      <c r="R52" s="71">
        <f>IF($Q52="","",$Q52-TODAY())</f>
        <v/>
      </c>
      <c r="S52" s="65">
        <f>IF($C52="","",IF(OR($N52="📦 Delivered",$P52="✓"),"✅ Done",IF($Q52="","",IF($Q52&lt;TODAY(),"🔴 Overdue",IF($Q52-TODAY()&lt;=DueSoonDays,"🟠 Due soon","🟢 On track")))))</f>
        <v/>
      </c>
      <c r="T52" s="62"/>
    </row>
    <row r="53" spans="1:20" ht="20" customHeight="1" x14ac:dyDescent="0.25">
      <c r="A53" s="1"/>
      <c r="B53" s="72">
        <f>IF($C53="","",ROW()-7)</f>
        <v/>
      </c>
      <c r="C53" s="73"/>
      <c r="D53" s="74"/>
      <c r="E53" s="73"/>
      <c r="F53" s="74"/>
      <c r="G53" s="73"/>
      <c r="H53" s="75"/>
      <c r="I53" s="65">
        <f>IF($H53="","",HYPERLINK($H53,"🔗"))</f>
        <v/>
      </c>
      <c r="J53" s="76"/>
      <c r="K53" s="76"/>
      <c r="L53" s="67">
        <f>IF($K53="","",IF($J53="",0,$J53)-$K53)</f>
        <v/>
      </c>
      <c r="M53" s="68">
        <f>IF(OR($K53="",$J53="",$J53=0),"",$K53/$J53)</f>
        <v/>
      </c>
      <c r="N53" s="74"/>
      <c r="O53" s="77"/>
      <c r="P53" s="77"/>
      <c r="Q53" s="78"/>
      <c r="R53" s="71">
        <f>IF($Q53="","",$Q53-TODAY())</f>
        <v/>
      </c>
      <c r="S53" s="65">
        <f>IF($C53="","",IF(OR($N53="📦 Delivered",$P53="✓"),"✅ Done",IF($Q53="","",IF($Q53&lt;TODAY(),"🔴 Overdue",IF($Q53-TODAY()&lt;=DueSoonDays,"🟠 Due soon","🟢 On track")))))</f>
        <v/>
      </c>
      <c r="T53" s="73"/>
    </row>
    <row r="54" spans="1:20" ht="20" customHeight="1" x14ac:dyDescent="0.25">
      <c r="A54" s="1"/>
      <c r="B54" s="61">
        <f>IF($C54="","",ROW()-7)</f>
        <v/>
      </c>
      <c r="C54" s="62"/>
      <c r="D54" s="63"/>
      <c r="E54" s="62"/>
      <c r="F54" s="63"/>
      <c r="G54" s="62"/>
      <c r="H54" s="64"/>
      <c r="I54" s="65">
        <f>IF($H54="","",HYPERLINK($H54,"🔗"))</f>
        <v/>
      </c>
      <c r="J54" s="66"/>
      <c r="K54" s="66"/>
      <c r="L54" s="67">
        <f>IF($K54="","",IF($J54="",0,$J54)-$K54)</f>
        <v/>
      </c>
      <c r="M54" s="68">
        <f>IF(OR($K54="",$J54="",$J54=0),"",$K54/$J54)</f>
        <v/>
      </c>
      <c r="N54" s="63"/>
      <c r="O54" s="69"/>
      <c r="P54" s="69"/>
      <c r="Q54" s="70"/>
      <c r="R54" s="71">
        <f>IF($Q54="","",$Q54-TODAY())</f>
        <v/>
      </c>
      <c r="S54" s="65">
        <f>IF($C54="","",IF(OR($N54="📦 Delivered",$P54="✓"),"✅ Done",IF($Q54="","",IF($Q54&lt;TODAY(),"🔴 Overdue",IF($Q54-TODAY()&lt;=DueSoonDays,"🟠 Due soon","🟢 On track")))))</f>
        <v/>
      </c>
      <c r="T54" s="62"/>
    </row>
    <row r="55" spans="1:20" ht="20" customHeight="1" x14ac:dyDescent="0.25">
      <c r="A55" s="1"/>
      <c r="B55" s="72">
        <f>IF($C55="","",ROW()-7)</f>
        <v/>
      </c>
      <c r="C55" s="73"/>
      <c r="D55" s="74"/>
      <c r="E55" s="73"/>
      <c r="F55" s="74"/>
      <c r="G55" s="73"/>
      <c r="H55" s="75"/>
      <c r="I55" s="65">
        <f>IF($H55="","",HYPERLINK($H55,"🔗"))</f>
        <v/>
      </c>
      <c r="J55" s="76"/>
      <c r="K55" s="76"/>
      <c r="L55" s="67">
        <f>IF($K55="","",IF($J55="",0,$J55)-$K55)</f>
        <v/>
      </c>
      <c r="M55" s="68">
        <f>IF(OR($K55="",$J55="",$J55=0),"",$K55/$J55)</f>
        <v/>
      </c>
      <c r="N55" s="74"/>
      <c r="O55" s="77"/>
      <c r="P55" s="77"/>
      <c r="Q55" s="78"/>
      <c r="R55" s="71">
        <f>IF($Q55="","",$Q55-TODAY())</f>
        <v/>
      </c>
      <c r="S55" s="65">
        <f>IF($C55="","",IF(OR($N55="📦 Delivered",$P55="✓"),"✅ Done",IF($Q55="","",IF($Q55&lt;TODAY(),"🔴 Overdue",IF($Q55-TODAY()&lt;=DueSoonDays,"🟠 Due soon","🟢 On track")))))</f>
        <v/>
      </c>
      <c r="T55" s="73"/>
    </row>
    <row r="56" spans="1:20" ht="20" customHeight="1" x14ac:dyDescent="0.25">
      <c r="A56" s="1"/>
      <c r="B56" s="61">
        <f>IF($C56="","",ROW()-7)</f>
        <v/>
      </c>
      <c r="C56" s="62"/>
      <c r="D56" s="63"/>
      <c r="E56" s="62"/>
      <c r="F56" s="63"/>
      <c r="G56" s="62"/>
      <c r="H56" s="64"/>
      <c r="I56" s="65">
        <f>IF($H56="","",HYPERLINK($H56,"🔗"))</f>
        <v/>
      </c>
      <c r="J56" s="66"/>
      <c r="K56" s="66"/>
      <c r="L56" s="67">
        <f>IF($K56="","",IF($J56="",0,$J56)-$K56)</f>
        <v/>
      </c>
      <c r="M56" s="68">
        <f>IF(OR($K56="",$J56="",$J56=0),"",$K56/$J56)</f>
        <v/>
      </c>
      <c r="N56" s="63"/>
      <c r="O56" s="69"/>
      <c r="P56" s="69"/>
      <c r="Q56" s="70"/>
      <c r="R56" s="71">
        <f>IF($Q56="","",$Q56-TODAY())</f>
        <v/>
      </c>
      <c r="S56" s="65">
        <f>IF($C56="","",IF(OR($N56="📦 Delivered",$P56="✓"),"✅ Done",IF($Q56="","",IF($Q56&lt;TODAY(),"🔴 Overdue",IF($Q56-TODAY()&lt;=DueSoonDays,"🟠 Due soon","🟢 On track")))))</f>
        <v/>
      </c>
      <c r="T56" s="62"/>
    </row>
    <row r="57" spans="1:20" ht="20" customHeight="1" x14ac:dyDescent="0.25">
      <c r="A57" s="1"/>
      <c r="B57" s="72">
        <f>IF($C57="","",ROW()-7)</f>
        <v/>
      </c>
      <c r="C57" s="73"/>
      <c r="D57" s="74"/>
      <c r="E57" s="73"/>
      <c r="F57" s="74"/>
      <c r="G57" s="73"/>
      <c r="H57" s="75"/>
      <c r="I57" s="65">
        <f>IF($H57="","",HYPERLINK($H57,"🔗"))</f>
        <v/>
      </c>
      <c r="J57" s="76"/>
      <c r="K57" s="76"/>
      <c r="L57" s="67">
        <f>IF($K57="","",IF($J57="",0,$J57)-$K57)</f>
        <v/>
      </c>
      <c r="M57" s="68">
        <f>IF(OR($K57="",$J57="",$J57=0),"",$K57/$J57)</f>
        <v/>
      </c>
      <c r="N57" s="74"/>
      <c r="O57" s="77"/>
      <c r="P57" s="77"/>
      <c r="Q57" s="78"/>
      <c r="R57" s="71">
        <f>IF($Q57="","",$Q57-TODAY())</f>
        <v/>
      </c>
      <c r="S57" s="65">
        <f>IF($C57="","",IF(OR($N57="📦 Delivered",$P57="✓"),"✅ Done",IF($Q57="","",IF($Q57&lt;TODAY(),"🔴 Overdue",IF($Q57-TODAY()&lt;=DueSoonDays,"🟠 Due soon","🟢 On track")))))</f>
        <v/>
      </c>
      <c r="T57" s="73"/>
    </row>
    <row r="58" spans="1:20" ht="20" customHeight="1" x14ac:dyDescent="0.25">
      <c r="A58" s="1"/>
      <c r="B58" s="61">
        <f>IF($C58="","",ROW()-7)</f>
        <v/>
      </c>
      <c r="C58" s="62"/>
      <c r="D58" s="63"/>
      <c r="E58" s="62"/>
      <c r="F58" s="63"/>
      <c r="G58" s="62"/>
      <c r="H58" s="64"/>
      <c r="I58" s="65">
        <f>IF($H58="","",HYPERLINK($H58,"🔗"))</f>
        <v/>
      </c>
      <c r="J58" s="66"/>
      <c r="K58" s="66"/>
      <c r="L58" s="67">
        <f>IF($K58="","",IF($J58="",0,$J58)-$K58)</f>
        <v/>
      </c>
      <c r="M58" s="68">
        <f>IF(OR($K58="",$J58="",$J58=0),"",$K58/$J58)</f>
        <v/>
      </c>
      <c r="N58" s="63"/>
      <c r="O58" s="69"/>
      <c r="P58" s="69"/>
      <c r="Q58" s="70"/>
      <c r="R58" s="71">
        <f>IF($Q58="","",$Q58-TODAY())</f>
        <v/>
      </c>
      <c r="S58" s="65">
        <f>IF($C58="","",IF(OR($N58="📦 Delivered",$P58="✓"),"✅ Done",IF($Q58="","",IF($Q58&lt;TODAY(),"🔴 Overdue",IF($Q58-TODAY()&lt;=DueSoonDays,"🟠 Due soon","🟢 On track")))))</f>
        <v/>
      </c>
      <c r="T58" s="62"/>
    </row>
    <row r="59" spans="1:20" ht="20" customHeight="1" x14ac:dyDescent="0.25">
      <c r="A59" s="1"/>
      <c r="B59" s="72">
        <f>IF($C59="","",ROW()-7)</f>
        <v/>
      </c>
      <c r="C59" s="73"/>
      <c r="D59" s="74"/>
      <c r="E59" s="73"/>
      <c r="F59" s="74"/>
      <c r="G59" s="73"/>
      <c r="H59" s="75"/>
      <c r="I59" s="65">
        <f>IF($H59="","",HYPERLINK($H59,"🔗"))</f>
        <v/>
      </c>
      <c r="J59" s="76"/>
      <c r="K59" s="76"/>
      <c r="L59" s="67">
        <f>IF($K59="","",IF($J59="",0,$J59)-$K59)</f>
        <v/>
      </c>
      <c r="M59" s="68">
        <f>IF(OR($K59="",$J59="",$J59=0),"",$K59/$J59)</f>
        <v/>
      </c>
      <c r="N59" s="74"/>
      <c r="O59" s="77"/>
      <c r="P59" s="77"/>
      <c r="Q59" s="78"/>
      <c r="R59" s="71">
        <f>IF($Q59="","",$Q59-TODAY())</f>
        <v/>
      </c>
      <c r="S59" s="65">
        <f>IF($C59="","",IF(OR($N59="📦 Delivered",$P59="✓"),"✅ Done",IF($Q59="","",IF($Q59&lt;TODAY(),"🔴 Overdue",IF($Q59-TODAY()&lt;=DueSoonDays,"🟠 Due soon","🟢 On track")))))</f>
        <v/>
      </c>
      <c r="T59" s="73"/>
    </row>
    <row r="60" spans="1:20" ht="20" customHeight="1" x14ac:dyDescent="0.25">
      <c r="A60" s="1"/>
      <c r="B60" s="61">
        <f>IF($C60="","",ROW()-7)</f>
        <v/>
      </c>
      <c r="C60" s="62"/>
      <c r="D60" s="63"/>
      <c r="E60" s="62"/>
      <c r="F60" s="63"/>
      <c r="G60" s="62"/>
      <c r="H60" s="64"/>
      <c r="I60" s="65">
        <f>IF($H60="","",HYPERLINK($H60,"🔗"))</f>
        <v/>
      </c>
      <c r="J60" s="66"/>
      <c r="K60" s="66"/>
      <c r="L60" s="67">
        <f>IF($K60="","",IF($J60="",0,$J60)-$K60)</f>
        <v/>
      </c>
      <c r="M60" s="68">
        <f>IF(OR($K60="",$J60="",$J60=0),"",$K60/$J60)</f>
        <v/>
      </c>
      <c r="N60" s="63"/>
      <c r="O60" s="69"/>
      <c r="P60" s="69"/>
      <c r="Q60" s="70"/>
      <c r="R60" s="71">
        <f>IF($Q60="","",$Q60-TODAY())</f>
        <v/>
      </c>
      <c r="S60" s="65">
        <f>IF($C60="","",IF(OR($N60="📦 Delivered",$P60="✓"),"✅ Done",IF($Q60="","",IF($Q60&lt;TODAY(),"🔴 Overdue",IF($Q60-TODAY()&lt;=DueSoonDays,"🟠 Due soon","🟢 On track")))))</f>
        <v/>
      </c>
      <c r="T60" s="62"/>
    </row>
    <row r="61" spans="1:20" ht="20" customHeight="1" x14ac:dyDescent="0.25">
      <c r="A61" s="1"/>
      <c r="B61" s="72">
        <f>IF($C61="","",ROW()-7)</f>
        <v/>
      </c>
      <c r="C61" s="73"/>
      <c r="D61" s="74"/>
      <c r="E61" s="73"/>
      <c r="F61" s="74"/>
      <c r="G61" s="73"/>
      <c r="H61" s="75"/>
      <c r="I61" s="65">
        <f>IF($H61="","",HYPERLINK($H61,"🔗"))</f>
        <v/>
      </c>
      <c r="J61" s="76"/>
      <c r="K61" s="76"/>
      <c r="L61" s="67">
        <f>IF($K61="","",IF($J61="",0,$J61)-$K61)</f>
        <v/>
      </c>
      <c r="M61" s="68">
        <f>IF(OR($K61="",$J61="",$J61=0),"",$K61/$J61)</f>
        <v/>
      </c>
      <c r="N61" s="74"/>
      <c r="O61" s="77"/>
      <c r="P61" s="77"/>
      <c r="Q61" s="78"/>
      <c r="R61" s="71">
        <f>IF($Q61="","",$Q61-TODAY())</f>
        <v/>
      </c>
      <c r="S61" s="65">
        <f>IF($C61="","",IF(OR($N61="📦 Delivered",$P61="✓"),"✅ Done",IF($Q61="","",IF($Q61&lt;TODAY(),"🔴 Overdue",IF($Q61-TODAY()&lt;=DueSoonDays,"🟠 Due soon","🟢 On track")))))</f>
        <v/>
      </c>
      <c r="T61" s="73"/>
    </row>
    <row r="62" spans="1:20" ht="20" customHeight="1" x14ac:dyDescent="0.25">
      <c r="A62" s="1"/>
      <c r="B62" s="61">
        <f>IF($C62="","",ROW()-7)</f>
        <v/>
      </c>
      <c r="C62" s="62"/>
      <c r="D62" s="63"/>
      <c r="E62" s="62"/>
      <c r="F62" s="63"/>
      <c r="G62" s="62"/>
      <c r="H62" s="64"/>
      <c r="I62" s="65">
        <f>IF($H62="","",HYPERLINK($H62,"🔗"))</f>
        <v/>
      </c>
      <c r="J62" s="66"/>
      <c r="K62" s="66"/>
      <c r="L62" s="67">
        <f>IF($K62="","",IF($J62="",0,$J62)-$K62)</f>
        <v/>
      </c>
      <c r="M62" s="68">
        <f>IF(OR($K62="",$J62="",$J62=0),"",$K62/$J62)</f>
        <v/>
      </c>
      <c r="N62" s="63"/>
      <c r="O62" s="69"/>
      <c r="P62" s="69"/>
      <c r="Q62" s="70"/>
      <c r="R62" s="71">
        <f>IF($Q62="","",$Q62-TODAY())</f>
        <v/>
      </c>
      <c r="S62" s="65">
        <f>IF($C62="","",IF(OR($N62="📦 Delivered",$P62="✓"),"✅ Done",IF($Q62="","",IF($Q62&lt;TODAY(),"🔴 Overdue",IF($Q62-TODAY()&lt;=DueSoonDays,"🟠 Due soon","🟢 On track")))))</f>
        <v/>
      </c>
      <c r="T62" s="62"/>
    </row>
    <row r="63" spans="1:20" ht="20" customHeight="1" x14ac:dyDescent="0.25">
      <c r="A63" s="1"/>
      <c r="B63" s="72">
        <f>IF($C63="","",ROW()-7)</f>
        <v/>
      </c>
      <c r="C63" s="73"/>
      <c r="D63" s="74"/>
      <c r="E63" s="73"/>
      <c r="F63" s="74"/>
      <c r="G63" s="73"/>
      <c r="H63" s="75"/>
      <c r="I63" s="65">
        <f>IF($H63="","",HYPERLINK($H63,"🔗"))</f>
        <v/>
      </c>
      <c r="J63" s="76"/>
      <c r="K63" s="76"/>
      <c r="L63" s="67">
        <f>IF($K63="","",IF($J63="",0,$J63)-$K63)</f>
        <v/>
      </c>
      <c r="M63" s="68">
        <f>IF(OR($K63="",$J63="",$J63=0),"",$K63/$J63)</f>
        <v/>
      </c>
      <c r="N63" s="74"/>
      <c r="O63" s="77"/>
      <c r="P63" s="77"/>
      <c r="Q63" s="78"/>
      <c r="R63" s="71">
        <f>IF($Q63="","",$Q63-TODAY())</f>
        <v/>
      </c>
      <c r="S63" s="65">
        <f>IF($C63="","",IF(OR($N63="📦 Delivered",$P63="✓"),"✅ Done",IF($Q63="","",IF($Q63&lt;TODAY(),"🔴 Overdue",IF($Q63-TODAY()&lt;=DueSoonDays,"🟠 Due soon","🟢 On track")))))</f>
        <v/>
      </c>
      <c r="T63" s="73"/>
    </row>
    <row r="64" spans="1:20" ht="20" customHeight="1" x14ac:dyDescent="0.25">
      <c r="A64" s="1"/>
      <c r="B64" s="61">
        <f>IF($C64="","",ROW()-7)</f>
        <v/>
      </c>
      <c r="C64" s="62"/>
      <c r="D64" s="63"/>
      <c r="E64" s="62"/>
      <c r="F64" s="63"/>
      <c r="G64" s="62"/>
      <c r="H64" s="64"/>
      <c r="I64" s="65">
        <f>IF($H64="","",HYPERLINK($H64,"🔗"))</f>
        <v/>
      </c>
      <c r="J64" s="66"/>
      <c r="K64" s="66"/>
      <c r="L64" s="67">
        <f>IF($K64="","",IF($J64="",0,$J64)-$K64)</f>
        <v/>
      </c>
      <c r="M64" s="68">
        <f>IF(OR($K64="",$J64="",$J64=0),"",$K64/$J64)</f>
        <v/>
      </c>
      <c r="N64" s="63"/>
      <c r="O64" s="69"/>
      <c r="P64" s="69"/>
      <c r="Q64" s="70"/>
      <c r="R64" s="71">
        <f>IF($Q64="","",$Q64-TODAY())</f>
        <v/>
      </c>
      <c r="S64" s="65">
        <f>IF($C64="","",IF(OR($N64="📦 Delivered",$P64="✓"),"✅ Done",IF($Q64="","",IF($Q64&lt;TODAY(),"🔴 Overdue",IF($Q64-TODAY()&lt;=DueSoonDays,"🟠 Due soon","🟢 On track")))))</f>
        <v/>
      </c>
      <c r="T64" s="62"/>
    </row>
    <row r="65" spans="1:20" ht="20" customHeight="1" x14ac:dyDescent="0.25">
      <c r="A65" s="1"/>
      <c r="B65" s="72">
        <f>IF($C65="","",ROW()-7)</f>
        <v/>
      </c>
      <c r="C65" s="73"/>
      <c r="D65" s="74"/>
      <c r="E65" s="73"/>
      <c r="F65" s="74"/>
      <c r="G65" s="73"/>
      <c r="H65" s="75"/>
      <c r="I65" s="65">
        <f>IF($H65="","",HYPERLINK($H65,"🔗"))</f>
        <v/>
      </c>
      <c r="J65" s="76"/>
      <c r="K65" s="76"/>
      <c r="L65" s="67">
        <f>IF($K65="","",IF($J65="",0,$J65)-$K65)</f>
        <v/>
      </c>
      <c r="M65" s="68">
        <f>IF(OR($K65="",$J65="",$J65=0),"",$K65/$J65)</f>
        <v/>
      </c>
      <c r="N65" s="74"/>
      <c r="O65" s="77"/>
      <c r="P65" s="77"/>
      <c r="Q65" s="78"/>
      <c r="R65" s="71">
        <f>IF($Q65="","",$Q65-TODAY())</f>
        <v/>
      </c>
      <c r="S65" s="65">
        <f>IF($C65="","",IF(OR($N65="📦 Delivered",$P65="✓"),"✅ Done",IF($Q65="","",IF($Q65&lt;TODAY(),"🔴 Overdue",IF($Q65-TODAY()&lt;=DueSoonDays,"🟠 Due soon","🟢 On track")))))</f>
        <v/>
      </c>
      <c r="T65" s="73"/>
    </row>
    <row r="66" spans="1:20" ht="20" customHeight="1" x14ac:dyDescent="0.25">
      <c r="A66" s="1"/>
      <c r="B66" s="61">
        <f>IF($C66="","",ROW()-7)</f>
        <v/>
      </c>
      <c r="C66" s="62"/>
      <c r="D66" s="63"/>
      <c r="E66" s="62"/>
      <c r="F66" s="63"/>
      <c r="G66" s="62"/>
      <c r="H66" s="64"/>
      <c r="I66" s="65">
        <f>IF($H66="","",HYPERLINK($H66,"🔗"))</f>
        <v/>
      </c>
      <c r="J66" s="66"/>
      <c r="K66" s="66"/>
      <c r="L66" s="67">
        <f>IF($K66="","",IF($J66="",0,$J66)-$K66)</f>
        <v/>
      </c>
      <c r="M66" s="68">
        <f>IF(OR($K66="",$J66="",$J66=0),"",$K66/$J66)</f>
        <v/>
      </c>
      <c r="N66" s="63"/>
      <c r="O66" s="69"/>
      <c r="P66" s="69"/>
      <c r="Q66" s="70"/>
      <c r="R66" s="71">
        <f>IF($Q66="","",$Q66-TODAY())</f>
        <v/>
      </c>
      <c r="S66" s="65">
        <f>IF($C66="","",IF(OR($N66="📦 Delivered",$P66="✓"),"✅ Done",IF($Q66="","",IF($Q66&lt;TODAY(),"🔴 Overdue",IF($Q66-TODAY()&lt;=DueSoonDays,"🟠 Due soon","🟢 On track")))))</f>
        <v/>
      </c>
      <c r="T66" s="62"/>
    </row>
    <row r="67" spans="1:20" ht="20" customHeight="1" x14ac:dyDescent="0.25">
      <c r="A67" s="1"/>
      <c r="B67" s="72">
        <f>IF($C67="","",ROW()-7)</f>
        <v/>
      </c>
      <c r="C67" s="73"/>
      <c r="D67" s="74"/>
      <c r="E67" s="73"/>
      <c r="F67" s="74"/>
      <c r="G67" s="73"/>
      <c r="H67" s="75"/>
      <c r="I67" s="65">
        <f>IF($H67="","",HYPERLINK($H67,"🔗"))</f>
        <v/>
      </c>
      <c r="J67" s="76"/>
      <c r="K67" s="76"/>
      <c r="L67" s="67">
        <f>IF($K67="","",IF($J67="",0,$J67)-$K67)</f>
        <v/>
      </c>
      <c r="M67" s="68">
        <f>IF(OR($K67="",$J67="",$J67=0),"",$K67/$J67)</f>
        <v/>
      </c>
      <c r="N67" s="74"/>
      <c r="O67" s="77"/>
      <c r="P67" s="77"/>
      <c r="Q67" s="78"/>
      <c r="R67" s="71">
        <f>IF($Q67="","",$Q67-TODAY())</f>
        <v/>
      </c>
      <c r="S67" s="65">
        <f>IF($C67="","",IF(OR($N67="📦 Delivered",$P67="✓"),"✅ Done",IF($Q67="","",IF($Q67&lt;TODAY(),"🔴 Overdue",IF($Q67-TODAY()&lt;=DueSoonDays,"🟠 Due soon","🟢 On track")))))</f>
        <v/>
      </c>
      <c r="T67" s="73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79" t="s">
        <v>317</v>
      </c>
      <c r="C69" s="79"/>
      <c r="D69" s="79"/>
      <c r="E69" s="79"/>
      <c r="F69" s="79"/>
      <c r="G69" s="79"/>
      <c r="H69" s="79"/>
      <c r="I69" s="79"/>
      <c r="J69" s="80">
        <f>SUM($J$8:$J$67)</f>
        <v>1177</v>
      </c>
      <c r="K69" s="80">
        <f>SUM($K$8:$K$67)</f>
        <v>1003.95</v>
      </c>
      <c r="L69" s="80">
        <f>SUM($L$8:$L$67)</f>
        <v>173.04999999999995</v>
      </c>
      <c r="M69" s="81">
        <f>IFERROR(SUM($K$8:$K$67)/SUM($J$8:$J$67),"")</f>
        <v>0.8529736618521666</v>
      </c>
      <c r="N69" s="39" t="str">
        <f>"✅ "&amp;'_Data'!$AF$5&amp;" of "&amp;'_Data'!$AF$4&amp;" gifts bought   •   🎀 "&amp;'_Data'!$AF$6&amp;" wrapped   •   📦 "&amp;'_Data'!$AF$7&amp;" handed over"</f>
        <v>✅ 18 of 25 gifts bought   •   🎀 13 wrapped   •   📦 6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318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2" t="s">
        <v>319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248</v>
      </c>
      <c r="C74" s="43"/>
      <c r="D74" s="44" t="s">
        <v>320</v>
      </c>
      <c r="E74" s="44"/>
      <c r="F74" s="45" t="s">
        <v>250</v>
      </c>
      <c r="G74" s="45"/>
      <c r="H74" s="46" t="s">
        <v>251</v>
      </c>
      <c r="I74" s="46"/>
      <c r="J74" s="47" t="s">
        <v>321</v>
      </c>
      <c r="K74" s="47"/>
      <c r="L74" s="48" t="s">
        <v>253</v>
      </c>
      <c r="M74" s="48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49" t="s">
        <v>322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autoFilter ref="B7:T67"/>
  <mergeCells count="20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B76:T76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H8" r:id="rId1"/>
    <hyperlink ref="H9" r:id="rId2"/>
    <hyperlink ref="H10" r:id="rId3"/>
    <hyperlink ref="H11" r:id="rId4"/>
    <hyperlink ref="H12" r:id="rId5"/>
    <hyperlink ref="H13" r:id="rId6"/>
    <hyperlink ref="H15" r:id="rId7"/>
    <hyperlink ref="H16" r:id="rId8"/>
    <hyperlink ref="H17" r:id="rId9"/>
    <hyperlink ref="H18" r:id="rId10"/>
    <hyperlink ref="H20" r:id="rId11"/>
    <hyperlink ref="H21" r:id="rId12"/>
    <hyperlink ref="H25" r:id="rId13"/>
    <hyperlink ref="H26" r:id="rId14"/>
    <hyperlink ref="H27" r:id="rId15"/>
    <hyperlink ref="H28" r:id="rId16"/>
    <hyperlink ref="H29" r:id="rId17"/>
    <hyperlink ref="H30" r:id="rId18"/>
    <hyperlink ref="H31" r:id="rId19"/>
    <hyperlink ref="H32" r:id="rId20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🛍️ Shopping List'!A1" display="🛍️ Shop"/>
    <hyperlink ref="J74" location="'⚙️ Setup'!A1" display="⚙️ Setup"/>
    <hyperlink ref="L7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12F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3" width="13.7109375" customWidth="1"/>
    <col min="4" max="4" width="13.7109375" customWidth="1"/>
    <col min="5" max="5" width="14.7109375" customWidth="1"/>
    <col min="6" max="6" width="13.7109375" customWidth="1"/>
    <col min="7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0" t="s">
        <v>323</v>
      </c>
      <c r="C2" s="50"/>
      <c r="D2" s="50"/>
      <c r="E2" s="50"/>
      <c r="F2" s="50"/>
      <c r="G2" s="50"/>
      <c r="H2" s="50"/>
      <c r="I2" s="1"/>
      <c r="J2" s="1"/>
      <c r="K2" s="1"/>
    </row>
    <row r="3" spans="1:11" ht="18" customHeight="1" x14ac:dyDescent="0.25">
      <c r="A3" s="1"/>
      <c r="B3" s="51" t="s">
        <v>324</v>
      </c>
      <c r="C3" s="51"/>
      <c r="D3" s="51"/>
      <c r="E3" s="51"/>
      <c r="F3" s="51"/>
      <c r="G3" s="51"/>
      <c r="H3" s="51"/>
      <c r="I3" s="52" t="s">
        <v>81</v>
      </c>
      <c r="J3" s="52"/>
      <c r="K3" s="52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325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3" t="s">
        <v>326</v>
      </c>
      <c r="C8" s="83"/>
      <c r="D8" s="84" t="s">
        <v>327</v>
      </c>
      <c r="E8" s="84"/>
      <c r="F8" s="85" t="s">
        <v>328</v>
      </c>
      <c r="G8" s="85"/>
      <c r="H8" s="86" t="s">
        <v>329</v>
      </c>
      <c r="I8" s="86"/>
      <c r="J8" s="87" t="s">
        <v>330</v>
      </c>
      <c r="K8" s="87"/>
    </row>
    <row r="9" spans="1:11" ht="36" customHeight="1" x14ac:dyDescent="0.25">
      <c r="A9" s="1"/>
      <c r="B9" s="88" t="str">
        <f>Currency&amp;TEXT(SUM($C$15:$C$24),"#,##0")</f>
        <v>$1,500</v>
      </c>
      <c r="C9" s="88"/>
      <c r="D9" s="89" t="str">
        <f>Currency&amp;TEXT(SUM($F$15:$F$24),"#,##0")</f>
        <v>$1,206</v>
      </c>
      <c r="E9" s="89"/>
      <c r="F9" s="90" t="str">
        <f>Currency&amp;TEXT(SUM($C$15:$C$24)-SUM($F$15:$F$24),"#,##0")</f>
        <v>$294</v>
      </c>
      <c r="G9" s="90"/>
      <c r="H9" s="13">
        <f>IFERROR(SUM($F$15:$F$24)/SUM($C$15:$C$24),0)</f>
        <v>0.8038266666666668</v>
      </c>
      <c r="I9" s="13"/>
      <c r="J9" s="91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🟢  On track — 80% of the budget used, $294.26 still to spend.</v>
      </c>
      <c r="K9" s="91"/>
    </row>
    <row r="10" spans="1:11" ht="22" customHeight="1" x14ac:dyDescent="0.25">
      <c r="A10" s="1"/>
      <c r="B10" s="14" t="s">
        <v>331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██████████████░░░░   80%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2" t="str">
        <f>"🎁 Gifts are "&amp;TEXT(IFERROR($F15/SUM($F$15:$F$24),0),"0%")&amp;" of everything"</f>
        <v>🎁 Gifts are 83% of everything</v>
      </c>
      <c r="C11" s="92"/>
      <c r="D11" s="93" t="str">
        <f>"📈 Biggest spend: "&amp;IFERROR(INDEX($B$15:$B$24,MATCH(MAX($F$15:$F$24),$F$15:$F$24,0)),"—")</f>
        <v>📈 Biggest spend: 🎁 Gifts</v>
      </c>
      <c r="E11" s="93"/>
      <c r="F11" s="93"/>
      <c r="G11" s="94" t="str">
        <f>COUNTIF($G$15:$G$24,"&lt;0")&amp;" over budget"</f>
        <v>1 over budget</v>
      </c>
      <c r="H11" s="94"/>
      <c r="I11" s="95" t="str">
        <f>"🎯 Target "&amp;Currency&amp;TEXT(TotalBudget,"#,##0")&amp;"   •   planned "&amp;Currency&amp;TEXT(SUM($C$15:$C$24),"#,##0")</f>
        <v>🎯 Target $1,500   •   planned $1,500</v>
      </c>
      <c r="J11" s="95"/>
      <c r="K11" s="95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332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260</v>
      </c>
      <c r="C14" s="33" t="s">
        <v>333</v>
      </c>
      <c r="D14" s="33" t="s">
        <v>334</v>
      </c>
      <c r="E14" s="60" t="s">
        <v>335</v>
      </c>
      <c r="F14" s="60" t="s">
        <v>336</v>
      </c>
      <c r="G14" s="60" t="s">
        <v>337</v>
      </c>
      <c r="H14" s="60" t="s">
        <v>338</v>
      </c>
      <c r="I14" s="60" t="s">
        <v>33</v>
      </c>
      <c r="J14" s="60" t="s">
        <v>339</v>
      </c>
      <c r="K14" s="33" t="s">
        <v>272</v>
      </c>
    </row>
    <row r="15" spans="1:11" ht="22" customHeight="1" x14ac:dyDescent="0.25">
      <c r="A15" s="1"/>
      <c r="B15" s="73" t="s">
        <v>249</v>
      </c>
      <c r="C15" s="76">
        <v>850</v>
      </c>
      <c r="D15" s="76"/>
      <c r="E15" s="67">
        <f>SUM('🎁 Gift Tracker'!$K$8:$K$67)+SUMIFS('🛍️ Shopping List'!$K$8:$K$52,'🛍️ Shopping List'!$D$8:$D$52,"Gifts")</f>
        <v>1003.95</v>
      </c>
      <c r="F15" s="67">
        <f>$D15+$E15</f>
        <v>1003.95</v>
      </c>
      <c r="G15" s="67">
        <f>$C15-$F15</f>
        <v>46.049999999999955</v>
      </c>
      <c r="H15" s="68">
        <f>IF($C15=0,"",$F15/$C15)</f>
        <v>0.9561428571428572</v>
      </c>
      <c r="I15" s="65" t="str">
        <f>IF($C15=0,"⚪ Set a plan",IF($F15&gt;$C15,"🔴 Over budget",IF($F15/$C15&gt;=AlertAt,"🟠 Nearly there",IF($F15=0,"⚪ Not started","🟢 On track"))))</f>
        <v>🟠 Nearly there</v>
      </c>
      <c r="J15" s="96" t="str">
        <f>IF($C15=0,"—",REPT("█",ROUND(MIN(1,IFERROR($F15/$C15,0))*12,0))&amp;REPT("░",12-ROUND(MIN(1,IFERROR($F15/$C15,0))*12,0))&amp;" "&amp;TEXT(IFERROR($F15/$C15,0),"0%"))</f>
        <v>███████████░ 96%</v>
      </c>
      <c r="K15" s="73"/>
    </row>
    <row r="16" spans="1:11" ht="22" customHeight="1" x14ac:dyDescent="0.25">
      <c r="A16" s="1"/>
      <c r="B16" s="62" t="s">
        <v>340</v>
      </c>
      <c r="C16" s="66">
        <v>140</v>
      </c>
      <c r="D16" s="66"/>
      <c r="E16" s="67">
        <f>SUMIFS('🛍️ Shopping List'!$K$8:$K$52,'🛍️ Shopping List'!$D$8:$D$52,"Stockings")</f>
        <v>15.8</v>
      </c>
      <c r="F16" s="67">
        <f>$D16+$E16</f>
        <v>15.8</v>
      </c>
      <c r="G16" s="67">
        <f>$C16-$F16</f>
        <v>104.2</v>
      </c>
      <c r="H16" s="68">
        <f>IF($C16=0,"",$F16/$C16)</f>
        <v>0.13166666666666668</v>
      </c>
      <c r="I16" s="65" t="str">
        <f>IF($C16=0,"⚪ Set a plan",IF($F16&gt;$C16,"🔴 Over budget",IF($F16/$C16&gt;=AlertAt,"🟠 Nearly there",IF($F16=0,"⚪ Not started","🟢 On track"))))</f>
        <v>🟢 On track</v>
      </c>
      <c r="J16" s="96" t="str">
        <f>IF($C16=0,"—",REPT("█",ROUND(MIN(1,IFERROR($F16/$C16,0))*12,0))&amp;REPT("░",12-ROUND(MIN(1,IFERROR($F16/$C16,0))*12,0))&amp;" "&amp;TEXT(IFERROR($F16/$C16,0),"0%"))</f>
        <v>██░░░░░░░░░░ 13%</v>
      </c>
      <c r="K16" s="62"/>
    </row>
    <row r="17" spans="1:11" ht="22" customHeight="1" x14ac:dyDescent="0.25">
      <c r="A17" s="1"/>
      <c r="B17" s="73" t="s">
        <v>341</v>
      </c>
      <c r="C17" s="76">
        <v>55</v>
      </c>
      <c r="D17" s="76"/>
      <c r="E17" s="67">
        <f>SUMIFS('🛍️ Shopping List'!$K$8:$K$52,'🛍️ Shopping List'!$D$8:$D$52,"Wrapping")</f>
        <v>24.3</v>
      </c>
      <c r="F17" s="67">
        <f>$D17+$E17</f>
        <v>24.3</v>
      </c>
      <c r="G17" s="67">
        <f>$C17-$F17</f>
        <v>25.7</v>
      </c>
      <c r="H17" s="68">
        <f>IF($C17=0,"",$F17/$C17)</f>
        <v>0.486</v>
      </c>
      <c r="I17" s="65" t="str">
        <f>IF($C17=0,"⚪ Set a plan",IF($F17&gt;$C17,"🔴 Over budget",IF($F17/$C17&gt;=AlertAt,"🟠 Nearly there",IF($F17=0,"⚪ Not started","🟢 On track"))))</f>
        <v>🟢 On track</v>
      </c>
      <c r="J17" s="96" t="str">
        <f>IF($C17=0,"—",REPT("█",ROUND(MIN(1,IFERROR($F17/$C17,0))*12,0))&amp;REPT("░",12-ROUND(MIN(1,IFERROR($F17/$C17,0))*12,0))&amp;" "&amp;TEXT(IFERROR($F17/$C17,0),"0%"))</f>
        <v>██████░░░░░░ 49%</v>
      </c>
      <c r="K17" s="73"/>
    </row>
    <row r="18" spans="1:11" ht="22" customHeight="1" x14ac:dyDescent="0.25">
      <c r="A18" s="1"/>
      <c r="B18" s="62" t="s">
        <v>342</v>
      </c>
      <c r="C18" s="66">
        <v>40</v>
      </c>
      <c r="D18" s="66"/>
      <c r="E18" s="67">
        <f>SUMIFS('🛍️ Shopping List'!$K$8:$K$52,'🛍️ Shopping List'!$D$8:$D$52,"Cards")+SUMIFS('🛍️ Shopping List'!$K$8:$K$52,'🛍️ Shopping List'!$D$8:$D$52,"Postage")</f>
        <v>33.9</v>
      </c>
      <c r="F18" s="67">
        <f>$D18+$E18</f>
        <v>33.9</v>
      </c>
      <c r="G18" s="67">
        <f>$C18-$F18</f>
        <v>1.1000000000000014</v>
      </c>
      <c r="H18" s="68">
        <f>IF($C18=0,"",$F18/$C18)</f>
        <v>0.9685714285714285</v>
      </c>
      <c r="I18" s="65" t="str">
        <f>IF($C18=0,"⚪ Set a plan",IF($F18&gt;$C18,"🔴 Over budget",IF($F18/$C18&gt;=AlertAt,"🟠 Nearly there",IF($F18=0,"⚪ Not started","🟢 On track"))))</f>
        <v>🟠 Nearly there</v>
      </c>
      <c r="J18" s="96" t="str">
        <f>IF($C18=0,"—",REPT("█",ROUND(MIN(1,IFERROR($F18/$C18,0))*12,0))&amp;REPT("░",12-ROUND(MIN(1,IFERROR($F18/$C18,0))*12,0))&amp;" "&amp;TEXT(IFERROR($F18/$C18,0),"0%"))</f>
        <v>████████████ 97%</v>
      </c>
      <c r="K18" s="62"/>
    </row>
    <row r="19" spans="1:11" ht="22" customHeight="1" x14ac:dyDescent="0.25">
      <c r="A19" s="1"/>
      <c r="B19" s="73" t="s">
        <v>343</v>
      </c>
      <c r="C19" s="76">
        <v>200</v>
      </c>
      <c r="D19" s="76"/>
      <c r="E19" s="67">
        <f>SUMIFS('🛍️ Shopping List'!$K$8:$K$52,'🛍️ Shopping List'!$D$8:$D$52,"Food")</f>
        <v>22.5</v>
      </c>
      <c r="F19" s="67">
        <f>$D19+$E19</f>
        <v>22.5</v>
      </c>
      <c r="G19" s="67">
        <f>$C19-$F19</f>
        <v>107.5</v>
      </c>
      <c r="H19" s="68">
        <f>IF($C19=0,"",$F19/$C19)</f>
        <v>0.17307692307692307</v>
      </c>
      <c r="I19" s="65" t="str">
        <f>IF($C19=0,"⚪ Set a plan",IF($F19&gt;$C19,"🔴 Over budget",IF($F19/$C19&gt;=AlertAt,"🟠 Nearly there",IF($F19=0,"⚪ Not started","🟢 On track"))))</f>
        <v>🟢 On track</v>
      </c>
      <c r="J19" s="96" t="str">
        <f>IF($C19=0,"—",REPT("█",ROUND(MIN(1,IFERROR($F19/$C19,0))*12,0))&amp;REPT("░",12-ROUND(MIN(1,IFERROR($F19/$C19,0))*12,0))&amp;" "&amp;TEXT(IFERROR($F19/$C19,0),"0%"))</f>
        <v>██░░░░░░░░░░ 17%</v>
      </c>
      <c r="K19" s="73"/>
    </row>
    <row r="20" spans="1:11" ht="22" customHeight="1" x14ac:dyDescent="0.25">
      <c r="A20" s="1"/>
      <c r="B20" s="62" t="s">
        <v>344</v>
      </c>
      <c r="C20" s="66">
        <v>35</v>
      </c>
      <c r="D20" s="66"/>
      <c r="E20" s="67">
        <f>SUMIFS('🛍️ Shopping List'!$K$8:$K$52,'🛍️ Shopping List'!$D$8:$D$52,"Baking")</f>
        <v>10.9</v>
      </c>
      <c r="F20" s="67">
        <f>$D20+$E20</f>
        <v>10.9</v>
      </c>
      <c r="G20" s="67">
        <f>$C20-$F20</f>
        <v>14.1</v>
      </c>
      <c r="H20" s="68">
        <f>IF($C20=0,"",$F20/$C20)</f>
        <v>0.436</v>
      </c>
      <c r="I20" s="65" t="str">
        <f>IF($C20=0,"⚪ Set a plan",IF($F20&gt;$C20,"🔴 Over budget",IF($F20/$C20&gt;=AlertAt,"🟠 Nearly there",IF($F20=0,"⚪ Not started","🟢 On track"))))</f>
        <v>🟢 On track</v>
      </c>
      <c r="J20" s="96" t="str">
        <f>IF($C20=0,"—",REPT("█",ROUND(MIN(1,IFERROR($F20/$C20,0))*12,0))&amp;REPT("░",12-ROUND(MIN(1,IFERROR($F20/$C20,0))*12,0))&amp;" "&amp;TEXT(IFERROR($F20/$C20,0),"0%"))</f>
        <v>█████░░░░░░░ 44%</v>
      </c>
      <c r="K20" s="62"/>
    </row>
    <row r="21" spans="1:11" ht="22" customHeight="1" x14ac:dyDescent="0.25">
      <c r="A21" s="1"/>
      <c r="B21" s="73" t="s">
        <v>345</v>
      </c>
      <c r="C21" s="76">
        <v>60</v>
      </c>
      <c r="D21" s="76"/>
      <c r="E21" s="67">
        <f>SUMIFS('🛍️ Shopping List'!$K$8:$K$52,'🛍️ Shopping List'!$D$8:$D$52,"Decorations")</f>
        <v>30.99</v>
      </c>
      <c r="F21" s="67">
        <f>$D21+$E21</f>
        <v>30.99</v>
      </c>
      <c r="G21" s="67">
        <f>$C21-$F21</f>
        <v>9.010000000000002</v>
      </c>
      <c r="H21" s="68">
        <f>IF($C21=0,"",$F21/$C21)</f>
        <v>0.7747499999999999</v>
      </c>
      <c r="I21" s="65" t="str">
        <f>IF($C21=0,"⚪ Set a plan",IF($F21&gt;$C21,"🔴 Over budget",IF($F21/$C21&gt;=AlertAt,"🟠 Nearly there",IF($F21=0,"⚪ Not started","🟢 On track"))))</f>
        <v>🟢 On track</v>
      </c>
      <c r="J21" s="96" t="str">
        <f>IF($C21=0,"—",REPT("█",ROUND(MIN(1,IFERROR($F21/$C21,0))*12,0))&amp;REPT("░",12-ROUND(MIN(1,IFERROR($F21/$C21,0))*12,0))&amp;" "&amp;TEXT(IFERROR($F21/$C21,0),"0%"))</f>
        <v>█████████░░░ 77%</v>
      </c>
      <c r="K21" s="73"/>
    </row>
    <row r="22" spans="1:11" ht="22" customHeight="1" x14ac:dyDescent="0.25">
      <c r="A22" s="1"/>
      <c r="B22" s="62" t="s">
        <v>346</v>
      </c>
      <c r="C22" s="66">
        <v>45</v>
      </c>
      <c r="D22" s="66"/>
      <c r="E22" s="67">
        <f>SUMIFS('🛍️ Shopping List'!$K$8:$K$52,'🛍️ Shopping List'!$D$8:$D$52,"Party Supplies")</f>
        <v>0.0</v>
      </c>
      <c r="F22" s="67">
        <f>$D22+$E22</f>
        <v>0.0</v>
      </c>
      <c r="G22" s="67">
        <f>$C22-$F22</f>
        <v>25.0</v>
      </c>
      <c r="H22" s="68">
        <f>IF($C22=0,"",$F22/$C22)</f>
        <v>0.0</v>
      </c>
      <c r="I22" s="65" t="str">
        <f>IF($C22=0,"⚪ Set a plan",IF($F22&gt;$C22,"🔴 Over budget",IF($F22/$C22&gt;=AlertAt,"🟠 Nearly there",IF($F22=0,"⚪ Not started","🟢 On track"))))</f>
        <v>⚪ Not started</v>
      </c>
      <c r="J22" s="96" t="str">
        <f>IF($C22=0,"—",REPT("█",ROUND(MIN(1,IFERROR($F22/$C22,0))*12,0))&amp;REPT("░",12-ROUND(MIN(1,IFERROR($F22/$C22,0))*12,0))&amp;" "&amp;TEXT(IFERROR($F22/$C22,0),"0%"))</f>
        <v>░░░░░░░░░░░░ 0%</v>
      </c>
      <c r="K22" s="62"/>
    </row>
    <row r="23" spans="1:11" ht="22" customHeight="1" x14ac:dyDescent="0.25">
      <c r="A23" s="1"/>
      <c r="B23" s="73" t="s">
        <v>347</v>
      </c>
      <c r="C23" s="76">
        <v>35</v>
      </c>
      <c r="D23" s="76">
        <v>38.4</v>
      </c>
      <c r="E23" s="67">
        <f>SUMIFS('🛍️ Shopping List'!$K$8:$K$52,'🛍️ Shopping List'!$D$8:$D$52,"Travel")</f>
        <v>0.0</v>
      </c>
      <c r="F23" s="67">
        <f>$D23+$E23</f>
        <v>38.4</v>
      </c>
      <c r="G23" s="67">
        <f>$C23-$F23</f>
        <v>-38.4</v>
      </c>
      <c r="H23" s="68">
        <f>IF($C23=0,"",$F23/$C23)</f>
        <v/>
      </c>
      <c r="I23" s="65" t="str">
        <f>IF($C23=0,"⚪ Set a plan",IF($F23&gt;$C23,"🔴 Over budget",IF($F23/$C23&gt;=AlertAt,"🟠 Nearly there",IF($F23=0,"⚪ Not started","🟢 On track"))))</f>
        <v>⚪ Set a plan</v>
      </c>
      <c r="J23" s="96" t="str">
        <f>IF($C23=0,"—",REPT("█",ROUND(MIN(1,IFERROR($F23/$C23,0))*12,0))&amp;REPT("░",12-ROUND(MIN(1,IFERROR($F23/$C23,0))*12,0))&amp;" "&amp;TEXT(IFERROR($F23/$C23,0),"0%"))</f>
        <v>—</v>
      </c>
      <c r="K23" s="73"/>
    </row>
    <row r="24" spans="1:11" ht="22" customHeight="1" x14ac:dyDescent="0.25">
      <c r="A24" s="1"/>
      <c r="B24" s="62" t="s">
        <v>348</v>
      </c>
      <c r="C24" s="66">
        <v>40</v>
      </c>
      <c r="D24" s="66"/>
      <c r="E24" s="67">
        <f>SUMIFS('🛍️ Shopping List'!$K$8:$K$52,'🛍️ Shopping List'!$D$8:$D$52,"Charity")+SUMIFS('🛍️ Shopping List'!$K$8:$K$52,'🛍️ Shopping List'!$D$8:$D$52,"Other")</f>
        <v>25.0</v>
      </c>
      <c r="F24" s="67">
        <f>$D24+$E24</f>
        <v>25.0</v>
      </c>
      <c r="G24" s="67">
        <f>$C24-$F24</f>
        <v>0.0</v>
      </c>
      <c r="H24" s="68">
        <f>IF($C24=0,"",$F24/$C24)</f>
        <v>1.0</v>
      </c>
      <c r="I24" s="65" t="str">
        <f>IF($C24=0,"⚪ Set a plan",IF($F24&gt;$C24,"🔴 Over budget",IF($F24/$C24&gt;=AlertAt,"🟠 Nearly there",IF($F24=0,"⚪ Not started","🟢 On track"))))</f>
        <v>🟠 Nearly there</v>
      </c>
      <c r="J24" s="96" t="str">
        <f>IF($C24=0,"—",REPT("█",ROUND(MIN(1,IFERROR($F24/$C24,0))*12,0))&amp;REPT("░",12-ROUND(MIN(1,IFERROR($F24/$C24,0))*12,0))&amp;" "&amp;TEXT(IFERROR($F24/$C24,0),"0%"))</f>
        <v>████████████ 100%</v>
      </c>
      <c r="K24" s="62"/>
    </row>
    <row r="25" spans="1:11" ht="24" customHeight="1" x14ac:dyDescent="0.25">
      <c r="A25" s="1"/>
      <c r="B25" s="79" t="s">
        <v>349</v>
      </c>
      <c r="C25" s="80">
        <f>SUM($C$15:$C$24)</f>
        <v>1500</v>
      </c>
      <c r="D25" s="80">
        <f>SUM($D$15:$D$24)</f>
        <v>38.4</v>
      </c>
      <c r="E25" s="80">
        <f>SUM($E$15:$E$24)</f>
        <v>1167.3400000000001</v>
      </c>
      <c r="F25" s="80">
        <f>SUM($F$15:$F$24)</f>
        <v>1205.7400000000002</v>
      </c>
      <c r="G25" s="80">
        <f>SUM($G$15:$G$24)</f>
        <v>294.25999999999976</v>
      </c>
      <c r="H25" s="81">
        <f>IFERROR(SUM($F$15:$F$24)/SUM($C$15:$C$24),"")</f>
        <v>0.8038266666666668</v>
      </c>
      <c r="I25" s="39" t="str">
        <f>IF(SUM($C$15:$C$24)=0,"—","Budget "&amp;TEXT(SUM($F$15:$F$24)/SUM($C$15:$C$24),"0%")&amp;" used  •  "&amp;Currency&amp;TEXT(SUM($C$15:$C$24)-SUM($F$15:$F$24),"#,##0")&amp;" left")</f>
        <v>Budget 80% used  •  $294 left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350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318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2" t="s">
        <v>351</v>
      </c>
      <c r="C45" s="82"/>
      <c r="D45" s="82"/>
      <c r="E45" s="82"/>
      <c r="F45" s="82"/>
      <c r="G45" s="82"/>
      <c r="H45" s="82"/>
      <c r="I45" s="82"/>
      <c r="J45" s="82"/>
      <c r="K45" s="82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248</v>
      </c>
      <c r="C47" s="43"/>
      <c r="D47" s="44" t="s">
        <v>249</v>
      </c>
      <c r="E47" s="44"/>
      <c r="F47" s="45" t="s">
        <v>352</v>
      </c>
      <c r="G47" s="45"/>
      <c r="H47" s="46" t="s">
        <v>251</v>
      </c>
      <c r="I47" s="46"/>
      <c r="J47" s="47" t="s">
        <v>321</v>
      </c>
      <c r="K47" s="47"/>
    </row>
    <row r="48" spans="1:11" ht="24" customHeight="1" x14ac:dyDescent="0.25">
      <c r="A48" s="1"/>
      <c r="B48" s="48" t="s">
        <v>253</v>
      </c>
      <c r="C48" s="48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49" t="s">
        <v>322</v>
      </c>
      <c r="C50" s="49"/>
      <c r="D50" s="49"/>
      <c r="E50" s="49"/>
      <c r="F50" s="49"/>
      <c r="G50" s="49"/>
      <c r="H50" s="49"/>
      <c r="I50" s="49"/>
      <c r="J50" s="49"/>
      <c r="K50" s="49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mergeCells count="32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B50:K50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🛍️ Shopping List'!A1" display="🛍️ Shop"/>
    <hyperlink ref="J47" location="'⚙️ Setup'!A1" display="⚙️ Setup"/>
    <hyperlink ref="B48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5D8F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7" width="11.7109375" customWidth="1"/>
    <col min="8" max="8" width="11.7109375" customWidth="1"/>
    <col min="9" max="9" width="10.7109375" customWidth="1"/>
    <col min="10" max="10" width="11.7109375" customWidth="1"/>
    <col min="11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0" t="s">
        <v>353</v>
      </c>
      <c r="C2" s="50"/>
      <c r="D2" s="50"/>
      <c r="E2" s="50"/>
      <c r="F2" s="50"/>
      <c r="G2" s="50"/>
      <c r="H2" s="50"/>
      <c r="I2" s="50"/>
      <c r="J2" s="50"/>
      <c r="K2" s="1"/>
      <c r="L2" s="1"/>
      <c r="M2" s="1"/>
    </row>
    <row r="3" spans="1:13" ht="18" customHeight="1">
      <c r="A3" s="1"/>
      <c r="B3" s="51" t="s">
        <v>354</v>
      </c>
      <c r="C3" s="51"/>
      <c r="D3" s="51"/>
      <c r="E3" s="51"/>
      <c r="F3" s="51"/>
      <c r="G3" s="51"/>
      <c r="H3" s="51"/>
      <c r="I3" s="51"/>
      <c r="J3" s="51"/>
      <c r="K3" s="52" t="s">
        <v>81</v>
      </c>
      <c r="L3" s="52"/>
      <c r="M3" s="52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3" t="str">
        <f>"📝 Items: "&amp;'_Data'!$AF$21</f>
        <v>📝 Items: 24</v>
      </c>
      <c r="C5" s="53"/>
      <c r="D5" s="53"/>
      <c r="E5" s="54" t="str">
        <f>"✅ Bought: "&amp;'_Data'!$AF$22</f>
        <v>✅ Bought: 13</v>
      </c>
      <c r="F5" s="54"/>
      <c r="G5" s="55" t="str">
        <f>"💰 Spent: "&amp;Currency&amp;TEXT('_Data'!$AF$23,"#,##0")</f>
        <v>💰 Spent: $163</v>
      </c>
      <c r="H5" s="55"/>
      <c r="I5" s="97" t="str">
        <f>"💵 Estimated: "&amp;Currency&amp;TEXT(SUM('🛍️ Shopping List'!$H$8:$H$52),"#,##0")</f>
        <v>💵 Estimated: $351</v>
      </c>
      <c r="J5" s="97"/>
      <c r="K5" s="56" t="str">
        <f>"📊 Progress: "&amp;TEXT(IFERROR('_Data'!$AF$22/'_Data'!$AF$21,0),"0%")</f>
        <v>📊 Progress: 54%</v>
      </c>
      <c r="L5" s="56"/>
      <c r="M5" s="56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257</v>
      </c>
      <c r="C7" s="33" t="s">
        <v>355</v>
      </c>
      <c r="D7" s="33" t="s">
        <v>260</v>
      </c>
      <c r="E7" s="33" t="s">
        <v>356</v>
      </c>
      <c r="F7" s="33" t="s">
        <v>357</v>
      </c>
      <c r="G7" s="33" t="s">
        <v>358</v>
      </c>
      <c r="H7" s="60" t="s">
        <v>359</v>
      </c>
      <c r="I7" s="33" t="s">
        <v>27</v>
      </c>
      <c r="J7" s="33" t="s">
        <v>265</v>
      </c>
      <c r="K7" s="60" t="s">
        <v>360</v>
      </c>
      <c r="L7" s="33" t="s">
        <v>262</v>
      </c>
      <c r="M7" s="33" t="s">
        <v>272</v>
      </c>
    </row>
    <row r="8" spans="1:13" ht="20" customHeight="1">
      <c r="A8" s="1"/>
      <c r="B8" s="61">
        <f>IF($C8="","",ROW()-7)</f>
        <v>1</v>
      </c>
      <c r="C8" s="62" t="s">
        <v>361</v>
      </c>
      <c r="D8" s="63" t="s">
        <v>136</v>
      </c>
      <c r="E8" s="62" t="s">
        <v>142</v>
      </c>
      <c r="F8" s="98">
        <v>3</v>
      </c>
      <c r="G8" s="66">
        <v>4</v>
      </c>
      <c r="H8" s="67">
        <f>IF($G8="","",IF($F8="",1,$F8)*$G8)</f>
        <v>12.0</v>
      </c>
      <c r="I8" s="69" t="s">
        <v>233</v>
      </c>
      <c r="J8" s="66">
        <v>11.5</v>
      </c>
      <c r="K8" s="67">
        <f>IF($I8="✓",IF($J8&lt;&gt;"",$J8,IF($H8&lt;&gt;"",$H8,0)),0)</f>
        <v>11.5</v>
      </c>
      <c r="L8" s="64"/>
      <c r="M8" s="62" t="s">
        <v>362</v>
      </c>
    </row>
    <row r="9" spans="1:13" ht="20" customHeight="1">
      <c r="A9" s="1"/>
      <c r="B9" s="72">
        <f>IF($C9="","",ROW()-7)</f>
        <v>2</v>
      </c>
      <c r="C9" s="73" t="s">
        <v>363</v>
      </c>
      <c r="D9" s="74" t="s">
        <v>136</v>
      </c>
      <c r="E9" s="73" t="s">
        <v>127</v>
      </c>
      <c r="F9" s="99">
        <v>2</v>
      </c>
      <c r="G9" s="76">
        <v>3.5</v>
      </c>
      <c r="H9" s="67">
        <f>IF($G9="","",IF($F9="",1,$F9)*$G9)</f>
        <v>7.0</v>
      </c>
      <c r="I9" s="77" t="s">
        <v>233</v>
      </c>
      <c r="J9" s="76">
        <v>6.8</v>
      </c>
      <c r="K9" s="67">
        <f>IF($I9="✓",IF($J9&lt;&gt;"",$J9,IF($H9&lt;&gt;"",$H9,0)),0)</f>
        <v>6.8</v>
      </c>
      <c r="L9" s="75"/>
      <c r="M9" s="73"/>
    </row>
    <row r="10" spans="1:13" ht="20" customHeight="1">
      <c r="A10" s="1"/>
      <c r="B10" s="61">
        <f>IF($C10="","",ROW()-7)</f>
        <v>3</v>
      </c>
      <c r="C10" s="62" t="s">
        <v>364</v>
      </c>
      <c r="D10" s="63" t="s">
        <v>136</v>
      </c>
      <c r="E10" s="62" t="s">
        <v>133</v>
      </c>
      <c r="F10" s="98">
        <v>1</v>
      </c>
      <c r="G10" s="66">
        <v>6</v>
      </c>
      <c r="H10" s="67">
        <f>IF($G10="","",IF($F10="",1,$F10)*$G10)</f>
        <v>6.0</v>
      </c>
      <c r="I10" s="69" t="s">
        <v>233</v>
      </c>
      <c r="J10" s="66">
        <v>6</v>
      </c>
      <c r="K10" s="67">
        <f>IF($I10="✓",IF($J10&lt;&gt;"",$J10,IF($H10&lt;&gt;"",$H10,0)),0)</f>
        <v>6.0</v>
      </c>
      <c r="L10" s="64"/>
      <c r="M10" s="62" t="s">
        <v>365</v>
      </c>
    </row>
    <row r="11" spans="1:13" ht="20" customHeight="1">
      <c r="A11" s="1"/>
      <c r="B11" s="72">
        <f>IF($C11="","",ROW()-7)</f>
        <v>4</v>
      </c>
      <c r="C11" s="73" t="s">
        <v>366</v>
      </c>
      <c r="D11" s="74" t="s">
        <v>136</v>
      </c>
      <c r="E11" s="73" t="s">
        <v>142</v>
      </c>
      <c r="F11" s="99">
        <v>1</v>
      </c>
      <c r="G11" s="76">
        <v>5</v>
      </c>
      <c r="H11" s="67">
        <f>IF($G11="","",IF($F11="",1,$F11)*$G11)</f>
        <v>5.0</v>
      </c>
      <c r="I11" s="77"/>
      <c r="J11" s="76"/>
      <c r="K11" s="67">
        <f>IF($I11="✓",IF($J11&lt;&gt;"",$J11,IF($H11&lt;&gt;"",$H11,0)),0)</f>
        <v>0</v>
      </c>
      <c r="L11" s="75"/>
      <c r="M11" s="73"/>
    </row>
    <row r="12" spans="1:13" ht="20" customHeight="1">
      <c r="A12" s="1"/>
      <c r="B12" s="61">
        <f>IF($C12="","",ROW()-7)</f>
        <v>5</v>
      </c>
      <c r="C12" s="62" t="s">
        <v>367</v>
      </c>
      <c r="D12" s="63" t="s">
        <v>136</v>
      </c>
      <c r="E12" s="62" t="s">
        <v>142</v>
      </c>
      <c r="F12" s="98">
        <v>1</v>
      </c>
      <c r="G12" s="66">
        <v>3</v>
      </c>
      <c r="H12" s="67">
        <f>IF($G12="","",IF($F12="",1,$F12)*$G12)</f>
        <v>3.0</v>
      </c>
      <c r="I12" s="69"/>
      <c r="J12" s="66"/>
      <c r="K12" s="67">
        <f>IF($I12="✓",IF($J12&lt;&gt;"",$J12,IF($H12&lt;&gt;"",$H12,0)),0)</f>
        <v>0</v>
      </c>
      <c r="L12" s="64"/>
      <c r="M12" s="62"/>
    </row>
    <row r="13" spans="1:13" ht="20" customHeight="1">
      <c r="A13" s="1"/>
      <c r="B13" s="72">
        <f>IF($C13="","",ROW()-7)</f>
        <v>6</v>
      </c>
      <c r="C13" s="73" t="s">
        <v>368</v>
      </c>
      <c r="D13" s="74" t="s">
        <v>144</v>
      </c>
      <c r="E13" s="73" t="s">
        <v>127</v>
      </c>
      <c r="F13" s="99">
        <v>1</v>
      </c>
      <c r="G13" s="76">
        <v>14</v>
      </c>
      <c r="H13" s="67">
        <f>IF($G13="","",IF($F13="",1,$F13)*$G13)</f>
        <v>14.0</v>
      </c>
      <c r="I13" s="77" t="s">
        <v>233</v>
      </c>
      <c r="J13" s="76">
        <v>13.5</v>
      </c>
      <c r="K13" s="67">
        <f>IF($I13="✓",IF($J13&lt;&gt;"",$J13,IF($H13&lt;&gt;"",$H13,0)),0)</f>
        <v>13.5</v>
      </c>
      <c r="L13" s="75"/>
      <c r="M13" s="73"/>
    </row>
    <row r="14" spans="1:13" ht="20" customHeight="1">
      <c r="A14" s="1"/>
      <c r="B14" s="61">
        <f>IF($C14="","",ROW()-7)</f>
        <v>7</v>
      </c>
      <c r="C14" s="62" t="s">
        <v>369</v>
      </c>
      <c r="D14" s="63" t="s">
        <v>178</v>
      </c>
      <c r="E14" s="62" t="s">
        <v>370</v>
      </c>
      <c r="F14" s="98">
        <v>1</v>
      </c>
      <c r="G14" s="66">
        <v>20.4</v>
      </c>
      <c r="H14" s="67">
        <f>IF($G14="","",IF($F14="",1,$F14)*$G14)</f>
        <v>20.4</v>
      </c>
      <c r="I14" s="69" t="s">
        <v>233</v>
      </c>
      <c r="J14" s="66">
        <v>20.4</v>
      </c>
      <c r="K14" s="67">
        <f>IF($I14="✓",IF($J14&lt;&gt;"",$J14,IF($H14&lt;&gt;"",$H14,0)),0)</f>
        <v>20.4</v>
      </c>
      <c r="L14" s="64"/>
      <c r="M14" s="62"/>
    </row>
    <row r="15" spans="1:13" ht="20" customHeight="1">
      <c r="A15" s="1"/>
      <c r="B15" s="72">
        <f>IF($C15="","",ROW()-7)</f>
        <v>8</v>
      </c>
      <c r="C15" s="73" t="s">
        <v>371</v>
      </c>
      <c r="D15" s="74" t="s">
        <v>144</v>
      </c>
      <c r="E15" s="73" t="s">
        <v>133</v>
      </c>
      <c r="F15" s="99">
        <v>1</v>
      </c>
      <c r="G15" s="76">
        <v>8</v>
      </c>
      <c r="H15" s="67">
        <f>IF($G15="","",IF($F15="",1,$F15)*$G15)</f>
        <v>8.0</v>
      </c>
      <c r="I15" s="77"/>
      <c r="J15" s="76"/>
      <c r="K15" s="67">
        <f>IF($I15="✓",IF($J15&lt;&gt;"",$J15,IF($H15&lt;&gt;"",$H15,0)),0)</f>
        <v>0</v>
      </c>
      <c r="L15" s="75"/>
      <c r="M15" s="73" t="s">
        <v>372</v>
      </c>
    </row>
    <row r="16" spans="1:13" ht="20" customHeight="1">
      <c r="A16" s="1"/>
      <c r="B16" s="61">
        <f>IF($C16="","",ROW()-7)</f>
        <v>9</v>
      </c>
      <c r="C16" s="62" t="s">
        <v>373</v>
      </c>
      <c r="D16" s="63" t="s">
        <v>156</v>
      </c>
      <c r="E16" s="62" t="s">
        <v>374</v>
      </c>
      <c r="F16" s="98">
        <v>2</v>
      </c>
      <c r="G16" s="66">
        <v>1.8</v>
      </c>
      <c r="H16" s="67">
        <f>IF($G16="","",IF($F16="",1,$F16)*$G16)</f>
        <v>3.6</v>
      </c>
      <c r="I16" s="69" t="s">
        <v>233</v>
      </c>
      <c r="J16" s="66">
        <v>3.4</v>
      </c>
      <c r="K16" s="67">
        <f>IF($I16="✓",IF($J16&lt;&gt;"",$J16,IF($H16&lt;&gt;"",$H16,0)),0)</f>
        <v>3.4</v>
      </c>
      <c r="L16" s="64"/>
      <c r="M16" s="62"/>
    </row>
    <row r="17" spans="1:13" ht="20" customHeight="1">
      <c r="A17" s="1"/>
      <c r="B17" s="72">
        <f>IF($C17="","",ROW()-7)</f>
        <v>10</v>
      </c>
      <c r="C17" s="73" t="s">
        <v>375</v>
      </c>
      <c r="D17" s="74" t="s">
        <v>156</v>
      </c>
      <c r="E17" s="73" t="s">
        <v>127</v>
      </c>
      <c r="F17" s="99">
        <v>1</v>
      </c>
      <c r="G17" s="76">
        <v>8</v>
      </c>
      <c r="H17" s="67">
        <f>IF($G17="","",IF($F17="",1,$F17)*$G17)</f>
        <v>8.0</v>
      </c>
      <c r="I17" s="77" t="s">
        <v>233</v>
      </c>
      <c r="J17" s="76">
        <v>7.5</v>
      </c>
      <c r="K17" s="67">
        <f>IF($I17="✓",IF($J17&lt;&gt;"",$J17,IF($H17&lt;&gt;"",$H17,0)),0)</f>
        <v>7.5</v>
      </c>
      <c r="L17" s="75"/>
      <c r="M17" s="73"/>
    </row>
    <row r="18" spans="1:13" ht="20" customHeight="1">
      <c r="A18" s="1"/>
      <c r="B18" s="61">
        <f>IF($C18="","",ROW()-7)</f>
        <v>11</v>
      </c>
      <c r="C18" s="62" t="s">
        <v>376</v>
      </c>
      <c r="D18" s="63" t="s">
        <v>156</v>
      </c>
      <c r="E18" s="62" t="s">
        <v>374</v>
      </c>
      <c r="F18" s="98">
        <v>1</v>
      </c>
      <c r="G18" s="66">
        <v>4.5</v>
      </c>
      <c r="H18" s="67">
        <f>IF($G18="","",IF($F18="",1,$F18)*$G18)</f>
        <v>4.5</v>
      </c>
      <c r="I18" s="69"/>
      <c r="J18" s="66"/>
      <c r="K18" s="67">
        <f>IF($I18="✓",IF($J18&lt;&gt;"",$J18,IF($H18&lt;&gt;"",$H18,0)),0)</f>
        <v>0</v>
      </c>
      <c r="L18" s="64"/>
      <c r="M18" s="62"/>
    </row>
    <row r="19" spans="1:13" ht="20" customHeight="1">
      <c r="A19" s="1"/>
      <c r="B19" s="72">
        <f>IF($C19="","",ROW()-7)</f>
        <v>12</v>
      </c>
      <c r="C19" s="73" t="s">
        <v>377</v>
      </c>
      <c r="D19" s="74" t="s">
        <v>134</v>
      </c>
      <c r="E19" s="73" t="s">
        <v>374</v>
      </c>
      <c r="F19" s="99">
        <v>4</v>
      </c>
      <c r="G19" s="76">
        <v>3.2</v>
      </c>
      <c r="H19" s="67">
        <f>IF($G19="","",IF($F19="",1,$F19)*$G19)</f>
        <v>12.8</v>
      </c>
      <c r="I19" s="77" t="s">
        <v>233</v>
      </c>
      <c r="J19" s="76">
        <v>12</v>
      </c>
      <c r="K19" s="67">
        <f>IF($I19="✓",IF($J19&lt;&gt;"",$J19,IF($H19&lt;&gt;"",$H19,0)),0)</f>
        <v>12.0</v>
      </c>
      <c r="L19" s="75"/>
      <c r="M19" s="73"/>
    </row>
    <row r="20" spans="1:13" ht="20" customHeight="1">
      <c r="A20" s="1"/>
      <c r="B20" s="61">
        <f>IF($C20="","",ROW()-7)</f>
        <v>13</v>
      </c>
      <c r="C20" s="62" t="s">
        <v>378</v>
      </c>
      <c r="D20" s="63" t="s">
        <v>134</v>
      </c>
      <c r="E20" s="62" t="s">
        <v>374</v>
      </c>
      <c r="F20" s="98">
        <v>2</v>
      </c>
      <c r="G20" s="66">
        <v>2</v>
      </c>
      <c r="H20" s="67">
        <f>IF($G20="","",IF($F20="",1,$F20)*$G20)</f>
        <v>4.0</v>
      </c>
      <c r="I20" s="69" t="s">
        <v>233</v>
      </c>
      <c r="J20" s="66">
        <v>3.8</v>
      </c>
      <c r="K20" s="67">
        <f>IF($I20="✓",IF($J20&lt;&gt;"",$J20,IF($H20&lt;&gt;"",$H20,0)),0)</f>
        <v>3.8</v>
      </c>
      <c r="L20" s="64"/>
      <c r="M20" s="62"/>
    </row>
    <row r="21" spans="1:13" ht="20" customHeight="1">
      <c r="A21" s="1"/>
      <c r="B21" s="72">
        <f>IF($C21="","",ROW()-7)</f>
        <v>14</v>
      </c>
      <c r="C21" s="73" t="s">
        <v>379</v>
      </c>
      <c r="D21" s="74" t="s">
        <v>186</v>
      </c>
      <c r="E21" s="73" t="s">
        <v>142</v>
      </c>
      <c r="F21" s="99">
        <v>2</v>
      </c>
      <c r="G21" s="76">
        <v>5.5</v>
      </c>
      <c r="H21" s="67">
        <f>IF($G21="","",IF($F21="",1,$F21)*$G21)</f>
        <v>11.0</v>
      </c>
      <c r="I21" s="77"/>
      <c r="J21" s="76"/>
      <c r="K21" s="67">
        <f>IF($I21="✓",IF($J21&lt;&gt;"",$J21,IF($H21&lt;&gt;"",$H21,0)),0)</f>
        <v>0</v>
      </c>
      <c r="L21" s="75"/>
      <c r="M21" s="73"/>
    </row>
    <row r="22" spans="1:13" ht="20" customHeight="1">
      <c r="A22" s="1"/>
      <c r="B22" s="61">
        <f>IF($C22="","",ROW()-7)</f>
        <v>15</v>
      </c>
      <c r="C22" s="62" t="s">
        <v>380</v>
      </c>
      <c r="D22" s="63" t="s">
        <v>186</v>
      </c>
      <c r="E22" s="62" t="s">
        <v>142</v>
      </c>
      <c r="F22" s="98">
        <v>1</v>
      </c>
      <c r="G22" s="66">
        <v>7</v>
      </c>
      <c r="H22" s="67">
        <f>IF($G22="","",IF($F22="",1,$F22)*$G22)</f>
        <v>7.0</v>
      </c>
      <c r="I22" s="69"/>
      <c r="J22" s="66"/>
      <c r="K22" s="67">
        <f>IF($I22="✓",IF($J22&lt;&gt;"",$J22,IF($H22&lt;&gt;"",$H22,0)),0)</f>
        <v>0</v>
      </c>
      <c r="L22" s="64"/>
      <c r="M22" s="62"/>
    </row>
    <row r="23" spans="1:13" ht="20" customHeight="1">
      <c r="A23" s="1"/>
      <c r="B23" s="72">
        <f>IF($C23="","",ROW()-7)</f>
        <v>16</v>
      </c>
      <c r="C23" s="73" t="s">
        <v>381</v>
      </c>
      <c r="D23" s="74" t="s">
        <v>158</v>
      </c>
      <c r="E23" s="73" t="s">
        <v>200</v>
      </c>
      <c r="F23" s="99">
        <v>2</v>
      </c>
      <c r="G23" s="76">
        <v>9</v>
      </c>
      <c r="H23" s="67">
        <f>IF($G23="","",IF($F23="",1,$F23)*$G23)</f>
        <v>18.0</v>
      </c>
      <c r="I23" s="77" t="s">
        <v>233</v>
      </c>
      <c r="J23" s="76">
        <v>16</v>
      </c>
      <c r="K23" s="67">
        <f>IF($I23="✓",IF($J23&lt;&gt;"",$J23,IF($H23&lt;&gt;"",$H23,0)),0)</f>
        <v>16.0</v>
      </c>
      <c r="L23" s="75"/>
      <c r="M23" s="73"/>
    </row>
    <row r="24" spans="1:13" ht="20" customHeight="1">
      <c r="A24" s="1"/>
      <c r="B24" s="61">
        <f>IF($C24="","",ROW()-7)</f>
        <v>17</v>
      </c>
      <c r="C24" s="62" t="s">
        <v>382</v>
      </c>
      <c r="D24" s="63" t="s">
        <v>158</v>
      </c>
      <c r="E24" s="62" t="s">
        <v>127</v>
      </c>
      <c r="F24" s="98">
        <v>1</v>
      </c>
      <c r="G24" s="66">
        <v>15</v>
      </c>
      <c r="H24" s="67">
        <f>IF($G24="","",IF($F24="",1,$F24)*$G24)</f>
        <v>15.0</v>
      </c>
      <c r="I24" s="69" t="s">
        <v>233</v>
      </c>
      <c r="J24" s="66">
        <v>14.99</v>
      </c>
      <c r="K24" s="67">
        <f>IF($I24="✓",IF($J24&lt;&gt;"",$J24,IF($H24&lt;&gt;"",$H24,0)),0)</f>
        <v>14.99</v>
      </c>
      <c r="L24" s="64"/>
      <c r="M24" s="62"/>
    </row>
    <row r="25" spans="1:13" ht="20" customHeight="1">
      <c r="A25" s="1"/>
      <c r="B25" s="72">
        <f>IF($C25="","",ROW()-7)</f>
        <v>18</v>
      </c>
      <c r="C25" s="73" t="s">
        <v>383</v>
      </c>
      <c r="D25" s="74" t="s">
        <v>158</v>
      </c>
      <c r="E25" s="73" t="s">
        <v>384</v>
      </c>
      <c r="F25" s="99">
        <v>1</v>
      </c>
      <c r="G25" s="76">
        <v>22</v>
      </c>
      <c r="H25" s="67">
        <f>IF($G25="","",IF($F25="",1,$F25)*$G25)</f>
        <v>22.0</v>
      </c>
      <c r="I25" s="77"/>
      <c r="J25" s="76"/>
      <c r="K25" s="67">
        <f>IF($I25="✓",IF($J25&lt;&gt;"",$J25,IF($H25&lt;&gt;"",$H25,0)),0)</f>
        <v>0</v>
      </c>
      <c r="L25" s="75"/>
      <c r="M25" s="73"/>
    </row>
    <row r="26" spans="1:13" ht="20" customHeight="1">
      <c r="A26" s="1"/>
      <c r="B26" s="61">
        <f>IF($C26="","",ROW()-7)</f>
        <v>19</v>
      </c>
      <c r="C26" s="62" t="s">
        <v>385</v>
      </c>
      <c r="D26" s="63" t="s">
        <v>150</v>
      </c>
      <c r="E26" s="62" t="s">
        <v>374</v>
      </c>
      <c r="F26" s="98">
        <v>1</v>
      </c>
      <c r="G26" s="66">
        <v>65</v>
      </c>
      <c r="H26" s="67">
        <f>IF($G26="","",IF($F26="",1,$F26)*$G26)</f>
        <v>65.0</v>
      </c>
      <c r="I26" s="69"/>
      <c r="J26" s="66"/>
      <c r="K26" s="67">
        <f>IF($I26="✓",IF($J26&lt;&gt;"",$J26,IF($H26&lt;&gt;"",$H26,0)),0)</f>
        <v>0</v>
      </c>
      <c r="L26" s="64"/>
      <c r="M26" s="62" t="s">
        <v>386</v>
      </c>
    </row>
    <row r="27" spans="1:13" ht="20" customHeight="1">
      <c r="A27" s="1"/>
      <c r="B27" s="72">
        <f>IF($C27="","",ROW()-7)</f>
        <v>20</v>
      </c>
      <c r="C27" s="73" t="s">
        <v>387</v>
      </c>
      <c r="D27" s="74" t="s">
        <v>150</v>
      </c>
      <c r="E27" s="73" t="s">
        <v>374</v>
      </c>
      <c r="F27" s="99">
        <v>2</v>
      </c>
      <c r="G27" s="76">
        <v>6.5</v>
      </c>
      <c r="H27" s="67">
        <f>IF($G27="","",IF($F27="",1,$F27)*$G27)</f>
        <v>13.0</v>
      </c>
      <c r="I27" s="77"/>
      <c r="J27" s="76"/>
      <c r="K27" s="67">
        <f>IF($I27="✓",IF($J27&lt;&gt;"",$J27,IF($H27&lt;&gt;"",$H27,0)),0)</f>
        <v>0</v>
      </c>
      <c r="L27" s="75"/>
      <c r="M27" s="73"/>
    </row>
    <row r="28" spans="1:13" ht="20" customHeight="1">
      <c r="A28" s="1"/>
      <c r="B28" s="61">
        <f>IF($C28="","",ROW()-7)</f>
        <v>21</v>
      </c>
      <c r="C28" s="62" t="s">
        <v>388</v>
      </c>
      <c r="D28" s="63" t="s">
        <v>150</v>
      </c>
      <c r="E28" s="62" t="s">
        <v>374</v>
      </c>
      <c r="F28" s="98">
        <v>3</v>
      </c>
      <c r="G28" s="66">
        <v>8</v>
      </c>
      <c r="H28" s="67">
        <f>IF($G28="","",IF($F28="",1,$F28)*$G28)</f>
        <v>24.0</v>
      </c>
      <c r="I28" s="69" t="s">
        <v>233</v>
      </c>
      <c r="J28" s="66">
        <v>22.5</v>
      </c>
      <c r="K28" s="67">
        <f>IF($I28="✓",IF($J28&lt;&gt;"",$J28,IF($H28&lt;&gt;"",$H28,0)),0)</f>
        <v>22.5</v>
      </c>
      <c r="L28" s="64"/>
      <c r="M28" s="62" t="s">
        <v>389</v>
      </c>
    </row>
    <row r="29" spans="1:13" ht="20" customHeight="1">
      <c r="A29" s="1"/>
      <c r="B29" s="72">
        <f>IF($C29="","",ROW()-7)</f>
        <v>22</v>
      </c>
      <c r="C29" s="73" t="s">
        <v>390</v>
      </c>
      <c r="D29" s="74" t="s">
        <v>165</v>
      </c>
      <c r="E29" s="73" t="s">
        <v>391</v>
      </c>
      <c r="F29" s="99">
        <v>1</v>
      </c>
      <c r="G29" s="76">
        <v>38.4</v>
      </c>
      <c r="H29" s="67">
        <f>IF($G29="","",IF($F29="",1,$F29)*$G29)</f>
        <v>38.4</v>
      </c>
      <c r="I29" s="77"/>
      <c r="J29" s="76"/>
      <c r="K29" s="67">
        <f>IF($I29="✓",IF($J29&lt;&gt;"",$J29,IF($H29&lt;&gt;"",$H29,0)),0)</f>
        <v>0</v>
      </c>
      <c r="L29" s="75"/>
      <c r="M29" s="73"/>
    </row>
    <row r="30" spans="1:13" ht="20" customHeight="1">
      <c r="A30" s="1"/>
      <c r="B30" s="61">
        <f>IF($C30="","",ROW()-7)</f>
        <v>23</v>
      </c>
      <c r="C30" s="62" t="s">
        <v>392</v>
      </c>
      <c r="D30" s="63" t="s">
        <v>201</v>
      </c>
      <c r="E30" s="62" t="s">
        <v>393</v>
      </c>
      <c r="F30" s="98">
        <v>1</v>
      </c>
      <c r="G30" s="66">
        <v>25</v>
      </c>
      <c r="H30" s="67">
        <f>IF($G30="","",IF($F30="",1,$F30)*$G30)</f>
        <v>25.0</v>
      </c>
      <c r="I30" s="69" t="s">
        <v>233</v>
      </c>
      <c r="J30" s="66">
        <v>25</v>
      </c>
      <c r="K30" s="67">
        <f>IF($I30="✓",IF($J30&lt;&gt;"",$J30,IF($H30&lt;&gt;"",$H30,0)),0)</f>
        <v>25.0</v>
      </c>
      <c r="L30" s="64"/>
      <c r="M30" s="62"/>
    </row>
    <row r="31" spans="1:13" ht="20" customHeight="1">
      <c r="A31" s="1"/>
      <c r="B31" s="72">
        <f>IF($C31="","",ROW()-7)</f>
        <v>24</v>
      </c>
      <c r="C31" s="73" t="s">
        <v>394</v>
      </c>
      <c r="D31" s="74" t="s">
        <v>195</v>
      </c>
      <c r="E31" s="73" t="s">
        <v>142</v>
      </c>
      <c r="F31" s="99">
        <v>1</v>
      </c>
      <c r="G31" s="76">
        <v>4</v>
      </c>
      <c r="H31" s="67">
        <f>IF($G31="","",IF($F31="",1,$F31)*$G31)</f>
        <v>4.0</v>
      </c>
      <c r="I31" s="77"/>
      <c r="J31" s="76"/>
      <c r="K31" s="67">
        <f>IF($I31="✓",IF($J31&lt;&gt;"",$J31,IF($H31&lt;&gt;"",$H31,0)),0)</f>
        <v>0</v>
      </c>
      <c r="L31" s="75"/>
      <c r="M31" s="73"/>
    </row>
    <row r="32" spans="1:13" ht="20" customHeight="1">
      <c r="A32" s="1"/>
      <c r="B32" s="61">
        <f>IF($C32="","",ROW()-7)</f>
        <v/>
      </c>
      <c r="C32" s="62"/>
      <c r="D32" s="63"/>
      <c r="E32" s="62"/>
      <c r="F32" s="98"/>
      <c r="G32" s="66"/>
      <c r="H32" s="67">
        <f>IF($G32="","",IF($F32="",1,$F32)*$G32)</f>
        <v/>
      </c>
      <c r="I32" s="69"/>
      <c r="J32" s="66"/>
      <c r="K32" s="67">
        <f>IF($I32="✓",IF($J32&lt;&gt;"",$J32,IF($H32&lt;&gt;"",$H32,0)),0)</f>
        <v>0</v>
      </c>
      <c r="L32" s="64"/>
      <c r="M32" s="62"/>
    </row>
    <row r="33" spans="1:13" ht="20" customHeight="1">
      <c r="A33" s="1"/>
      <c r="B33" s="72">
        <f>IF($C33="","",ROW()-7)</f>
        <v/>
      </c>
      <c r="C33" s="73"/>
      <c r="D33" s="74"/>
      <c r="E33" s="73"/>
      <c r="F33" s="99"/>
      <c r="G33" s="76"/>
      <c r="H33" s="67">
        <f>IF($G33="","",IF($F33="",1,$F33)*$G33)</f>
        <v/>
      </c>
      <c r="I33" s="77"/>
      <c r="J33" s="76"/>
      <c r="K33" s="67">
        <f>IF($I33="✓",IF($J33&lt;&gt;"",$J33,IF($H33&lt;&gt;"",$H33,0)),0)</f>
        <v>0</v>
      </c>
      <c r="L33" s="75"/>
      <c r="M33" s="73"/>
    </row>
    <row r="34" spans="1:13" ht="20" customHeight="1">
      <c r="A34" s="1"/>
      <c r="B34" s="61">
        <f>IF($C34="","",ROW()-7)</f>
        <v/>
      </c>
      <c r="C34" s="62"/>
      <c r="D34" s="63"/>
      <c r="E34" s="62"/>
      <c r="F34" s="98"/>
      <c r="G34" s="66"/>
      <c r="H34" s="67">
        <f>IF($G34="","",IF($F34="",1,$F34)*$G34)</f>
        <v/>
      </c>
      <c r="I34" s="69"/>
      <c r="J34" s="66"/>
      <c r="K34" s="67">
        <f>IF($I34="✓",IF($J34&lt;&gt;"",$J34,IF($H34&lt;&gt;"",$H34,0)),0)</f>
        <v>0</v>
      </c>
      <c r="L34" s="64"/>
      <c r="M34" s="62"/>
    </row>
    <row r="35" spans="1:13" ht="20" customHeight="1">
      <c r="A35" s="1"/>
      <c r="B35" s="72">
        <f>IF($C35="","",ROW()-7)</f>
        <v/>
      </c>
      <c r="C35" s="73"/>
      <c r="D35" s="74"/>
      <c r="E35" s="73"/>
      <c r="F35" s="99"/>
      <c r="G35" s="76"/>
      <c r="H35" s="67">
        <f>IF($G35="","",IF($F35="",1,$F35)*$G35)</f>
        <v/>
      </c>
      <c r="I35" s="77"/>
      <c r="J35" s="76"/>
      <c r="K35" s="67">
        <f>IF($I35="✓",IF($J35&lt;&gt;"",$J35,IF($H35&lt;&gt;"",$H35,0)),0)</f>
        <v>0</v>
      </c>
      <c r="L35" s="75"/>
      <c r="M35" s="73"/>
    </row>
    <row r="36" spans="1:13" ht="20" customHeight="1">
      <c r="A36" s="1"/>
      <c r="B36" s="61">
        <f>IF($C36="","",ROW()-7)</f>
        <v/>
      </c>
      <c r="C36" s="62"/>
      <c r="D36" s="63"/>
      <c r="E36" s="62"/>
      <c r="F36" s="98"/>
      <c r="G36" s="66"/>
      <c r="H36" s="67">
        <f>IF($G36="","",IF($F36="",1,$F36)*$G36)</f>
        <v/>
      </c>
      <c r="I36" s="69"/>
      <c r="J36" s="66"/>
      <c r="K36" s="67">
        <f>IF($I36="✓",IF($J36&lt;&gt;"",$J36,IF($H36&lt;&gt;"",$H36,0)),0)</f>
        <v>0</v>
      </c>
      <c r="L36" s="64"/>
      <c r="M36" s="62"/>
    </row>
    <row r="37" spans="1:13" ht="20" customHeight="1">
      <c r="A37" s="1"/>
      <c r="B37" s="72">
        <f>IF($C37="","",ROW()-7)</f>
        <v/>
      </c>
      <c r="C37" s="73"/>
      <c r="D37" s="74"/>
      <c r="E37" s="73"/>
      <c r="F37" s="99"/>
      <c r="G37" s="76"/>
      <c r="H37" s="67">
        <f>IF($G37="","",IF($F37="",1,$F37)*$G37)</f>
        <v/>
      </c>
      <c r="I37" s="77"/>
      <c r="J37" s="76"/>
      <c r="K37" s="67">
        <f>IF($I37="✓",IF($J37&lt;&gt;"",$J37,IF($H37&lt;&gt;"",$H37,0)),0)</f>
        <v>0</v>
      </c>
      <c r="L37" s="75"/>
      <c r="M37" s="73"/>
    </row>
    <row r="38" spans="1:13" ht="20" customHeight="1">
      <c r="A38" s="1"/>
      <c r="B38" s="61">
        <f>IF($C38="","",ROW()-7)</f>
        <v/>
      </c>
      <c r="C38" s="62"/>
      <c r="D38" s="63"/>
      <c r="E38" s="62"/>
      <c r="F38" s="98"/>
      <c r="G38" s="66"/>
      <c r="H38" s="67">
        <f>IF($G38="","",IF($F38="",1,$F38)*$G38)</f>
        <v/>
      </c>
      <c r="I38" s="69"/>
      <c r="J38" s="66"/>
      <c r="K38" s="67">
        <f>IF($I38="✓",IF($J38&lt;&gt;"",$J38,IF($H38&lt;&gt;"",$H38,0)),0)</f>
        <v>0</v>
      </c>
      <c r="L38" s="64"/>
      <c r="M38" s="62"/>
    </row>
    <row r="39" spans="1:13" ht="20" customHeight="1">
      <c r="A39" s="1"/>
      <c r="B39" s="72">
        <f>IF($C39="","",ROW()-7)</f>
        <v/>
      </c>
      <c r="C39" s="73"/>
      <c r="D39" s="74"/>
      <c r="E39" s="73"/>
      <c r="F39" s="99"/>
      <c r="G39" s="76"/>
      <c r="H39" s="67">
        <f>IF($G39="","",IF($F39="",1,$F39)*$G39)</f>
        <v/>
      </c>
      <c r="I39" s="77"/>
      <c r="J39" s="76"/>
      <c r="K39" s="67">
        <f>IF($I39="✓",IF($J39&lt;&gt;"",$J39,IF($H39&lt;&gt;"",$H39,0)),0)</f>
        <v>0</v>
      </c>
      <c r="L39" s="75"/>
      <c r="M39" s="73"/>
    </row>
    <row r="40" spans="1:13" ht="20" customHeight="1">
      <c r="A40" s="1"/>
      <c r="B40" s="61">
        <f>IF($C40="","",ROW()-7)</f>
        <v/>
      </c>
      <c r="C40" s="62"/>
      <c r="D40" s="63"/>
      <c r="E40" s="62"/>
      <c r="F40" s="98"/>
      <c r="G40" s="66"/>
      <c r="H40" s="67">
        <f>IF($G40="","",IF($F40="",1,$F40)*$G40)</f>
        <v/>
      </c>
      <c r="I40" s="69"/>
      <c r="J40" s="66"/>
      <c r="K40" s="67">
        <f>IF($I40="✓",IF($J40&lt;&gt;"",$J40,IF($H40&lt;&gt;"",$H40,0)),0)</f>
        <v>0</v>
      </c>
      <c r="L40" s="64"/>
      <c r="M40" s="62"/>
    </row>
    <row r="41" spans="1:13" ht="20" customHeight="1">
      <c r="A41" s="1"/>
      <c r="B41" s="72">
        <f>IF($C41="","",ROW()-7)</f>
        <v/>
      </c>
      <c r="C41" s="73"/>
      <c r="D41" s="74"/>
      <c r="E41" s="73"/>
      <c r="F41" s="99"/>
      <c r="G41" s="76"/>
      <c r="H41" s="67">
        <f>IF($G41="","",IF($F41="",1,$F41)*$G41)</f>
        <v/>
      </c>
      <c r="I41" s="77"/>
      <c r="J41" s="76"/>
      <c r="K41" s="67">
        <f>IF($I41="✓",IF($J41&lt;&gt;"",$J41,IF($H41&lt;&gt;"",$H41,0)),0)</f>
        <v>0</v>
      </c>
      <c r="L41" s="75"/>
      <c r="M41" s="73"/>
    </row>
    <row r="42" spans="1:13" ht="20" customHeight="1">
      <c r="A42" s="1"/>
      <c r="B42" s="61">
        <f>IF($C42="","",ROW()-7)</f>
        <v/>
      </c>
      <c r="C42" s="62"/>
      <c r="D42" s="63"/>
      <c r="E42" s="62"/>
      <c r="F42" s="98"/>
      <c r="G42" s="66"/>
      <c r="H42" s="67">
        <f>IF($G42="","",IF($F42="",1,$F42)*$G42)</f>
        <v/>
      </c>
      <c r="I42" s="69"/>
      <c r="J42" s="66"/>
      <c r="K42" s="67">
        <f>IF($I42="✓",IF($J42&lt;&gt;"",$J42,IF($H42&lt;&gt;"",$H42,0)),0)</f>
        <v>0</v>
      </c>
      <c r="L42" s="64"/>
      <c r="M42" s="62"/>
    </row>
    <row r="43" spans="1:13" ht="20" customHeight="1">
      <c r="A43" s="1"/>
      <c r="B43" s="72">
        <f>IF($C43="","",ROW()-7)</f>
        <v/>
      </c>
      <c r="C43" s="73"/>
      <c r="D43" s="74"/>
      <c r="E43" s="73"/>
      <c r="F43" s="99"/>
      <c r="G43" s="76"/>
      <c r="H43" s="67">
        <f>IF($G43="","",IF($F43="",1,$F43)*$G43)</f>
        <v/>
      </c>
      <c r="I43" s="77"/>
      <c r="J43" s="76"/>
      <c r="K43" s="67">
        <f>IF($I43="✓",IF($J43&lt;&gt;"",$J43,IF($H43&lt;&gt;"",$H43,0)),0)</f>
        <v>0</v>
      </c>
      <c r="L43" s="75"/>
      <c r="M43" s="73"/>
    </row>
    <row r="44" spans="1:13" ht="20" customHeight="1">
      <c r="A44" s="1"/>
      <c r="B44" s="61">
        <f>IF($C44="","",ROW()-7)</f>
        <v/>
      </c>
      <c r="C44" s="62"/>
      <c r="D44" s="63"/>
      <c r="E44" s="62"/>
      <c r="F44" s="98"/>
      <c r="G44" s="66"/>
      <c r="H44" s="67">
        <f>IF($G44="","",IF($F44="",1,$F44)*$G44)</f>
        <v/>
      </c>
      <c r="I44" s="69"/>
      <c r="J44" s="66"/>
      <c r="K44" s="67">
        <f>IF($I44="✓",IF($J44&lt;&gt;"",$J44,IF($H44&lt;&gt;"",$H44,0)),0)</f>
        <v>0</v>
      </c>
      <c r="L44" s="64"/>
      <c r="M44" s="62"/>
    </row>
    <row r="45" spans="1:13" ht="20" customHeight="1">
      <c r="A45" s="1"/>
      <c r="B45" s="72">
        <f>IF($C45="","",ROW()-7)</f>
        <v/>
      </c>
      <c r="C45" s="73"/>
      <c r="D45" s="74"/>
      <c r="E45" s="73"/>
      <c r="F45" s="99"/>
      <c r="G45" s="76"/>
      <c r="H45" s="67">
        <f>IF($G45="","",IF($F45="",1,$F45)*$G45)</f>
        <v/>
      </c>
      <c r="I45" s="77"/>
      <c r="J45" s="76"/>
      <c r="K45" s="67">
        <f>IF($I45="✓",IF($J45&lt;&gt;"",$J45,IF($H45&lt;&gt;"",$H45,0)),0)</f>
        <v>0</v>
      </c>
      <c r="L45" s="75"/>
      <c r="M45" s="73"/>
    </row>
    <row r="46" spans="1:13" ht="20" customHeight="1">
      <c r="A46" s="1"/>
      <c r="B46" s="61">
        <f>IF($C46="","",ROW()-7)</f>
        <v/>
      </c>
      <c r="C46" s="62"/>
      <c r="D46" s="63"/>
      <c r="E46" s="62"/>
      <c r="F46" s="98"/>
      <c r="G46" s="66"/>
      <c r="H46" s="67">
        <f>IF($G46="","",IF($F46="",1,$F46)*$G46)</f>
        <v/>
      </c>
      <c r="I46" s="69"/>
      <c r="J46" s="66"/>
      <c r="K46" s="67">
        <f>IF($I46="✓",IF($J46&lt;&gt;"",$J46,IF($H46&lt;&gt;"",$H46,0)),0)</f>
        <v>0</v>
      </c>
      <c r="L46" s="64"/>
      <c r="M46" s="62"/>
    </row>
    <row r="47" spans="1:13" ht="20" customHeight="1">
      <c r="A47" s="1"/>
      <c r="B47" s="72">
        <f>IF($C47="","",ROW()-7)</f>
        <v/>
      </c>
      <c r="C47" s="73"/>
      <c r="D47" s="74"/>
      <c r="E47" s="73"/>
      <c r="F47" s="99"/>
      <c r="G47" s="76"/>
      <c r="H47" s="67">
        <f>IF($G47="","",IF($F47="",1,$F47)*$G47)</f>
        <v/>
      </c>
      <c r="I47" s="77"/>
      <c r="J47" s="76"/>
      <c r="K47" s="67">
        <f>IF($I47="✓",IF($J47&lt;&gt;"",$J47,IF($H47&lt;&gt;"",$H47,0)),0)</f>
        <v>0</v>
      </c>
      <c r="L47" s="75"/>
      <c r="M47" s="73"/>
    </row>
    <row r="48" spans="1:13" ht="20" customHeight="1">
      <c r="A48" s="1"/>
      <c r="B48" s="61">
        <f>IF($C48="","",ROW()-7)</f>
        <v/>
      </c>
      <c r="C48" s="62"/>
      <c r="D48" s="63"/>
      <c r="E48" s="62"/>
      <c r="F48" s="98"/>
      <c r="G48" s="66"/>
      <c r="H48" s="67">
        <f>IF($G48="","",IF($F48="",1,$F48)*$G48)</f>
        <v/>
      </c>
      <c r="I48" s="69"/>
      <c r="J48" s="66"/>
      <c r="K48" s="67">
        <f>IF($I48="✓",IF($J48&lt;&gt;"",$J48,IF($H48&lt;&gt;"",$H48,0)),0)</f>
        <v>0</v>
      </c>
      <c r="L48" s="64"/>
      <c r="M48" s="62"/>
    </row>
    <row r="49" spans="1:13" ht="20" customHeight="1">
      <c r="A49" s="1"/>
      <c r="B49" s="72">
        <f>IF($C49="","",ROW()-7)</f>
        <v/>
      </c>
      <c r="C49" s="73"/>
      <c r="D49" s="74"/>
      <c r="E49" s="73"/>
      <c r="F49" s="99"/>
      <c r="G49" s="76"/>
      <c r="H49" s="67">
        <f>IF($G49="","",IF($F49="",1,$F49)*$G49)</f>
        <v/>
      </c>
      <c r="I49" s="77"/>
      <c r="J49" s="76"/>
      <c r="K49" s="67">
        <f>IF($I49="✓",IF($J49&lt;&gt;"",$J49,IF($H49&lt;&gt;"",$H49,0)),0)</f>
        <v>0</v>
      </c>
      <c r="L49" s="75"/>
      <c r="M49" s="73"/>
    </row>
    <row r="50" spans="1:13" ht="20" customHeight="1">
      <c r="A50" s="1"/>
      <c r="B50" s="61">
        <f>IF($C50="","",ROW()-7)</f>
        <v/>
      </c>
      <c r="C50" s="62"/>
      <c r="D50" s="63"/>
      <c r="E50" s="62"/>
      <c r="F50" s="98"/>
      <c r="G50" s="66"/>
      <c r="H50" s="67">
        <f>IF($G50="","",IF($F50="",1,$F50)*$G50)</f>
        <v/>
      </c>
      <c r="I50" s="69"/>
      <c r="J50" s="66"/>
      <c r="K50" s="67">
        <f>IF($I50="✓",IF($J50&lt;&gt;"",$J50,IF($H50&lt;&gt;"",$H50,0)),0)</f>
        <v>0</v>
      </c>
      <c r="L50" s="64"/>
      <c r="M50" s="62"/>
    </row>
    <row r="51" spans="1:13" ht="20" customHeight="1">
      <c r="A51" s="1"/>
      <c r="B51" s="72">
        <f>IF($C51="","",ROW()-7)</f>
        <v/>
      </c>
      <c r="C51" s="73"/>
      <c r="D51" s="74"/>
      <c r="E51" s="73"/>
      <c r="F51" s="99"/>
      <c r="G51" s="76"/>
      <c r="H51" s="67">
        <f>IF($G51="","",IF($F51="",1,$F51)*$G51)</f>
        <v/>
      </c>
      <c r="I51" s="77"/>
      <c r="J51" s="76"/>
      <c r="K51" s="67">
        <f>IF($I51="✓",IF($J51&lt;&gt;"",$J51,IF($H51&lt;&gt;"",$H51,0)),0)</f>
        <v>0</v>
      </c>
      <c r="L51" s="75"/>
      <c r="M51" s="73"/>
    </row>
    <row r="52" spans="1:13" ht="20" customHeight="1">
      <c r="A52" s="1"/>
      <c r="B52" s="61">
        <f>IF($C52="","",ROW()-7)</f>
        <v/>
      </c>
      <c r="C52" s="62"/>
      <c r="D52" s="63"/>
      <c r="E52" s="62"/>
      <c r="F52" s="98"/>
      <c r="G52" s="66"/>
      <c r="H52" s="67">
        <f>IF($G52="","",IF($F52="",1,$F52)*$G52)</f>
        <v/>
      </c>
      <c r="I52" s="69"/>
      <c r="J52" s="66"/>
      <c r="K52" s="67">
        <f>IF($I52="✓",IF($J52&lt;&gt;"",$J52,IF($H52&lt;&gt;"",$H52,0)),0)</f>
        <v>0</v>
      </c>
      <c r="L52" s="64"/>
      <c r="M52" s="62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79" t="s">
        <v>395</v>
      </c>
      <c r="C54" s="79"/>
      <c r="D54" s="79"/>
      <c r="E54" s="79"/>
      <c r="F54" s="79"/>
      <c r="G54" s="100"/>
      <c r="H54" s="80">
        <f>SUM($H$8:$H$52)</f>
        <v>350.7</v>
      </c>
      <c r="I54" s="101" t="str">
        <f>COUNTIF($I$8:$I$52,"✓")&amp;" / "&amp;COUNTA($C$8:$C$52)</f>
        <v>13 / 24</v>
      </c>
      <c r="J54" s="80">
        <f>SUM($J$8:$J$52)</f>
        <v>163.39</v>
      </c>
      <c r="K54" s="80">
        <f>SUM($K$8:$K$52)</f>
        <v>163.39</v>
      </c>
      <c r="L54" s="100"/>
      <c r="M54" s="100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318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2" t="s">
        <v>396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248</v>
      </c>
      <c r="C59" s="43"/>
      <c r="D59" s="44" t="s">
        <v>249</v>
      </c>
      <c r="E59" s="44"/>
      <c r="F59" s="45" t="s">
        <v>250</v>
      </c>
      <c r="G59" s="45"/>
      <c r="H59" s="46" t="s">
        <v>397</v>
      </c>
      <c r="I59" s="46"/>
      <c r="J59" s="47" t="s">
        <v>321</v>
      </c>
      <c r="K59" s="47"/>
      <c r="L59" s="48" t="s">
        <v>253</v>
      </c>
      <c r="M59" s="48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49" t="s">
        <v>322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autoFilter ref="B7:M52"/>
  <mergeCells count="18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1:M61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🛍️ Shopping List'!A1" display="▶ 🛍️ Shop"/>
    <hyperlink ref="J59" location="'⚙️ Setup'!A1" display="⚙️ Setup"/>
    <hyperlink ref="L5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7A6D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4" width="18.7109375" customWidth="1"/>
    <col min="5" max="5" width="18.7109375" customWidth="1"/>
    <col min="6" max="6" width="18.7109375" customWidth="1"/>
    <col min="7" max="7" width="22.7109375" customWidth="1"/>
    <col min="8" max="8" width="18.7109375" customWidth="1"/>
    <col min="9" max="9" width="18.7109375" customWidth="1"/>
    <col min="10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0" t="s">
        <v>79</v>
      </c>
      <c r="C2" s="50"/>
      <c r="D2" s="50"/>
      <c r="E2" s="50"/>
      <c r="F2" s="50"/>
      <c r="G2" s="50"/>
      <c r="H2" s="1"/>
      <c r="I2" s="1"/>
      <c r="J2" s="1"/>
    </row>
    <row r="3" spans="1:10" ht="18" customHeight="1">
      <c r="A3" s="1"/>
      <c r="B3" s="51" t="s">
        <v>80</v>
      </c>
      <c r="C3" s="51"/>
      <c r="D3" s="51"/>
      <c r="E3" s="51"/>
      <c r="F3" s="51"/>
      <c r="G3" s="51"/>
      <c r="H3" s="52" t="s">
        <v>81</v>
      </c>
      <c r="I3" s="52"/>
      <c r="J3" s="52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02" t="s">
        <v>83</v>
      </c>
      <c r="C6" s="103" t="s">
        <v>3</v>
      </c>
      <c r="D6" s="104" t="s">
        <v>84</v>
      </c>
      <c r="E6" s="104"/>
      <c r="F6" s="104"/>
      <c r="G6" s="104"/>
      <c r="H6" s="104"/>
      <c r="I6" s="104"/>
      <c r="J6" s="104"/>
    </row>
    <row r="7" spans="1:10" ht="24" customHeight="1">
      <c r="A7" s="1"/>
      <c r="B7" s="102" t="s">
        <v>85</v>
      </c>
      <c r="C7" s="105">
        <v>46381</v>
      </c>
      <c r="D7" s="104" t="s">
        <v>86</v>
      </c>
      <c r="E7" s="104"/>
      <c r="F7" s="104"/>
      <c r="G7" s="104"/>
      <c r="H7" s="104"/>
      <c r="I7" s="104"/>
      <c r="J7" s="104"/>
    </row>
    <row r="8" spans="1:10" ht="24" customHeight="1">
      <c r="A8" s="1"/>
      <c r="B8" s="102" t="s">
        <v>87</v>
      </c>
      <c r="C8" s="106">
        <f>IF($C$7="","",$C$7-TODAY())</f>
        <v>104</v>
      </c>
      <c r="D8" s="104" t="s">
        <v>88</v>
      </c>
      <c r="E8" s="104"/>
      <c r="F8" s="104"/>
      <c r="G8" s="104"/>
      <c r="H8" s="104"/>
      <c r="I8" s="104"/>
      <c r="J8" s="104"/>
    </row>
    <row r="9" spans="1:10" ht="24" customHeight="1">
      <c r="A9" s="1"/>
      <c r="B9" s="102" t="s">
        <v>89</v>
      </c>
      <c r="C9" s="106">
        <f>IF($C$7="","",YEAR($C$7))</f>
        <v>2026</v>
      </c>
      <c r="D9" s="104"/>
      <c r="E9" s="104"/>
      <c r="F9" s="104"/>
      <c r="G9" s="104"/>
      <c r="H9" s="104"/>
      <c r="I9" s="104"/>
      <c r="J9" s="104"/>
    </row>
    <row r="10" spans="1:10" ht="24" customHeight="1">
      <c r="A10" s="1"/>
      <c r="B10" s="102" t="s">
        <v>90</v>
      </c>
      <c r="C10" s="106">
        <f>IF($C$7="","",MAX(0,ROUNDUP(($C$7-TODAY())/7,0)))</f>
        <v>15</v>
      </c>
      <c r="D10" s="104" t="s">
        <v>91</v>
      </c>
      <c r="E10" s="104"/>
      <c r="F10" s="104"/>
      <c r="G10" s="104"/>
      <c r="H10" s="104"/>
      <c r="I10" s="104"/>
      <c r="J10" s="104"/>
    </row>
    <row r="11" spans="1:10" ht="26" customHeight="1">
      <c r="A11" s="1"/>
      <c r="B11" s="102" t="s">
        <v>92</v>
      </c>
      <c r="C11" s="107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07"/>
      <c r="E11" s="107"/>
      <c r="F11" s="107"/>
      <c r="G11" s="107"/>
      <c r="H11" s="107"/>
      <c r="I11" s="107"/>
      <c r="J11" s="107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02" t="s">
        <v>94</v>
      </c>
      <c r="C14" s="103" t="s">
        <v>3</v>
      </c>
      <c r="D14" s="104" t="s">
        <v>95</v>
      </c>
      <c r="E14" s="104"/>
      <c r="F14" s="104"/>
      <c r="G14" s="104"/>
      <c r="H14" s="104"/>
      <c r="I14" s="104"/>
      <c r="J14" s="104"/>
    </row>
    <row r="15" spans="1:10" ht="24" customHeight="1">
      <c r="A15" s="1"/>
      <c r="B15" s="102" t="s">
        <v>96</v>
      </c>
      <c r="C15" s="106" t="str">
        <f>IF($C$14="","",$C$14)</f>
        <v>Christmas</v>
      </c>
      <c r="D15" s="104"/>
      <c r="E15" s="104"/>
      <c r="F15" s="104"/>
      <c r="G15" s="104"/>
      <c r="H15" s="104"/>
      <c r="I15" s="104"/>
      <c r="J15" s="104"/>
    </row>
    <row r="16" spans="1:10" ht="24" customHeight="1">
      <c r="A16" s="1"/>
      <c r="B16" s="102" t="s">
        <v>97</v>
      </c>
      <c r="C16" s="108">
        <f>IF('_Data'!$E$2="","",DATE(YEAR(TODAY())+IF(DATE(YEAR(TODAY()),'_Data'!$E$2,'_Data'!$F$2)&lt;TODAY(),1,0),'_Data'!$E$2,'_Data'!$F$2))</f>
        <v>46381.0</v>
      </c>
      <c r="D16" s="104" t="s">
        <v>98</v>
      </c>
      <c r="E16" s="104"/>
      <c r="F16" s="104"/>
      <c r="G16" s="104"/>
      <c r="H16" s="104"/>
      <c r="I16" s="104"/>
      <c r="J16" s="104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02" t="s">
        <v>101</v>
      </c>
      <c r="C21" s="103" t="s">
        <v>102</v>
      </c>
      <c r="D21" s="104" t="s">
        <v>103</v>
      </c>
      <c r="E21" s="104"/>
      <c r="F21" s="104"/>
      <c r="G21" s="104"/>
      <c r="H21" s="104"/>
      <c r="I21" s="104"/>
      <c r="J21" s="104"/>
    </row>
    <row r="22" spans="1:10" ht="24" customHeight="1">
      <c r="A22" s="1"/>
      <c r="B22" s="102" t="s">
        <v>104</v>
      </c>
      <c r="C22" s="109">
        <v>1500</v>
      </c>
      <c r="D22" s="104" t="s">
        <v>105</v>
      </c>
      <c r="E22" s="104"/>
      <c r="F22" s="104"/>
      <c r="G22" s="104"/>
      <c r="H22" s="104"/>
      <c r="I22" s="104"/>
      <c r="J22" s="104"/>
    </row>
    <row r="23" spans="1:10" ht="24" customHeight="1">
      <c r="A23" s="1"/>
      <c r="B23" s="102" t="s">
        <v>106</v>
      </c>
      <c r="C23" s="110">
        <v>0.85</v>
      </c>
      <c r="D23" s="104" t="s">
        <v>107</v>
      </c>
      <c r="E23" s="104"/>
      <c r="F23" s="104"/>
      <c r="G23" s="104"/>
      <c r="H23" s="104"/>
      <c r="I23" s="104"/>
      <c r="J23" s="104"/>
    </row>
    <row r="24" spans="1:10" ht="24" customHeight="1">
      <c r="A24" s="1"/>
      <c r="B24" s="102" t="s">
        <v>108</v>
      </c>
      <c r="C24" s="111">
        <v>7</v>
      </c>
      <c r="D24" s="104" t="s">
        <v>109</v>
      </c>
      <c r="E24" s="104"/>
      <c r="F24" s="104"/>
      <c r="G24" s="104"/>
      <c r="H24" s="104"/>
      <c r="I24" s="104"/>
      <c r="J24" s="104"/>
    </row>
    <row r="25" spans="1:10" ht="24" customHeight="1">
      <c r="A25" s="1"/>
      <c r="B25" s="102" t="s">
        <v>110</v>
      </c>
      <c r="C25" s="103" t="s">
        <v>111</v>
      </c>
      <c r="D25" s="104" t="s">
        <v>112</v>
      </c>
      <c r="E25" s="104"/>
      <c r="F25" s="104"/>
      <c r="G25" s="104"/>
      <c r="H25" s="104"/>
      <c r="I25" s="104"/>
      <c r="J25" s="104"/>
    </row>
    <row r="26" spans="1:10" ht="24" customHeight="1">
      <c r="A26" s="1"/>
      <c r="B26" s="102" t="s">
        <v>113</v>
      </c>
      <c r="C26" s="103" t="s">
        <v>111</v>
      </c>
      <c r="D26" s="104" t="s">
        <v>114</v>
      </c>
      <c r="E26" s="104"/>
      <c r="F26" s="104"/>
      <c r="G26" s="104"/>
      <c r="H26" s="104"/>
      <c r="I26" s="104"/>
      <c r="J26" s="104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12" t="s">
        <v>125</v>
      </c>
      <c r="C30" s="112" t="s">
        <v>125</v>
      </c>
      <c r="D30" s="112" t="s">
        <v>126</v>
      </c>
      <c r="E30" s="112" t="s">
        <v>127</v>
      </c>
      <c r="F30" s="112" t="s">
        <v>26</v>
      </c>
      <c r="G30" s="112" t="s">
        <v>128</v>
      </c>
      <c r="H30" s="112" t="s">
        <v>26</v>
      </c>
      <c r="I30" s="112" t="s">
        <v>129</v>
      </c>
      <c r="J30" s="112" t="s">
        <v>130</v>
      </c>
    </row>
    <row r="31" spans="1:10" ht="18" customHeight="1">
      <c r="A31" s="1"/>
      <c r="B31" s="113" t="s">
        <v>131</v>
      </c>
      <c r="C31" s="113" t="s">
        <v>131</v>
      </c>
      <c r="D31" s="113" t="s">
        <v>132</v>
      </c>
      <c r="E31" s="113" t="s">
        <v>133</v>
      </c>
      <c r="F31" s="113" t="s">
        <v>134</v>
      </c>
      <c r="G31" s="113" t="s">
        <v>135</v>
      </c>
      <c r="H31" s="113" t="s">
        <v>136</v>
      </c>
      <c r="I31" s="113" t="s">
        <v>137</v>
      </c>
      <c r="J31" s="113" t="s">
        <v>138</v>
      </c>
    </row>
    <row r="32" spans="1:10" ht="18" customHeight="1">
      <c r="A32" s="1"/>
      <c r="B32" s="112" t="s">
        <v>139</v>
      </c>
      <c r="C32" s="112" t="s">
        <v>140</v>
      </c>
      <c r="D32" s="112" t="s">
        <v>141</v>
      </c>
      <c r="E32" s="112" t="s">
        <v>142</v>
      </c>
      <c r="F32" s="112" t="s">
        <v>136</v>
      </c>
      <c r="G32" s="112" t="s">
        <v>143</v>
      </c>
      <c r="H32" s="112" t="s">
        <v>144</v>
      </c>
      <c r="I32" s="112" t="s">
        <v>125</v>
      </c>
      <c r="J32" s="112" t="s">
        <v>145</v>
      </c>
    </row>
    <row r="33" spans="1:10" ht="18" customHeight="1">
      <c r="A33" s="1"/>
      <c r="B33" s="113" t="s">
        <v>146</v>
      </c>
      <c r="C33" s="113" t="s">
        <v>147</v>
      </c>
      <c r="D33" s="113" t="s">
        <v>148</v>
      </c>
      <c r="E33" s="113" t="s">
        <v>149</v>
      </c>
      <c r="F33" s="113" t="s">
        <v>150</v>
      </c>
      <c r="G33" s="113" t="s">
        <v>151</v>
      </c>
      <c r="H33" s="113" t="s">
        <v>150</v>
      </c>
      <c r="I33" s="113" t="s">
        <v>131</v>
      </c>
      <c r="J33" s="113" t="s">
        <v>132</v>
      </c>
    </row>
    <row r="34" spans="1:10" ht="18" customHeight="1">
      <c r="A34" s="1"/>
      <c r="B34" s="112" t="s">
        <v>152</v>
      </c>
      <c r="C34" s="112" t="s">
        <v>153</v>
      </c>
      <c r="D34" s="112" t="s">
        <v>154</v>
      </c>
      <c r="E34" s="112" t="s">
        <v>155</v>
      </c>
      <c r="F34" s="112" t="s">
        <v>156</v>
      </c>
      <c r="G34" s="112" t="s">
        <v>157</v>
      </c>
      <c r="H34" s="112" t="s">
        <v>158</v>
      </c>
      <c r="I34" s="112"/>
      <c r="J34" s="112" t="s">
        <v>159</v>
      </c>
    </row>
    <row r="35" spans="1:10" ht="18" customHeight="1">
      <c r="A35" s="1"/>
      <c r="B35" s="113" t="s">
        <v>160</v>
      </c>
      <c r="C35" s="113" t="s">
        <v>161</v>
      </c>
      <c r="D35" s="113" t="s">
        <v>162</v>
      </c>
      <c r="E35" s="113" t="s">
        <v>163</v>
      </c>
      <c r="F35" s="113" t="s">
        <v>158</v>
      </c>
      <c r="G35" s="113" t="s">
        <v>164</v>
      </c>
      <c r="H35" s="113" t="s">
        <v>165</v>
      </c>
      <c r="I35" s="113"/>
      <c r="J35" s="113" t="s">
        <v>166</v>
      </c>
    </row>
    <row r="36" spans="1:10" ht="18" customHeight="1">
      <c r="A36" s="1"/>
      <c r="B36" s="112" t="s">
        <v>167</v>
      </c>
      <c r="C36" s="112" t="s">
        <v>168</v>
      </c>
      <c r="D36" s="112" t="s">
        <v>169</v>
      </c>
      <c r="E36" s="112" t="s">
        <v>170</v>
      </c>
      <c r="F36" s="112" t="s">
        <v>144</v>
      </c>
      <c r="G36" s="112" t="s">
        <v>171</v>
      </c>
      <c r="H36" s="112" t="s">
        <v>172</v>
      </c>
      <c r="I36" s="112"/>
      <c r="J36" s="112" t="s">
        <v>173</v>
      </c>
    </row>
    <row r="37" spans="1:10" ht="18" customHeight="1">
      <c r="A37" s="1"/>
      <c r="B37" s="113" t="s">
        <v>174</v>
      </c>
      <c r="C37" s="113" t="s">
        <v>175</v>
      </c>
      <c r="D37" s="113" t="s">
        <v>176</v>
      </c>
      <c r="E37" s="113" t="s">
        <v>177</v>
      </c>
      <c r="F37" s="113" t="s">
        <v>178</v>
      </c>
      <c r="G37" s="113" t="s">
        <v>179</v>
      </c>
      <c r="H37" s="113" t="s">
        <v>180</v>
      </c>
      <c r="I37" s="113"/>
      <c r="J37" s="113" t="s">
        <v>181</v>
      </c>
    </row>
    <row r="38" spans="1:10" ht="18" customHeight="1">
      <c r="A38" s="1"/>
      <c r="B38" s="112" t="s">
        <v>182</v>
      </c>
      <c r="C38" s="112" t="s">
        <v>183</v>
      </c>
      <c r="D38" s="112" t="s">
        <v>184</v>
      </c>
      <c r="E38" s="112" t="s">
        <v>185</v>
      </c>
      <c r="F38" s="112" t="s">
        <v>186</v>
      </c>
      <c r="G38" s="112" t="s">
        <v>187</v>
      </c>
      <c r="H38" s="112" t="s">
        <v>188</v>
      </c>
      <c r="I38" s="112"/>
      <c r="J38" s="112" t="s">
        <v>189</v>
      </c>
    </row>
    <row r="39" spans="1:10" ht="18" customHeight="1">
      <c r="A39" s="1"/>
      <c r="B39" s="113" t="s">
        <v>190</v>
      </c>
      <c r="C39" s="113" t="s">
        <v>191</v>
      </c>
      <c r="D39" s="113" t="s">
        <v>192</v>
      </c>
      <c r="E39" s="113" t="s">
        <v>193</v>
      </c>
      <c r="F39" s="113" t="s">
        <v>165</v>
      </c>
      <c r="G39" s="113" t="s">
        <v>194</v>
      </c>
      <c r="H39" s="113" t="s">
        <v>195</v>
      </c>
      <c r="I39" s="113"/>
      <c r="J39" s="113" t="s">
        <v>196</v>
      </c>
    </row>
    <row r="40" spans="1:10" ht="18" customHeight="1">
      <c r="A40" s="1"/>
      <c r="B40" s="112" t="s">
        <v>197</v>
      </c>
      <c r="C40" s="112" t="s">
        <v>198</v>
      </c>
      <c r="D40" s="112" t="s">
        <v>199</v>
      </c>
      <c r="E40" s="112" t="s">
        <v>200</v>
      </c>
      <c r="F40" s="112" t="s">
        <v>201</v>
      </c>
      <c r="G40" s="112" t="s">
        <v>202</v>
      </c>
      <c r="H40" s="112"/>
      <c r="I40" s="112"/>
      <c r="J40" s="112" t="s">
        <v>195</v>
      </c>
    </row>
    <row r="41" spans="1:10" ht="18" customHeight="1">
      <c r="A41" s="1"/>
      <c r="B41" s="113" t="s">
        <v>203</v>
      </c>
      <c r="C41" s="113" t="s">
        <v>204</v>
      </c>
      <c r="D41" s="113" t="s">
        <v>205</v>
      </c>
      <c r="E41" s="113" t="s">
        <v>206</v>
      </c>
      <c r="F41" s="113" t="s">
        <v>195</v>
      </c>
      <c r="G41" s="113" t="s">
        <v>207</v>
      </c>
      <c r="H41" s="113"/>
      <c r="I41" s="113"/>
      <c r="J41" s="113"/>
    </row>
    <row r="42" spans="1:10" ht="18" customHeight="1">
      <c r="A42" s="1"/>
      <c r="B42" s="112" t="s">
        <v>208</v>
      </c>
      <c r="C42" s="112" t="s">
        <v>209</v>
      </c>
      <c r="D42" s="112" t="s">
        <v>210</v>
      </c>
      <c r="E42" s="112" t="s">
        <v>211</v>
      </c>
      <c r="F42" s="112"/>
      <c r="G42" s="112" t="s">
        <v>212</v>
      </c>
      <c r="H42" s="112"/>
      <c r="I42" s="112"/>
      <c r="J42" s="112"/>
    </row>
    <row r="43" spans="1:10" ht="18" customHeight="1">
      <c r="A43" s="1"/>
      <c r="B43" s="113" t="s">
        <v>5</v>
      </c>
      <c r="C43" s="113" t="s">
        <v>213</v>
      </c>
      <c r="D43" s="113" t="s">
        <v>214</v>
      </c>
      <c r="E43" s="113" t="s">
        <v>215</v>
      </c>
      <c r="F43" s="113"/>
      <c r="G43" s="113"/>
      <c r="H43" s="113"/>
      <c r="I43" s="113"/>
      <c r="J43" s="113"/>
    </row>
    <row r="44" spans="1:10" ht="18" customHeight="1">
      <c r="A44" s="1"/>
      <c r="B44" s="112"/>
      <c r="C44" s="112" t="s">
        <v>216</v>
      </c>
      <c r="D44" s="112" t="s">
        <v>217</v>
      </c>
      <c r="E44" s="112" t="s">
        <v>218</v>
      </c>
      <c r="F44" s="112"/>
      <c r="G44" s="112"/>
      <c r="H44" s="112"/>
      <c r="I44" s="112"/>
      <c r="J44" s="112"/>
    </row>
    <row r="45" spans="1:10" ht="18" customHeight="1">
      <c r="A45" s="1"/>
      <c r="B45" s="113"/>
      <c r="C45" s="113" t="s">
        <v>219</v>
      </c>
      <c r="D45" s="113" t="s">
        <v>220</v>
      </c>
      <c r="E45" s="113" t="s">
        <v>195</v>
      </c>
      <c r="F45" s="113"/>
      <c r="G45" s="113"/>
      <c r="H45" s="113"/>
      <c r="I45" s="113"/>
      <c r="J45" s="113"/>
    </row>
    <row r="46" spans="1:10" ht="18" customHeight="1">
      <c r="A46" s="1"/>
      <c r="B46" s="112"/>
      <c r="C46" s="112" t="s">
        <v>221</v>
      </c>
      <c r="D46" s="112" t="s">
        <v>195</v>
      </c>
      <c r="E46" s="112"/>
      <c r="F46" s="112"/>
      <c r="G46" s="112"/>
      <c r="H46" s="112"/>
      <c r="I46" s="112"/>
      <c r="J46" s="112"/>
    </row>
    <row r="47" spans="1:10" ht="18" customHeight="1">
      <c r="A47" s="1"/>
      <c r="B47" s="113"/>
      <c r="C47" s="113" t="s">
        <v>222</v>
      </c>
      <c r="D47" s="113"/>
      <c r="E47" s="113"/>
      <c r="F47" s="113"/>
      <c r="G47" s="113"/>
      <c r="H47" s="113"/>
      <c r="I47" s="113"/>
      <c r="J47" s="113"/>
    </row>
    <row r="48" spans="1:10" ht="18" customHeight="1">
      <c r="A48" s="1"/>
      <c r="B48" s="112"/>
      <c r="C48" s="112" t="s">
        <v>5</v>
      </c>
      <c r="D48" s="112"/>
      <c r="E48" s="112"/>
      <c r="F48" s="112"/>
      <c r="G48" s="112"/>
      <c r="H48" s="112"/>
      <c r="I48" s="112"/>
      <c r="J48" s="112"/>
    </row>
    <row r="49" spans="1:10" ht="18" customHeight="1">
      <c r="A49" s="1"/>
      <c r="B49" s="113"/>
      <c r="C49" s="113" t="s">
        <v>195</v>
      </c>
      <c r="D49" s="113"/>
      <c r="E49" s="113"/>
      <c r="F49" s="113"/>
      <c r="G49" s="113"/>
      <c r="H49" s="113"/>
      <c r="I49" s="113"/>
      <c r="J49" s="113"/>
    </row>
    <row r="50" spans="1:10" ht="26" customHeight="1">
      <c r="A50" s="1"/>
      <c r="B50" s="82" t="s">
        <v>223</v>
      </c>
      <c r="C50" s="82"/>
      <c r="D50" s="82"/>
      <c r="E50" s="82"/>
      <c r="F50" s="82"/>
      <c r="G50" s="82"/>
      <c r="H50" s="82"/>
      <c r="I50" s="82"/>
      <c r="J50" s="82"/>
    </row>
    <row r="51" spans="1:10" ht="26" customHeight="1">
      <c r="A51" s="1"/>
      <c r="B51" s="82"/>
      <c r="C51" s="82"/>
      <c r="D51" s="82"/>
      <c r="E51" s="82"/>
      <c r="F51" s="82"/>
      <c r="G51" s="82"/>
      <c r="H51" s="82"/>
      <c r="I51" s="82"/>
      <c r="J51" s="82"/>
    </row>
    <row r="52" spans="1:10" ht="24" customHeight="1">
      <c r="A52" s="1"/>
      <c r="B52" s="17" t="s">
        <v>224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14" t="s">
        <v>225</v>
      </c>
      <c r="C53" s="114" t="s">
        <v>226</v>
      </c>
      <c r="D53" s="114" t="s">
        <v>227</v>
      </c>
      <c r="E53" s="114" t="s">
        <v>228</v>
      </c>
      <c r="F53" s="82" t="s">
        <v>229</v>
      </c>
      <c r="G53" s="82"/>
      <c r="H53" s="82"/>
      <c r="I53" s="82"/>
      <c r="J53" s="82"/>
    </row>
    <row r="54" spans="1:10" ht="18" customHeight="1">
      <c r="A54" s="1"/>
      <c r="B54" s="115" t="s">
        <v>230</v>
      </c>
      <c r="C54" s="115" t="s">
        <v>231</v>
      </c>
      <c r="D54" s="115" t="s">
        <v>232</v>
      </c>
      <c r="E54" s="115" t="s">
        <v>233</v>
      </c>
      <c r="F54" s="1"/>
      <c r="G54" s="1"/>
      <c r="H54" s="1"/>
      <c r="I54" s="1"/>
      <c r="J54" s="1"/>
    </row>
    <row r="55" spans="1:10" ht="18" customHeight="1">
      <c r="A55" s="1"/>
      <c r="B55" s="115" t="s">
        <v>234</v>
      </c>
      <c r="C55" s="115" t="s">
        <v>235</v>
      </c>
      <c r="D55" s="115" t="s">
        <v>236</v>
      </c>
      <c r="E55" s="115"/>
      <c r="F55" s="1"/>
      <c r="G55" s="1"/>
      <c r="H55" s="1"/>
      <c r="I55" s="1"/>
      <c r="J55" s="1"/>
    </row>
    <row r="56" spans="1:10" ht="18" customHeight="1">
      <c r="A56" s="1"/>
      <c r="B56" s="115" t="s">
        <v>237</v>
      </c>
      <c r="C56" s="115" t="s">
        <v>238</v>
      </c>
      <c r="D56" s="115" t="s">
        <v>239</v>
      </c>
      <c r="E56" s="115"/>
      <c r="F56" s="1"/>
      <c r="G56" s="1"/>
      <c r="H56" s="1"/>
      <c r="I56" s="1"/>
      <c r="J56" s="1"/>
    </row>
    <row r="57" spans="1:10" ht="18" customHeight="1">
      <c r="A57" s="1"/>
      <c r="B57" s="115" t="s">
        <v>240</v>
      </c>
      <c r="C57" s="115" t="s">
        <v>241</v>
      </c>
      <c r="D57" s="115"/>
      <c r="E57" s="115"/>
      <c r="F57" s="1"/>
      <c r="G57" s="1"/>
      <c r="H57" s="1"/>
      <c r="I57" s="1"/>
      <c r="J57" s="1"/>
    </row>
    <row r="58" spans="1:10" ht="18" customHeight="1">
      <c r="A58" s="1"/>
      <c r="B58" s="115" t="s">
        <v>242</v>
      </c>
      <c r="C58" s="115" t="s">
        <v>243</v>
      </c>
      <c r="D58" s="115"/>
      <c r="E58" s="115"/>
      <c r="F58" s="1"/>
      <c r="G58" s="1"/>
      <c r="H58" s="1"/>
      <c r="I58" s="1"/>
      <c r="J58" s="1"/>
    </row>
    <row r="59" spans="1:10" ht="18" customHeight="1">
      <c r="A59" s="1"/>
      <c r="B59" s="115" t="s">
        <v>244</v>
      </c>
      <c r="C59" s="115" t="s">
        <v>245</v>
      </c>
      <c r="D59" s="115"/>
      <c r="E59" s="115"/>
      <c r="F59" s="1"/>
      <c r="G59" s="1"/>
      <c r="H59" s="1"/>
      <c r="I59" s="1"/>
      <c r="J59" s="1"/>
    </row>
    <row r="60" spans="1:10" ht="20" customHeight="1">
      <c r="A60" s="1"/>
      <c r="B60" s="82" t="s">
        <v>246</v>
      </c>
      <c r="C60" s="82"/>
      <c r="D60" s="82"/>
      <c r="E60" s="82"/>
      <c r="F60" s="82"/>
      <c r="G60" s="82"/>
      <c r="H60" s="82"/>
      <c r="I60" s="82"/>
      <c r="J60" s="82"/>
    </row>
    <row r="61" spans="1:10" ht="20" customHeight="1">
      <c r="A61" s="1"/>
      <c r="B61" s="82"/>
      <c r="C61" s="82"/>
      <c r="D61" s="82"/>
      <c r="E61" s="82"/>
      <c r="F61" s="82"/>
      <c r="G61" s="82"/>
      <c r="H61" s="82"/>
      <c r="I61" s="82"/>
      <c r="J61" s="82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247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248</v>
      </c>
      <c r="C64" s="44" t="s">
        <v>249</v>
      </c>
      <c r="D64" s="45" t="s">
        <v>250</v>
      </c>
      <c r="E64" s="46" t="s">
        <v>251</v>
      </c>
      <c r="F64" s="47" t="s">
        <v>252</v>
      </c>
      <c r="G64" s="48" t="s">
        <v>253</v>
      </c>
      <c r="H64" s="1"/>
      <c r="I64" s="1"/>
      <c r="J64" s="1"/>
    </row>
    <row r="65" spans="1:10" ht="10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49" t="s">
        <v>254</v>
      </c>
      <c r="C66" s="49"/>
      <c r="D66" s="49"/>
      <c r="E66" s="49"/>
      <c r="F66" s="49"/>
      <c r="G66" s="49"/>
      <c r="H66" s="49"/>
      <c r="I66" s="49"/>
      <c r="J66" s="49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6:J66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🛍️ Shopping List'!A1" display="🛍️ Shop"/>
    <hyperlink ref="F64" location="'⚙️ Setup'!A1" display="▶ ⚙️ Setup"/>
    <hyperlink ref="G6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B1E28"/>
    <pageSetUpPr fitToPage="1"/>
  </sheetPr>
  <dimension ref="A1:L108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2:12" ht="20" customHeight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2" ht="20" customHeight="1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2:12" ht="20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2:12" ht="20" customHeight="1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</row>
    <row r="7" spans="2:12" ht="20" customHeight="1"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</row>
    <row r="8" spans="2:12" ht="20" customHeight="1"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</row>
    <row r="9" spans="2:12" ht="20" customHeight="1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</row>
    <row r="10" spans="2:12" ht="20" customHeight="1">
      <c r="B10" s="116"/>
      <c r="C10" s="117" t="s">
        <v>427</v>
      </c>
      <c r="D10" s="117"/>
      <c r="E10" s="117"/>
      <c r="F10" s="117"/>
      <c r="G10" s="117"/>
      <c r="H10" s="117"/>
      <c r="I10" s="116"/>
      <c r="J10" s="116"/>
      <c r="K10" s="116"/>
      <c r="L10" s="116"/>
    </row>
    <row r="11" spans="2:12" ht="20" customHeight="1">
      <c r="B11" s="116"/>
      <c r="C11" s="118" t="s">
        <v>428</v>
      </c>
      <c r="D11" s="118"/>
      <c r="E11" s="118"/>
      <c r="F11" s="118"/>
      <c r="G11" s="118"/>
      <c r="H11" s="118"/>
      <c r="I11" s="116"/>
      <c r="J11" s="116"/>
      <c r="K11" s="116"/>
      <c r="L11" s="116"/>
    </row>
    <row r="12" spans="2:12" ht="20" customHeight="1"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</row>
    <row r="13" spans="2:12" ht="20" customHeight="1"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</row>
    <row r="14" spans="2:12" ht="20" customHeight="1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</row>
    <row r="15" spans="2:12" ht="20" customHeight="1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</row>
    <row r="16" spans="2:12" ht="20" customHeight="1"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</row>
    <row r="17" spans="2:12" ht="20" customHeight="1"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</row>
    <row r="18" spans="2:12" ht="20" customHeight="1"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</row>
    <row r="19" spans="2:12" ht="20" customHeight="1"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</row>
    <row r="21" spans="2:12" ht="6" customHeight="1"/>
    <row r="22" spans="2:12" ht="24" customHeight="1">
      <c r="B22" s="5" t="s">
        <v>429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6" customHeight="1"/>
    <row r="24" spans="2:12" ht="20" customHeight="1">
      <c r="B24" s="119" t="s">
        <v>430</v>
      </c>
      <c r="C24" s="120" t="s">
        <v>431</v>
      </c>
      <c r="D24" s="120"/>
      <c r="E24" s="120"/>
      <c r="F24" s="120"/>
      <c r="G24" s="120"/>
      <c r="H24" s="120"/>
      <c r="I24" s="120"/>
      <c r="J24" s="120"/>
      <c r="K24" s="120"/>
      <c r="L24" s="120"/>
    </row>
    <row r="25" spans="2:12" ht="37.2" customHeight="1">
      <c r="B25" s="119"/>
      <c r="C25" s="121" t="s">
        <v>432</v>
      </c>
      <c r="D25" s="121"/>
      <c r="E25" s="121"/>
      <c r="F25" s="121"/>
      <c r="G25" s="121"/>
      <c r="H25" s="121"/>
      <c r="I25" s="121"/>
      <c r="J25" s="121"/>
      <c r="K25" s="121"/>
      <c r="L25" s="121"/>
    </row>
    <row r="26" spans="2:12" ht="20" customHeight="1">
      <c r="B26" s="119" t="s">
        <v>433</v>
      </c>
      <c r="C26" s="120" t="s">
        <v>434</v>
      </c>
      <c r="D26" s="120"/>
      <c r="E26" s="120"/>
      <c r="F26" s="120"/>
      <c r="G26" s="120"/>
      <c r="H26" s="120"/>
      <c r="I26" s="120"/>
      <c r="J26" s="120"/>
      <c r="K26" s="120"/>
      <c r="L26" s="120"/>
    </row>
    <row r="27" spans="2:12" ht="37.2" customHeight="1">
      <c r="B27" s="119"/>
      <c r="C27" s="121" t="s">
        <v>435</v>
      </c>
      <c r="D27" s="121"/>
      <c r="E27" s="121"/>
      <c r="F27" s="121"/>
      <c r="G27" s="121"/>
      <c r="H27" s="121"/>
      <c r="I27" s="121"/>
      <c r="J27" s="121"/>
      <c r="K27" s="121"/>
      <c r="L27" s="121"/>
    </row>
    <row r="28" spans="2:12" ht="20" customHeight="1">
      <c r="B28" s="119" t="s">
        <v>436</v>
      </c>
      <c r="C28" s="120" t="s">
        <v>437</v>
      </c>
      <c r="D28" s="120"/>
      <c r="E28" s="120"/>
      <c r="F28" s="120"/>
      <c r="G28" s="120"/>
      <c r="H28" s="120"/>
      <c r="I28" s="120"/>
      <c r="J28" s="120"/>
      <c r="K28" s="120"/>
      <c r="L28" s="120"/>
    </row>
    <row r="29" spans="2:12" ht="37.2" customHeight="1">
      <c r="B29" s="119"/>
      <c r="C29" s="121" t="s">
        <v>438</v>
      </c>
      <c r="D29" s="121"/>
      <c r="E29" s="121"/>
      <c r="F29" s="121"/>
      <c r="G29" s="121"/>
      <c r="H29" s="121"/>
      <c r="I29" s="121"/>
      <c r="J29" s="121"/>
      <c r="K29" s="121"/>
      <c r="L29" s="121"/>
    </row>
    <row r="30" spans="2:12" ht="20" customHeight="1">
      <c r="B30" s="119" t="s">
        <v>439</v>
      </c>
      <c r="C30" s="120" t="s">
        <v>440</v>
      </c>
      <c r="D30" s="120"/>
      <c r="E30" s="120"/>
      <c r="F30" s="120"/>
      <c r="G30" s="120"/>
      <c r="H30" s="120"/>
      <c r="I30" s="120"/>
      <c r="J30" s="120"/>
      <c r="K30" s="120"/>
      <c r="L30" s="120"/>
    </row>
    <row r="31" spans="2:12" ht="37.2" customHeight="1">
      <c r="B31" s="119"/>
      <c r="C31" s="121" t="s">
        <v>441</v>
      </c>
      <c r="D31" s="121"/>
      <c r="E31" s="121"/>
      <c r="F31" s="121"/>
      <c r="G31" s="121"/>
      <c r="H31" s="121"/>
      <c r="I31" s="121"/>
      <c r="J31" s="121"/>
      <c r="K31" s="121"/>
      <c r="L31" s="121"/>
    </row>
    <row r="32" spans="2:12" ht="20" customHeight="1">
      <c r="B32" s="119" t="s">
        <v>442</v>
      </c>
      <c r="C32" s="120" t="s">
        <v>443</v>
      </c>
      <c r="D32" s="120"/>
      <c r="E32" s="120"/>
      <c r="F32" s="120"/>
      <c r="G32" s="120"/>
      <c r="H32" s="120"/>
      <c r="I32" s="120"/>
      <c r="J32" s="120"/>
      <c r="K32" s="120"/>
      <c r="L32" s="120"/>
    </row>
    <row r="33" spans="2:12" ht="37.2" customHeight="1">
      <c r="B33" s="119"/>
      <c r="C33" s="121" t="s">
        <v>444</v>
      </c>
      <c r="D33" s="121"/>
      <c r="E33" s="121"/>
      <c r="F33" s="121"/>
      <c r="G33" s="121"/>
      <c r="H33" s="121"/>
      <c r="I33" s="121"/>
      <c r="J33" s="121"/>
      <c r="K33" s="121"/>
      <c r="L33" s="121"/>
    </row>
    <row r="34" spans="2:12" ht="20" customHeight="1">
      <c r="B34" s="119" t="s">
        <v>445</v>
      </c>
      <c r="C34" s="120" t="s">
        <v>446</v>
      </c>
      <c r="D34" s="120"/>
      <c r="E34" s="120"/>
      <c r="F34" s="120"/>
      <c r="G34" s="120"/>
      <c r="H34" s="120"/>
      <c r="I34" s="120"/>
      <c r="J34" s="120"/>
      <c r="K34" s="120"/>
      <c r="L34" s="120"/>
    </row>
    <row r="35" spans="2:12" ht="22.6" customHeight="1">
      <c r="B35" s="119"/>
      <c r="C35" s="121" t="s">
        <v>447</v>
      </c>
      <c r="D35" s="121"/>
      <c r="E35" s="121"/>
      <c r="F35" s="121"/>
      <c r="G35" s="121"/>
      <c r="H35" s="121"/>
      <c r="I35" s="121"/>
      <c r="J35" s="121"/>
      <c r="K35" s="121"/>
      <c r="L35" s="121"/>
    </row>
    <row r="36" spans="2:12" ht="8" customHeight="1"/>
    <row r="37" spans="2:12" ht="24" customHeight="1">
      <c r="B37" s="17" t="s">
        <v>448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2:12" ht="6" customHeight="1"/>
    <row r="39" spans="2:12" ht="24" customHeight="1">
      <c r="C39" s="33" t="s">
        <v>449</v>
      </c>
      <c r="D39" s="33"/>
      <c r="E39" s="33"/>
      <c r="F39" s="33" t="s">
        <v>450</v>
      </c>
      <c r="G39" s="33"/>
      <c r="H39" s="33"/>
      <c r="I39" s="33" t="s">
        <v>451</v>
      </c>
      <c r="J39" s="33"/>
      <c r="K39" s="33" t="s">
        <v>452</v>
      </c>
      <c r="L39" s="33"/>
    </row>
    <row r="40" spans="2:12" ht="51.8" customHeight="1">
      <c r="C40" s="122" t="s">
        <v>453</v>
      </c>
      <c r="D40" s="122"/>
      <c r="E40" s="122"/>
      <c r="F40" s="122" t="s">
        <v>454</v>
      </c>
      <c r="G40" s="122"/>
      <c r="H40" s="122"/>
      <c r="I40" s="122" t="s">
        <v>455</v>
      </c>
      <c r="J40" s="122"/>
      <c r="K40" s="122" t="s">
        <v>456</v>
      </c>
      <c r="L40" s="122"/>
    </row>
    <row r="41" spans="2:12" ht="37.2" customHeight="1">
      <c r="C41" s="123" t="s">
        <v>457</v>
      </c>
      <c r="D41" s="123"/>
      <c r="E41" s="123"/>
      <c r="F41" s="123" t="s">
        <v>458</v>
      </c>
      <c r="G41" s="123"/>
      <c r="H41" s="123"/>
      <c r="I41" s="123" t="s">
        <v>459</v>
      </c>
      <c r="J41" s="123"/>
      <c r="K41" s="123" t="s">
        <v>460</v>
      </c>
      <c r="L41" s="123"/>
    </row>
    <row r="42" spans="2:12" ht="37.2" customHeight="1">
      <c r="C42" s="122" t="s">
        <v>250</v>
      </c>
      <c r="D42" s="122"/>
      <c r="E42" s="122"/>
      <c r="F42" s="122" t="s">
        <v>461</v>
      </c>
      <c r="G42" s="122"/>
      <c r="H42" s="122"/>
      <c r="I42" s="122" t="s">
        <v>462</v>
      </c>
      <c r="J42" s="122"/>
      <c r="K42" s="122" t="s">
        <v>463</v>
      </c>
      <c r="L42" s="122"/>
    </row>
    <row r="43" spans="2:12" ht="37.2" customHeight="1">
      <c r="C43" s="123" t="s">
        <v>321</v>
      </c>
      <c r="D43" s="123"/>
      <c r="E43" s="123"/>
      <c r="F43" s="123" t="s">
        <v>464</v>
      </c>
      <c r="G43" s="123"/>
      <c r="H43" s="123"/>
      <c r="I43" s="123" t="s">
        <v>465</v>
      </c>
      <c r="J43" s="123"/>
      <c r="K43" s="123" t="s">
        <v>466</v>
      </c>
      <c r="L43" s="123"/>
    </row>
    <row r="44" spans="2:12" ht="37.2" customHeight="1">
      <c r="C44" s="122" t="s">
        <v>467</v>
      </c>
      <c r="D44" s="122"/>
      <c r="E44" s="122"/>
      <c r="F44" s="122" t="s">
        <v>468</v>
      </c>
      <c r="G44" s="122"/>
      <c r="H44" s="122"/>
      <c r="I44" s="122" t="s">
        <v>469</v>
      </c>
      <c r="J44" s="122"/>
      <c r="K44" s="122" t="s">
        <v>469</v>
      </c>
      <c r="L44" s="122"/>
    </row>
    <row r="45" spans="2:12" ht="51.8" customHeight="1">
      <c r="C45" s="123" t="s">
        <v>470</v>
      </c>
      <c r="D45" s="123"/>
      <c r="E45" s="123"/>
      <c r="F45" s="123" t="s">
        <v>471</v>
      </c>
      <c r="G45" s="123"/>
      <c r="H45" s="123"/>
      <c r="I45" s="123" t="s">
        <v>472</v>
      </c>
      <c r="J45" s="123"/>
      <c r="K45" s="123" t="s">
        <v>473</v>
      </c>
      <c r="L45" s="123"/>
    </row>
    <row r="46" spans="2:12" ht="8" customHeight="1"/>
    <row r="47" spans="2:12" ht="24" customHeight="1">
      <c r="B47" s="26" t="s">
        <v>474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2:12" ht="6" customHeight="1"/>
    <row r="49" spans="2:12" ht="24" customHeight="1">
      <c r="C49" s="33" t="s">
        <v>475</v>
      </c>
      <c r="D49" s="33"/>
      <c r="E49" s="33" t="s">
        <v>476</v>
      </c>
      <c r="F49" s="33"/>
      <c r="G49" s="33"/>
      <c r="H49" s="33" t="s">
        <v>477</v>
      </c>
      <c r="I49" s="33"/>
      <c r="J49" s="33"/>
      <c r="K49" s="33"/>
      <c r="L49" s="33"/>
    </row>
    <row r="50" spans="2:12" ht="37.2" customHeight="1">
      <c r="C50" s="122" t="s">
        <v>478</v>
      </c>
      <c r="D50" s="122"/>
      <c r="E50" s="122" t="s">
        <v>479</v>
      </c>
      <c r="F50" s="122"/>
      <c r="G50" s="122"/>
      <c r="H50" s="122" t="s">
        <v>480</v>
      </c>
      <c r="I50" s="122"/>
      <c r="J50" s="122"/>
      <c r="K50" s="122"/>
      <c r="L50" s="122"/>
    </row>
    <row r="51" spans="2:12" ht="37.2" customHeight="1">
      <c r="C51" s="123" t="s">
        <v>481</v>
      </c>
      <c r="D51" s="123"/>
      <c r="E51" s="123" t="s">
        <v>482</v>
      </c>
      <c r="F51" s="123"/>
      <c r="G51" s="123"/>
      <c r="H51" s="123" t="s">
        <v>483</v>
      </c>
      <c r="I51" s="123"/>
      <c r="J51" s="123"/>
      <c r="K51" s="123"/>
      <c r="L51" s="123"/>
    </row>
    <row r="52" spans="2:12" ht="22.6" customHeight="1">
      <c r="C52" s="122" t="s">
        <v>484</v>
      </c>
      <c r="D52" s="122"/>
      <c r="E52" s="122" t="s">
        <v>485</v>
      </c>
      <c r="F52" s="122"/>
      <c r="G52" s="122"/>
      <c r="H52" s="122" t="s">
        <v>486</v>
      </c>
      <c r="I52" s="122"/>
      <c r="J52" s="122"/>
      <c r="K52" s="122"/>
      <c r="L52" s="122"/>
    </row>
    <row r="53" spans="2:12" ht="22.6" customHeight="1">
      <c r="C53" s="123" t="s">
        <v>487</v>
      </c>
      <c r="D53" s="123"/>
      <c r="E53" s="123" t="s">
        <v>488</v>
      </c>
      <c r="F53" s="123"/>
      <c r="G53" s="123"/>
      <c r="H53" s="123" t="s">
        <v>489</v>
      </c>
      <c r="I53" s="123"/>
      <c r="J53" s="123"/>
      <c r="K53" s="123"/>
      <c r="L53" s="123"/>
    </row>
    <row r="54" spans="2:12" ht="22.6" customHeight="1">
      <c r="C54" s="122" t="s">
        <v>490</v>
      </c>
      <c r="D54" s="122"/>
      <c r="E54" s="122" t="s">
        <v>491</v>
      </c>
      <c r="F54" s="122"/>
      <c r="G54" s="122"/>
      <c r="H54" s="122" t="s">
        <v>492</v>
      </c>
      <c r="I54" s="122"/>
      <c r="J54" s="122"/>
      <c r="K54" s="122"/>
      <c r="L54" s="122"/>
    </row>
    <row r="55" spans="2:12" ht="22.6" customHeight="1">
      <c r="C55" s="123" t="s">
        <v>493</v>
      </c>
      <c r="D55" s="123"/>
      <c r="E55" s="123" t="s">
        <v>494</v>
      </c>
      <c r="F55" s="123"/>
      <c r="G55" s="123"/>
      <c r="H55" s="123" t="s">
        <v>495</v>
      </c>
      <c r="I55" s="123"/>
      <c r="J55" s="123"/>
      <c r="K55" s="123"/>
      <c r="L55" s="123"/>
    </row>
    <row r="56" spans="2:12" ht="37.2" customHeight="1">
      <c r="C56" s="122" t="s">
        <v>496</v>
      </c>
      <c r="D56" s="122"/>
      <c r="E56" s="122" t="s">
        <v>497</v>
      </c>
      <c r="F56" s="122"/>
      <c r="G56" s="122"/>
      <c r="H56" s="122" t="s">
        <v>498</v>
      </c>
      <c r="I56" s="122"/>
      <c r="J56" s="122"/>
      <c r="K56" s="122"/>
      <c r="L56" s="122"/>
    </row>
    <row r="57" spans="2:12" ht="37.2" customHeight="1">
      <c r="C57" s="123" t="s">
        <v>499</v>
      </c>
      <c r="D57" s="123"/>
      <c r="E57" s="123" t="s">
        <v>500</v>
      </c>
      <c r="F57" s="123"/>
      <c r="G57" s="123"/>
      <c r="H57" s="123" t="s">
        <v>501</v>
      </c>
      <c r="I57" s="123"/>
      <c r="J57" s="123"/>
      <c r="K57" s="123"/>
      <c r="L57" s="123"/>
    </row>
    <row r="58" spans="2:12" ht="8" customHeight="1"/>
    <row r="59" spans="2:12" ht="24" customHeight="1">
      <c r="B59" s="17" t="s">
        <v>502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2:12" ht="6" customHeight="1"/>
    <row r="61" spans="2:12" ht="24" customHeight="1">
      <c r="C61" s="114" t="s">
        <v>503</v>
      </c>
      <c r="D61" s="114"/>
      <c r="E61" s="114"/>
      <c r="F61" s="114" t="s">
        <v>504</v>
      </c>
      <c r="G61" s="114"/>
      <c r="H61" s="114"/>
      <c r="I61" s="114"/>
      <c r="J61" s="114"/>
      <c r="K61" s="114"/>
      <c r="L61" s="114"/>
    </row>
    <row r="62" spans="2:12" ht="22.6" customHeight="1">
      <c r="C62" s="122" t="s">
        <v>505</v>
      </c>
      <c r="D62" s="122"/>
      <c r="E62" s="122"/>
      <c r="F62" s="122" t="s">
        <v>506</v>
      </c>
      <c r="G62" s="122"/>
      <c r="H62" s="122"/>
      <c r="I62" s="122"/>
      <c r="J62" s="122"/>
      <c r="K62" s="122"/>
      <c r="L62" s="122"/>
    </row>
    <row r="63" spans="2:12" ht="22.6" customHeight="1">
      <c r="C63" s="123" t="s">
        <v>507</v>
      </c>
      <c r="D63" s="123"/>
      <c r="E63" s="123"/>
      <c r="F63" s="123" t="s">
        <v>508</v>
      </c>
      <c r="G63" s="123"/>
      <c r="H63" s="123"/>
      <c r="I63" s="123"/>
      <c r="J63" s="123"/>
      <c r="K63" s="123"/>
      <c r="L63" s="123"/>
    </row>
    <row r="64" spans="2:12" ht="37.2" customHeight="1">
      <c r="C64" s="122" t="s">
        <v>509</v>
      </c>
      <c r="D64" s="122"/>
      <c r="E64" s="122"/>
      <c r="F64" s="122" t="s">
        <v>510</v>
      </c>
      <c r="G64" s="122"/>
      <c r="H64" s="122"/>
      <c r="I64" s="122"/>
      <c r="J64" s="122"/>
      <c r="K64" s="122"/>
      <c r="L64" s="122"/>
    </row>
    <row r="65" spans="2:12" ht="22.6" customHeight="1">
      <c r="C65" s="123" t="s">
        <v>511</v>
      </c>
      <c r="D65" s="123"/>
      <c r="E65" s="123"/>
      <c r="F65" s="123" t="s">
        <v>512</v>
      </c>
      <c r="G65" s="123"/>
      <c r="H65" s="123"/>
      <c r="I65" s="123"/>
      <c r="J65" s="123"/>
      <c r="K65" s="123"/>
      <c r="L65" s="123"/>
    </row>
    <row r="66" spans="2:12" ht="22.6" customHeight="1">
      <c r="C66" s="122" t="s">
        <v>513</v>
      </c>
      <c r="D66" s="122"/>
      <c r="E66" s="122"/>
      <c r="F66" s="122" t="s">
        <v>514</v>
      </c>
      <c r="G66" s="122"/>
      <c r="H66" s="122"/>
      <c r="I66" s="122"/>
      <c r="J66" s="122"/>
      <c r="K66" s="122"/>
      <c r="L66" s="122"/>
    </row>
    <row r="67" spans="2:12" ht="22.6" customHeight="1">
      <c r="C67" s="123" t="s">
        <v>515</v>
      </c>
      <c r="D67" s="123"/>
      <c r="E67" s="123"/>
      <c r="F67" s="123" t="s">
        <v>516</v>
      </c>
      <c r="G67" s="123"/>
      <c r="H67" s="123"/>
      <c r="I67" s="123"/>
      <c r="J67" s="123"/>
      <c r="K67" s="123"/>
      <c r="L67" s="123"/>
    </row>
    <row r="68" spans="2:12" ht="22.6" customHeight="1">
      <c r="C68" s="122" t="s">
        <v>517</v>
      </c>
      <c r="D68" s="122"/>
      <c r="E68" s="122"/>
      <c r="F68" s="122" t="s">
        <v>518</v>
      </c>
      <c r="G68" s="122"/>
      <c r="H68" s="122"/>
      <c r="I68" s="122"/>
      <c r="J68" s="122"/>
      <c r="K68" s="122"/>
      <c r="L68" s="122"/>
    </row>
    <row r="69" spans="2:12" ht="37.2" customHeight="1">
      <c r="C69" s="123" t="s">
        <v>519</v>
      </c>
      <c r="D69" s="123"/>
      <c r="E69" s="123"/>
      <c r="F69" s="123" t="s">
        <v>520</v>
      </c>
      <c r="G69" s="123"/>
      <c r="H69" s="123"/>
      <c r="I69" s="123"/>
      <c r="J69" s="123"/>
      <c r="K69" s="123"/>
      <c r="L69" s="123"/>
    </row>
    <row r="70" spans="2:12" ht="37.2" customHeight="1">
      <c r="C70" s="122" t="s">
        <v>521</v>
      </c>
      <c r="D70" s="122"/>
      <c r="E70" s="122"/>
      <c r="F70" s="122" t="s">
        <v>522</v>
      </c>
      <c r="G70" s="122"/>
      <c r="H70" s="122"/>
      <c r="I70" s="122"/>
      <c r="J70" s="122"/>
      <c r="K70" s="122"/>
      <c r="L70" s="122"/>
    </row>
    <row r="71" spans="2:12" ht="22.6" customHeight="1">
      <c r="C71" s="123" t="s">
        <v>134</v>
      </c>
      <c r="D71" s="123"/>
      <c r="E71" s="123"/>
      <c r="F71" s="123" t="s">
        <v>523</v>
      </c>
      <c r="G71" s="123"/>
      <c r="H71" s="123"/>
      <c r="I71" s="123"/>
      <c r="J71" s="123"/>
      <c r="K71" s="123"/>
      <c r="L71" s="123"/>
    </row>
    <row r="72" spans="2:12" ht="22.6" customHeight="1">
      <c r="C72" s="122" t="s">
        <v>144</v>
      </c>
      <c r="D72" s="122"/>
      <c r="E72" s="122"/>
      <c r="F72" s="122" t="s">
        <v>524</v>
      </c>
      <c r="G72" s="122"/>
      <c r="H72" s="122"/>
      <c r="I72" s="122"/>
      <c r="J72" s="122"/>
      <c r="K72" s="122"/>
      <c r="L72" s="122"/>
    </row>
    <row r="73" spans="2:12" ht="22.6" customHeight="1">
      <c r="C73" s="123" t="s">
        <v>525</v>
      </c>
      <c r="D73" s="123"/>
      <c r="E73" s="123"/>
      <c r="F73" s="123" t="s">
        <v>526</v>
      </c>
      <c r="G73" s="123"/>
      <c r="H73" s="123"/>
      <c r="I73" s="123"/>
      <c r="J73" s="123"/>
      <c r="K73" s="123"/>
      <c r="L73" s="123"/>
    </row>
    <row r="74" spans="2:12" ht="22.6" customHeight="1">
      <c r="C74" s="122" t="s">
        <v>527</v>
      </c>
      <c r="D74" s="122"/>
      <c r="E74" s="122"/>
      <c r="F74" s="122" t="s">
        <v>528</v>
      </c>
      <c r="G74" s="122"/>
      <c r="H74" s="122"/>
      <c r="I74" s="122"/>
      <c r="J74" s="122"/>
      <c r="K74" s="122"/>
      <c r="L74" s="122"/>
    </row>
    <row r="75" spans="2:12" ht="22.6" customHeight="1">
      <c r="C75" s="123" t="s">
        <v>529</v>
      </c>
      <c r="D75" s="123"/>
      <c r="E75" s="123"/>
      <c r="F75" s="123" t="s">
        <v>530</v>
      </c>
      <c r="G75" s="123"/>
      <c r="H75" s="123"/>
      <c r="I75" s="123"/>
      <c r="J75" s="123"/>
      <c r="K75" s="123"/>
      <c r="L75" s="123"/>
    </row>
    <row r="76" spans="2:12" ht="22.6" customHeight="1">
      <c r="C76" s="122" t="s">
        <v>136</v>
      </c>
      <c r="D76" s="122"/>
      <c r="E76" s="122"/>
      <c r="F76" s="122" t="s">
        <v>531</v>
      </c>
      <c r="G76" s="122"/>
      <c r="H76" s="122"/>
      <c r="I76" s="122"/>
      <c r="J76" s="122"/>
      <c r="K76" s="122"/>
      <c r="L76" s="122"/>
    </row>
    <row r="77" spans="2:12" ht="37.2" customHeight="1">
      <c r="C77" s="123" t="s">
        <v>532</v>
      </c>
      <c r="D77" s="123"/>
      <c r="E77" s="123"/>
      <c r="F77" s="123" t="s">
        <v>533</v>
      </c>
      <c r="G77" s="123"/>
      <c r="H77" s="123"/>
      <c r="I77" s="123"/>
      <c r="J77" s="123"/>
      <c r="K77" s="123"/>
      <c r="L77" s="123"/>
    </row>
    <row r="78" spans="2:12" ht="8" customHeight="1"/>
    <row r="79" spans="2:12" ht="24" customHeight="1">
      <c r="B79" s="5" t="s">
        <v>534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2:12" ht="6" customHeight="1"/>
    <row r="81" spans="2:12" ht="37.2" customHeight="1">
      <c r="C81" s="121" t="s">
        <v>535</v>
      </c>
      <c r="D81" s="121"/>
      <c r="E81" s="121"/>
      <c r="F81" s="121"/>
      <c r="G81" s="121"/>
      <c r="H81" s="121"/>
      <c r="I81" s="121"/>
      <c r="J81" s="121"/>
      <c r="K81" s="121"/>
      <c r="L81" s="121"/>
    </row>
    <row r="82" spans="2:12" ht="37.2" customHeight="1">
      <c r="C82" s="121" t="s">
        <v>536</v>
      </c>
      <c r="D82" s="121"/>
      <c r="E82" s="121"/>
      <c r="F82" s="121"/>
      <c r="G82" s="121"/>
      <c r="H82" s="121"/>
      <c r="I82" s="121"/>
      <c r="J82" s="121"/>
      <c r="K82" s="121"/>
      <c r="L82" s="121"/>
    </row>
    <row r="83" spans="2:12" ht="37.2" customHeight="1">
      <c r="C83" s="121" t="s">
        <v>537</v>
      </c>
      <c r="D83" s="121"/>
      <c r="E83" s="121"/>
      <c r="F83" s="121"/>
      <c r="G83" s="121"/>
      <c r="H83" s="121"/>
      <c r="I83" s="121"/>
      <c r="J83" s="121"/>
      <c r="K83" s="121"/>
      <c r="L83" s="121"/>
    </row>
    <row r="84" spans="2:12" ht="37.2" customHeight="1">
      <c r="C84" s="121" t="s">
        <v>538</v>
      </c>
      <c r="D84" s="121"/>
      <c r="E84" s="121"/>
      <c r="F84" s="121"/>
      <c r="G84" s="121"/>
      <c r="H84" s="121"/>
      <c r="I84" s="121"/>
      <c r="J84" s="121"/>
      <c r="K84" s="121"/>
      <c r="L84" s="121"/>
    </row>
    <row r="85" spans="2:12" ht="22.6" customHeight="1">
      <c r="C85" s="121" t="s">
        <v>539</v>
      </c>
      <c r="D85" s="121"/>
      <c r="E85" s="121"/>
      <c r="F85" s="121"/>
      <c r="G85" s="121"/>
      <c r="H85" s="121"/>
      <c r="I85" s="121"/>
      <c r="J85" s="121"/>
      <c r="K85" s="121"/>
      <c r="L85" s="121"/>
    </row>
    <row r="86" spans="2:12" ht="8" customHeight="1"/>
    <row r="87" spans="2:12" ht="24" customHeight="1">
      <c r="B87" s="26" t="s">
        <v>540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 spans="2:12" ht="6" customHeight="1"/>
    <row r="89" spans="2:12" ht="24" customHeight="1">
      <c r="C89" s="59" t="s">
        <v>541</v>
      </c>
      <c r="D89" s="59"/>
      <c r="E89" s="59"/>
      <c r="F89" s="59" t="s">
        <v>542</v>
      </c>
      <c r="G89" s="59"/>
      <c r="H89" s="59"/>
      <c r="I89" s="59"/>
      <c r="J89" s="59"/>
      <c r="K89" s="59"/>
      <c r="L89" s="59"/>
    </row>
    <row r="90" spans="2:12" ht="51.8" customHeight="1">
      <c r="C90" s="122" t="s">
        <v>543</v>
      </c>
      <c r="D90" s="122"/>
      <c r="E90" s="122"/>
      <c r="F90" s="122" t="s">
        <v>544</v>
      </c>
      <c r="G90" s="122"/>
      <c r="H90" s="122"/>
      <c r="I90" s="122"/>
      <c r="J90" s="122"/>
      <c r="K90" s="122"/>
      <c r="L90" s="122"/>
    </row>
    <row r="91" spans="2:12" ht="37.2" customHeight="1">
      <c r="C91" s="123" t="s">
        <v>545</v>
      </c>
      <c r="D91" s="123"/>
      <c r="E91" s="123"/>
      <c r="F91" s="123" t="s">
        <v>546</v>
      </c>
      <c r="G91" s="123"/>
      <c r="H91" s="123"/>
      <c r="I91" s="123"/>
      <c r="J91" s="123"/>
      <c r="K91" s="123"/>
      <c r="L91" s="123"/>
    </row>
    <row r="92" spans="2:12" ht="51.8" customHeight="1">
      <c r="C92" s="122" t="s">
        <v>547</v>
      </c>
      <c r="D92" s="122"/>
      <c r="E92" s="122"/>
      <c r="F92" s="122" t="s">
        <v>548</v>
      </c>
      <c r="G92" s="122"/>
      <c r="H92" s="122"/>
      <c r="I92" s="122"/>
      <c r="J92" s="122"/>
      <c r="K92" s="122"/>
      <c r="L92" s="122"/>
    </row>
    <row r="93" spans="2:12" ht="51.8" customHeight="1">
      <c r="C93" s="123" t="s">
        <v>549</v>
      </c>
      <c r="D93" s="123"/>
      <c r="E93" s="123"/>
      <c r="F93" s="123" t="s">
        <v>550</v>
      </c>
      <c r="G93" s="123"/>
      <c r="H93" s="123"/>
      <c r="I93" s="123"/>
      <c r="J93" s="123"/>
      <c r="K93" s="123"/>
      <c r="L93" s="123"/>
    </row>
    <row r="94" spans="2:12" ht="51.8" customHeight="1">
      <c r="C94" s="122" t="s">
        <v>551</v>
      </c>
      <c r="D94" s="122"/>
      <c r="E94" s="122"/>
      <c r="F94" s="122" t="s">
        <v>552</v>
      </c>
      <c r="G94" s="122"/>
      <c r="H94" s="122"/>
      <c r="I94" s="122"/>
      <c r="J94" s="122"/>
      <c r="K94" s="122"/>
      <c r="L94" s="122"/>
    </row>
    <row r="95" spans="2:12" ht="37.2" customHeight="1">
      <c r="C95" s="123" t="s">
        <v>553</v>
      </c>
      <c r="D95" s="123"/>
      <c r="E95" s="123"/>
      <c r="F95" s="123" t="s">
        <v>554</v>
      </c>
      <c r="G95" s="123"/>
      <c r="H95" s="123"/>
      <c r="I95" s="123"/>
      <c r="J95" s="123"/>
      <c r="K95" s="123"/>
      <c r="L95" s="123"/>
    </row>
    <row r="96" spans="2:12" ht="37.2" customHeight="1">
      <c r="C96" s="122" t="s">
        <v>555</v>
      </c>
      <c r="D96" s="122"/>
      <c r="E96" s="122"/>
      <c r="F96" s="122" t="s">
        <v>556</v>
      </c>
      <c r="G96" s="122"/>
      <c r="H96" s="122"/>
      <c r="I96" s="122"/>
      <c r="J96" s="122"/>
      <c r="K96" s="122"/>
      <c r="L96" s="122"/>
    </row>
    <row r="97" spans="2:12" ht="37.2" customHeight="1">
      <c r="C97" s="123" t="s">
        <v>557</v>
      </c>
      <c r="D97" s="123"/>
      <c r="E97" s="123"/>
      <c r="F97" s="123" t="s">
        <v>558</v>
      </c>
      <c r="G97" s="123"/>
      <c r="H97" s="123"/>
      <c r="I97" s="123"/>
      <c r="J97" s="123"/>
      <c r="K97" s="123"/>
      <c r="L97" s="123"/>
    </row>
    <row r="98" spans="2:12" ht="37.2" customHeight="1">
      <c r="C98" s="122" t="s">
        <v>559</v>
      </c>
      <c r="D98" s="122"/>
      <c r="E98" s="122"/>
      <c r="F98" s="122" t="s">
        <v>560</v>
      </c>
      <c r="G98" s="122"/>
      <c r="H98" s="122"/>
      <c r="I98" s="122"/>
      <c r="J98" s="122"/>
      <c r="K98" s="122"/>
      <c r="L98" s="122"/>
    </row>
    <row r="99" spans="2:12" ht="37.2" customHeight="1">
      <c r="C99" s="123" t="s">
        <v>561</v>
      </c>
      <c r="D99" s="123"/>
      <c r="E99" s="123"/>
      <c r="F99" s="123" t="s">
        <v>562</v>
      </c>
      <c r="G99" s="123"/>
      <c r="H99" s="123"/>
      <c r="I99" s="123"/>
      <c r="J99" s="123"/>
      <c r="K99" s="123"/>
      <c r="L99" s="123"/>
    </row>
    <row r="100" spans="2:12" ht="8" customHeight="1"/>
    <row r="101" spans="2:12" ht="24" customHeight="1">
      <c r="B101" s="32" t="s">
        <v>563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</row>
    <row r="102" spans="2:12" ht="6" customHeight="1"/>
    <row r="103" spans="2:12" ht="51.8" customHeight="1">
      <c r="C103" s="124" t="s">
        <v>564</v>
      </c>
      <c r="D103" s="124"/>
      <c r="E103" s="124"/>
      <c r="F103" s="124"/>
      <c r="G103" s="124"/>
      <c r="H103" s="124"/>
      <c r="I103" s="124"/>
      <c r="J103" s="124"/>
      <c r="K103" s="124"/>
      <c r="L103" s="124"/>
    </row>
    <row r="104" spans="2:12" ht="8" customHeight="1"/>
    <row r="105" spans="2:12" ht="26" customHeight="1">
      <c r="B105" s="43" t="s">
        <v>248</v>
      </c>
      <c r="C105" s="43"/>
      <c r="D105" s="44" t="s">
        <v>249</v>
      </c>
      <c r="E105" s="44"/>
      <c r="F105" s="45" t="s">
        <v>250</v>
      </c>
      <c r="G105" s="45"/>
      <c r="H105" s="46" t="s">
        <v>251</v>
      </c>
      <c r="I105" s="46"/>
      <c r="J105" s="47" t="s">
        <v>321</v>
      </c>
      <c r="K105" s="47"/>
    </row>
    <row r="106" spans="2:12" ht="24" customHeight="1">
      <c r="B106" s="48" t="s">
        <v>565</v>
      </c>
      <c r="C106" s="48"/>
    </row>
    <row r="108" spans="2:12">
      <c r="B108" s="49" t="s">
        <v>566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</row>
  </sheetData>
  <mergeCells count="151">
    <mergeCell ref="C10:H10"/>
    <mergeCell ref="C11:H11"/>
    <mergeCell ref="B22:L22"/>
    <mergeCell ref="B24:B25"/>
    <mergeCell ref="C24:L24"/>
    <mergeCell ref="C25:L25"/>
    <mergeCell ref="B26:B27"/>
    <mergeCell ref="C26:L26"/>
    <mergeCell ref="C27:L27"/>
    <mergeCell ref="B28:B29"/>
    <mergeCell ref="C28:L28"/>
    <mergeCell ref="C29:L29"/>
    <mergeCell ref="B30:B31"/>
    <mergeCell ref="C30:L30"/>
    <mergeCell ref="C31:L31"/>
    <mergeCell ref="B32:B33"/>
    <mergeCell ref="C32:L32"/>
    <mergeCell ref="C33:L33"/>
    <mergeCell ref="B34:B35"/>
    <mergeCell ref="C34:L34"/>
    <mergeCell ref="C35:L35"/>
    <mergeCell ref="B37:L37"/>
    <mergeCell ref="C39:E39"/>
    <mergeCell ref="F39:H39"/>
    <mergeCell ref="I39:J39"/>
    <mergeCell ref="K39:L39"/>
    <mergeCell ref="C40:E40"/>
    <mergeCell ref="F40:H40"/>
    <mergeCell ref="I40:J40"/>
    <mergeCell ref="K40:L40"/>
    <mergeCell ref="C41:E41"/>
    <mergeCell ref="F41:H41"/>
    <mergeCell ref="I41:J41"/>
    <mergeCell ref="K41:L41"/>
    <mergeCell ref="C42:E42"/>
    <mergeCell ref="F42:H42"/>
    <mergeCell ref="I42:J42"/>
    <mergeCell ref="K42:L42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B47:L47"/>
    <mergeCell ref="C49:D49"/>
    <mergeCell ref="E49:G49"/>
    <mergeCell ref="H49:L49"/>
    <mergeCell ref="C50:D50"/>
    <mergeCell ref="E50:G50"/>
    <mergeCell ref="H50:L50"/>
    <mergeCell ref="C51:D51"/>
    <mergeCell ref="E51:G51"/>
    <mergeCell ref="H51:L51"/>
    <mergeCell ref="C52:D52"/>
    <mergeCell ref="E52:G52"/>
    <mergeCell ref="H52:L52"/>
    <mergeCell ref="C53:D53"/>
    <mergeCell ref="E53:G53"/>
    <mergeCell ref="H53:L53"/>
    <mergeCell ref="C54:D54"/>
    <mergeCell ref="E54:G54"/>
    <mergeCell ref="H54:L54"/>
    <mergeCell ref="C55:D55"/>
    <mergeCell ref="E55:G55"/>
    <mergeCell ref="H55:L55"/>
    <mergeCell ref="C56:D56"/>
    <mergeCell ref="E56:G56"/>
    <mergeCell ref="H56:L56"/>
    <mergeCell ref="C57:D57"/>
    <mergeCell ref="E57:G57"/>
    <mergeCell ref="H57:L57"/>
    <mergeCell ref="B59:L59"/>
    <mergeCell ref="C61:E61"/>
    <mergeCell ref="F61:L61"/>
    <mergeCell ref="C62:E62"/>
    <mergeCell ref="F62:L62"/>
    <mergeCell ref="C63:E63"/>
    <mergeCell ref="F63:L63"/>
    <mergeCell ref="C64:E64"/>
    <mergeCell ref="F64:L64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B79:L79"/>
    <mergeCell ref="C81:L81"/>
    <mergeCell ref="C82:L82"/>
    <mergeCell ref="C83:L83"/>
    <mergeCell ref="C84:L84"/>
    <mergeCell ref="C85:L85"/>
    <mergeCell ref="B87:L87"/>
    <mergeCell ref="C89:E89"/>
    <mergeCell ref="F89:L89"/>
    <mergeCell ref="C90:E90"/>
    <mergeCell ref="F90:L90"/>
    <mergeCell ref="C91:E91"/>
    <mergeCell ref="F91:L91"/>
    <mergeCell ref="C92:E92"/>
    <mergeCell ref="F92:L92"/>
    <mergeCell ref="C93:E93"/>
    <mergeCell ref="F93:L93"/>
    <mergeCell ref="C94:E94"/>
    <mergeCell ref="F94:L94"/>
    <mergeCell ref="C95:E95"/>
    <mergeCell ref="F95:L95"/>
    <mergeCell ref="C96:E96"/>
    <mergeCell ref="F96:L96"/>
    <mergeCell ref="C97:E97"/>
    <mergeCell ref="F97:L97"/>
    <mergeCell ref="C98:E98"/>
    <mergeCell ref="F98:L98"/>
    <mergeCell ref="C99:E99"/>
    <mergeCell ref="F99:L99"/>
    <mergeCell ref="B101:L101"/>
    <mergeCell ref="C103:L103"/>
    <mergeCell ref="B105:C105"/>
    <mergeCell ref="D105:E105"/>
    <mergeCell ref="F105:G105"/>
    <mergeCell ref="H105:I105"/>
    <mergeCell ref="J105:K105"/>
    <mergeCell ref="B106:C106"/>
    <mergeCell ref="B108:L108"/>
  </mergeCells>
  <hyperlinks>
    <hyperlink ref="B105" location="'🎄 Dashboard'!A1" display="🏠 Home"/>
    <hyperlink ref="D105" location="'🎁 Gift Tracker'!A1" display="🎁 Gifts"/>
    <hyperlink ref="F105" location="'💰 Budget'!A1" display="💰 Budget"/>
    <hyperlink ref="H105" location="'🛍️ Shopping List'!A1" display="🛍️ Shop"/>
    <hyperlink ref="J105" location="'⚙️ Setup'!A1" display="⚙️ Setup"/>
    <hyperlink ref="B106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FBFBF"/>
  </sheetPr>
  <dimension ref="A1:AH6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25" t="s">
        <v>0</v>
      </c>
      <c r="B1" s="125" t="s">
        <v>1</v>
      </c>
      <c r="C1" s="125" t="s">
        <v>2</v>
      </c>
      <c r="E1" s="125" t="s">
        <v>21</v>
      </c>
      <c r="F1" s="125" t="s">
        <v>22</v>
      </c>
      <c r="H1" s="125" t="s">
        <v>23</v>
      </c>
      <c r="I1" s="125" t="s">
        <v>24</v>
      </c>
      <c r="J1" s="125" t="s">
        <v>25</v>
      </c>
      <c r="K1" s="125" t="s">
        <v>26</v>
      </c>
      <c r="L1" s="125" t="s">
        <v>27</v>
      </c>
      <c r="M1" s="125" t="s">
        <v>28</v>
      </c>
      <c r="N1" s="125" t="s">
        <v>29</v>
      </c>
      <c r="O1" s="125" t="s">
        <v>30</v>
      </c>
      <c r="P1" s="125" t="s">
        <v>31</v>
      </c>
      <c r="Q1" s="125" t="s">
        <v>32</v>
      </c>
      <c r="R1" s="125" t="s">
        <v>25</v>
      </c>
      <c r="T1" s="125" t="s">
        <v>33</v>
      </c>
      <c r="U1" s="125" t="s">
        <v>26</v>
      </c>
      <c r="AA1" s="125" t="s">
        <v>34</v>
      </c>
      <c r="AB1" s="125" t="s">
        <v>35</v>
      </c>
      <c r="AC1" s="125" t="s">
        <v>36</v>
      </c>
      <c r="AE1" s="125" t="s">
        <v>37</v>
      </c>
      <c r="AF1" s="125" t="s">
        <v>38</v>
      </c>
      <c r="AH1" s="126" t="s">
        <v>78</v>
      </c>
    </row>
    <row r="2" spans="1:34">
      <c r="A2" s="127" t="s">
        <v>3</v>
      </c>
      <c r="B2" s="128">
        <v>12</v>
      </c>
      <c r="C2" s="128">
        <v>25</v>
      </c>
      <c r="E2" s="128">
        <f>IFERROR(INDEX($B$2:$B$19,MATCH('⚙️ Setup'!$C$14,$A$2:$A$19,0)),"")</f>
        <v/>
      </c>
      <c r="F2" s="128">
        <f>IFERROR(INDEX($C$2:$C$19,MATCH('⚙️ Setup'!$C$14,$A$2:$A$19,0)),"")</f>
        <v/>
      </c>
      <c r="H2" s="127" t="str">
        <f>IF('⚙️ Setup'!$B$30="","",'⚙️ Setup'!$B$30)</f>
        <v>Mum</v>
      </c>
      <c r="I2" s="129">
        <f>IF($H2="",0,SUMIF('🎁 Gift Tracker'!$C$8:$C$67,$H2,'🎁 Gift Tracker'!$J$8:$J$67))</f>
        <v>105</v>
      </c>
      <c r="J2" s="129">
        <f>IF($H2="",0,SUMIF('🎁 Gift Tracker'!$C$8:$C$67,$H2,'🎁 Gift Tracker'!$K$8:$K$67))</f>
        <v>97.99000000000001</v>
      </c>
      <c r="K2" s="128">
        <f>IF($H2="",0,COUNTIF('🎁 Gift Tracker'!$C$8:$C$67,$H2))</f>
        <v>2</v>
      </c>
      <c r="L2" s="128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2</v>
      </c>
      <c r="M2" s="128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2</v>
      </c>
      <c r="N2" s="128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28">
        <f>IF($H2="",0,MAX(0,$K2-$L2))</f>
        <v>0</v>
      </c>
      <c r="P2" s="130">
        <f>IF($H2="","",IFERROR($L2/$K2,0))</f>
        <v>1.0</v>
      </c>
      <c r="Q2" s="127" t="str">
        <f>IF('⚙️ Setup'!$D$30="","",'⚙️ Setup'!$D$30)</f>
        <v>Clothing</v>
      </c>
      <c r="R2" s="129">
        <f>IF($Q2="",0,SUMIF('🎁 Gift Tracker'!$F$8:$F$67,$Q2,'🎁 Gift Tracker'!$K$8:$K$67))</f>
        <v>158.5</v>
      </c>
      <c r="T2" s="127" t="str">
        <f>'⚙️ Setup'!$B$54</f>
        <v>💡 Idea</v>
      </c>
      <c r="U2" s="128">
        <f>COUNTIF('🎁 Gift Tracker'!$N$8:$N$67,$T2)</f>
        <v>1</v>
      </c>
      <c r="AA2" s="131">
        <f>IF(OR('🎁 Gift Tracker'!$Q$8="",'🎁 Gift Tracker'!$Q$8&lt;TODAY(),'🎁 Gift Tracker'!$N$8="📦 Delivered"),"",'🎁 Gift Tracker'!$Q$8)</f>
        <v>46371.0</v>
      </c>
      <c r="AB2" s="127" t="str">
        <f>IF($AA$2="","","🎁 "&amp;'🎁 Gift Tracker'!$E$8&amp;" — "&amp;'🎁 Gift Tracker'!$C$8)</f>
        <v>🎁 Cashmere scarf — Mum</v>
      </c>
      <c r="AC2" s="128">
        <f>IF($AA$2="","",$AA$2-TODAY())</f>
        <v>94</v>
      </c>
      <c r="AE2" s="127" t="s">
        <v>39</v>
      </c>
      <c r="AF2" s="132">
        <f>EventDate-TODAY()</f>
        <v>104</v>
      </c>
    </row>
    <row r="3" spans="1:34">
      <c r="A3" s="127" t="s">
        <v>4</v>
      </c>
      <c r="B3" s="128">
        <v>12</v>
      </c>
      <c r="C3" s="128">
        <v>24</v>
      </c>
      <c r="H3" s="127" t="str">
        <f>IF('⚙️ Setup'!$B$31="","",'⚙️ Setup'!$B$31)</f>
        <v>Dad</v>
      </c>
      <c r="I3" s="129">
        <f>IF($H3="",0,SUMIF('🎁 Gift Tracker'!$C$8:$C$67,$H3,'🎁 Gift Tracker'!$J$8:$J$67))</f>
        <v>95</v>
      </c>
      <c r="J3" s="129">
        <f>IF($H3="",0,SUMIF('🎁 Gift Tracker'!$C$8:$C$67,$H3,'🎁 Gift Tracker'!$K$8:$K$67))</f>
        <v>93.5</v>
      </c>
      <c r="K3" s="128">
        <f>IF($H3="",0,COUNTIF('🎁 Gift Tracker'!$C$8:$C$67,$H3))</f>
        <v>2</v>
      </c>
      <c r="L3" s="128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2</v>
      </c>
      <c r="M3" s="128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2</v>
      </c>
      <c r="N3" s="128">
        <f>IF($H3="",0,COUNTIFS('🎁 Gift Tracker'!$C$8:$C$67,$H3,'🎁 Gift Tracker'!$P$8:$P$67,"✓")+SUMPRODUCT(('🎁 Gift Tracker'!$C$8:$C$67=$H3)*('🎁 Gift Tracker'!$P$8:$P$67&lt;&gt;"✓")*('🎁 Gift Tracker'!$N$8:$N$67="📦 Delivered")))</f>
        <v>1</v>
      </c>
      <c r="O3" s="128">
        <f>IF($H3="",0,MAX(0,$K3-$L3))</f>
        <v>0</v>
      </c>
      <c r="P3" s="130">
        <f>IF($H3="","",IFERROR($L3/$K3,0))</f>
        <v>1.0</v>
      </c>
      <c r="Q3" s="127" t="str">
        <f>IF('⚙️ Setup'!$D$31="","",'⚙️ Setup'!$D$31)</f>
        <v>Beauty</v>
      </c>
      <c r="R3" s="129">
        <f>IF($Q3="",0,SUMIF('🎁 Gift Tracker'!$F$8:$F$67,$Q3,'🎁 Gift Tracker'!$K$8:$K$67))</f>
        <v>42.99</v>
      </c>
      <c r="T3" s="127" t="str">
        <f>'⚙️ Setup'!$B$55</f>
        <v>🛒 Need to Buy</v>
      </c>
      <c r="U3" s="128">
        <f>COUNTIF('🎁 Gift Tracker'!$N$8:$N$67,$T3)</f>
        <v>3</v>
      </c>
      <c r="AA3" s="131">
        <f>IF(OR('🎁 Gift Tracker'!$Q$9="",'🎁 Gift Tracker'!$Q$9&lt;TODAY(),'🎁 Gift Tracker'!$N$9="📦 Delivered"),"",'🎁 Gift Tracker'!$Q$9)</f>
        <v>46371.0</v>
      </c>
      <c r="AB3" s="127" t="str">
        <f>IF($AA$3="","","🎁 "&amp;'🎁 Gift Tracker'!$E$9&amp;" — "&amp;'🎁 Gift Tracker'!$C$9)</f>
        <v>🎁 Spa gift set — Mum</v>
      </c>
      <c r="AC3" s="128">
        <f>IF($AA$3="","",$AA$3-TODAY())</f>
        <v>94</v>
      </c>
      <c r="AE3" s="127" t="s">
        <v>40</v>
      </c>
      <c r="AF3" s="132">
        <f>YEAR(EventDate)</f>
        <v>2026</v>
      </c>
    </row>
    <row r="4" spans="1:34">
      <c r="A4" s="127" t="s">
        <v>5</v>
      </c>
      <c r="B4" s="128">
        <v>12</v>
      </c>
      <c r="C4" s="128">
        <v>20</v>
      </c>
      <c r="H4" s="127" t="str">
        <f>IF('⚙️ Setup'!$B$32="","",'⚙️ Setup'!$B$32)</f>
        <v>Grandma Rose</v>
      </c>
      <c r="I4" s="129">
        <f>IF($H4="",0,SUMIF('🎁 Gift Tracker'!$C$8:$C$67,$H4,'🎁 Gift Tracker'!$J$8:$J$67))</f>
        <v>135</v>
      </c>
      <c r="J4" s="129">
        <f>IF($H4="",0,SUMIF('🎁 Gift Tracker'!$C$8:$C$67,$H4,'🎁 Gift Tracker'!$K$8:$K$67))</f>
        <v>129.99</v>
      </c>
      <c r="K4" s="128">
        <f>IF($H4="",0,COUNTIF('🎁 Gift Tracker'!$C$8:$C$67,$H4))</f>
        <v>2</v>
      </c>
      <c r="L4" s="128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1</v>
      </c>
      <c r="M4" s="128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1</v>
      </c>
      <c r="N4" s="128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28">
        <f>IF($H4="",0,MAX(0,$K4-$L4))</f>
        <v>1</v>
      </c>
      <c r="P4" s="130">
        <f>IF($H4="","",IFERROR($L4/$K4,0))</f>
        <v>0.5</v>
      </c>
      <c r="Q4" s="127" t="str">
        <f>IF('⚙️ Setup'!$D$32="","",'⚙️ Setup'!$D$32)</f>
        <v>Electronics</v>
      </c>
      <c r="R4" s="129">
        <f>IF($Q4="",0,SUMIF('🎁 Gift Tracker'!$F$8:$F$67,$Q4,'🎁 Gift Tracker'!$K$8:$K$67))</f>
        <v>159.98</v>
      </c>
      <c r="T4" s="127" t="str">
        <f>'⚙️ Setup'!$B$56</f>
        <v>🛍️ Ordered</v>
      </c>
      <c r="U4" s="128">
        <f>COUNTIF('🎁 Gift Tracker'!$N$8:$N$67,$T4)</f>
        <v>3</v>
      </c>
      <c r="AA4" s="131">
        <f>IF(OR('🎁 Gift Tracker'!$Q$10="",'🎁 Gift Tracker'!$Q$10&lt;TODAY(),'🎁 Gift Tracker'!$N$10="📦 Delivered"),"",'🎁 Gift Tracker'!$Q$10)</f>
        <v/>
      </c>
      <c r="AB4" s="127">
        <f>IF($AA$4="","","🎁 "&amp;'🎁 Gift Tracker'!$E$10&amp;" — "&amp;'🎁 Gift Tracker'!$C$10)</f>
        <v/>
      </c>
      <c r="AC4" s="128">
        <f>IF($AA$4="","",$AA$4-TODAY())</f>
        <v/>
      </c>
      <c r="AE4" s="127" t="s">
        <v>41</v>
      </c>
      <c r="AF4" s="132">
        <f>COUNTA('🎁 Gift Tracker'!$E$8:$E$67)</f>
        <v>25</v>
      </c>
    </row>
    <row r="5" spans="1:34">
      <c r="A5" s="127" t="s">
        <v>6</v>
      </c>
      <c r="B5" s="128">
        <v>12</v>
      </c>
      <c r="C5" s="128">
        <v>15</v>
      </c>
      <c r="H5" s="127" t="str">
        <f>IF('⚙️ Setup'!$B$33="","",'⚙️ Setup'!$B$33)</f>
        <v>Grandpa Joe</v>
      </c>
      <c r="I5" s="129">
        <f>IF($H5="",0,SUMIF('🎁 Gift Tracker'!$C$8:$C$67,$H5,'🎁 Gift Tracker'!$J$8:$J$67))</f>
        <v>55</v>
      </c>
      <c r="J5" s="129">
        <f>IF($H5="",0,SUMIF('🎁 Gift Tracker'!$C$8:$C$67,$H5,'🎁 Gift Tracker'!$K$8:$K$67))</f>
        <v>49.5</v>
      </c>
      <c r="K5" s="128">
        <f>IF($H5="",0,COUNTIF('🎁 Gift Tracker'!$C$8:$C$67,$H5))</f>
        <v>2</v>
      </c>
      <c r="L5" s="128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2</v>
      </c>
      <c r="M5" s="128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2</v>
      </c>
      <c r="N5" s="128">
        <f>IF($H5="",0,COUNTIFS('🎁 Gift Tracker'!$C$8:$C$67,$H5,'🎁 Gift Tracker'!$P$8:$P$67,"✓")+SUMPRODUCT(('🎁 Gift Tracker'!$C$8:$C$67=$H5)*('🎁 Gift Tracker'!$P$8:$P$67&lt;&gt;"✓")*('🎁 Gift Tracker'!$N$8:$N$67="📦 Delivered")))</f>
        <v>2</v>
      </c>
      <c r="O5" s="128">
        <f>IF($H5="",0,MAX(0,$K5-$L5))</f>
        <v>0</v>
      </c>
      <c r="P5" s="130">
        <f>IF($H5="","",IFERROR($L5/$K5,0))</f>
        <v>1.0</v>
      </c>
      <c r="Q5" s="127" t="str">
        <f>IF('⚙️ Setup'!$D$33="","",'⚙️ Setup'!$D$33)</f>
        <v>Toys</v>
      </c>
      <c r="R5" s="129">
        <f>IF($Q5="",0,SUMIF('🎁 Gift Tracker'!$F$8:$F$67,$Q5,'🎁 Gift Tracker'!$K$8:$K$67))</f>
        <v>39.99</v>
      </c>
      <c r="T5" s="127" t="str">
        <f>'⚙️ Setup'!$B$57</f>
        <v>✅ Purchased</v>
      </c>
      <c r="U5" s="128">
        <f>COUNTIF('🎁 Gift Tracker'!$N$8:$N$67,$T5)</f>
        <v>7</v>
      </c>
      <c r="AA5" s="131">
        <f>IF(OR('🎁 Gift Tracker'!$Q$11="",'🎁 Gift Tracker'!$Q$11&lt;TODAY(),'🎁 Gift Tracker'!$N$11="📦 Delivered"),"",'🎁 Gift Tracker'!$Q$11)</f>
        <v>46373.0</v>
      </c>
      <c r="AB5" s="127" t="str">
        <f>IF($AA$5="","","🎁 "&amp;'🎁 Gift Tracker'!$E$11&amp;" — "&amp;'🎁 Gift Tracker'!$C$11)</f>
        <v>🎁 Whisky tasting set — Dad</v>
      </c>
      <c r="AC5" s="128">
        <f>IF($AA$5="","",$AA$5-TODAY())</f>
        <v>96</v>
      </c>
      <c r="AE5" s="127" t="s">
        <v>42</v>
      </c>
      <c r="AF5" s="132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18</v>
      </c>
    </row>
    <row r="6" spans="1:34">
      <c r="A6" s="127" t="s">
        <v>7</v>
      </c>
      <c r="B6" s="128">
        <v>12</v>
      </c>
      <c r="C6" s="128">
        <v>31</v>
      </c>
      <c r="H6" s="127" t="str">
        <f>IF('⚙️ Setup'!$B$34="","",'⚙️ Setup'!$B$34)</f>
        <v>Sister Emily</v>
      </c>
      <c r="I6" s="129">
        <f>IF($H6="",0,SUMIF('🎁 Gift Tracker'!$C$8:$C$67,$H6,'🎁 Gift Tracker'!$J$8:$J$67))</f>
        <v>75</v>
      </c>
      <c r="J6" s="129">
        <f>IF($H6="",0,SUMIF('🎁 Gift Tracker'!$C$8:$C$67,$H6,'🎁 Gift Tracker'!$K$8:$K$67))</f>
        <v>48.0</v>
      </c>
      <c r="K6" s="128">
        <f>IF($H6="",0,COUNTIF('🎁 Gift Tracker'!$C$8:$C$67,$H6))</f>
        <v>2</v>
      </c>
      <c r="L6" s="128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1</v>
      </c>
      <c r="M6" s="128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1</v>
      </c>
      <c r="N6" s="128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28">
        <f>IF($H6="",0,MAX(0,$K6-$L6))</f>
        <v>1</v>
      </c>
      <c r="P6" s="130">
        <f>IF($H6="","",IFERROR($L6/$K6,0))</f>
        <v>0.5</v>
      </c>
      <c r="Q6" s="127" t="str">
        <f>IF('⚙️ Setup'!$D$34="","",'⚙️ Setup'!$D$34)</f>
        <v>Books</v>
      </c>
      <c r="R6" s="129">
        <f>IF($Q6="",0,SUMIF('🎁 Gift Tracker'!$F$8:$F$67,$Q6,'🎁 Gift Tracker'!$K$8:$K$67))</f>
        <v>22.0</v>
      </c>
      <c r="T6" s="127" t="str">
        <f>'⚙️ Setup'!$B$58</f>
        <v>🎀 Wrapped</v>
      </c>
      <c r="U6" s="128">
        <f>COUNTIF('🎁 Gift Tracker'!$N$8:$N$67,$T6)</f>
        <v>5</v>
      </c>
      <c r="AA6" s="131">
        <f>IF(OR('🎁 Gift Tracker'!$Q$12="",'🎁 Gift Tracker'!$Q$12&lt;TODAY(),'🎁 Gift Tracker'!$N$12="📦 Delivered"),"",'🎁 Gift Tracker'!$Q$12)</f>
        <v>46376.0</v>
      </c>
      <c r="AB6" s="127" t="str">
        <f>IF($AA$6="","","🎁 "&amp;'🎁 Gift Tracker'!$E$12&amp;" — "&amp;'🎁 Gift Tracker'!$C$12)</f>
        <v>🎁 Digital photo frame — Grandma Rose</v>
      </c>
      <c r="AC6" s="128">
        <f>IF($AA$6="","",$AA$6-TODAY())</f>
        <v>99</v>
      </c>
      <c r="AE6" s="127" t="s">
        <v>43</v>
      </c>
      <c r="AF6" s="132">
        <f>COUNTIF('🎁 Gift Tracker'!$O$8:$O$67,"✓")+SUMPRODUCT(('🎁 Gift Tracker'!$O$8:$O$67&lt;&gt;"✓")*(('🎁 Gift Tracker'!$N$8:$N$67="🎀 Wrapped")+('🎁 Gift Tracker'!$N$8:$N$67="📦 Delivered")&gt;0))</f>
        <v>13</v>
      </c>
    </row>
    <row r="7" spans="1:34">
      <c r="A7" s="127" t="s">
        <v>8</v>
      </c>
      <c r="B7" s="128">
        <v>2</v>
      </c>
      <c r="C7" s="128">
        <v>14</v>
      </c>
      <c r="H7" s="127" t="str">
        <f>IF('⚙️ Setup'!$B$35="","",'⚙️ Setup'!$B$35)</f>
        <v>Brother Jack</v>
      </c>
      <c r="I7" s="129">
        <f>IF($H7="",0,SUMIF('🎁 Gift Tracker'!$C$8:$C$67,$H7,'🎁 Gift Tracker'!$J$8:$J$67))</f>
        <v>115</v>
      </c>
      <c r="J7" s="129">
        <f>IF($H7="",0,SUMIF('🎁 Gift Tracker'!$C$8:$C$67,$H7,'🎁 Gift Tracker'!$K$8:$K$67))</f>
        <v>107.99</v>
      </c>
      <c r="K7" s="128">
        <f>IF($H7="",0,COUNTIF('🎁 Gift Tracker'!$C$8:$C$67,$H7))</f>
        <v>2</v>
      </c>
      <c r="L7" s="128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1</v>
      </c>
      <c r="M7" s="128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28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28">
        <f>IF($H7="",0,MAX(0,$K7-$L7))</f>
        <v>1</v>
      </c>
      <c r="P7" s="130">
        <f>IF($H7="","",IFERROR($L7/$K7,0))</f>
        <v>0.5</v>
      </c>
      <c r="Q7" s="127" t="str">
        <f>IF('⚙️ Setup'!$D$35="","",'⚙️ Setup'!$D$35)</f>
        <v>Home</v>
      </c>
      <c r="R7" s="129">
        <f>IF($Q7="",0,SUMIF('🎁 Gift Tracker'!$F$8:$F$67,$Q7,'🎁 Gift Tracker'!$K$8:$K$67))</f>
        <v>44.5</v>
      </c>
      <c r="T7" s="127" t="str">
        <f>'⚙️ Setup'!$B$59</f>
        <v>📦 Delivered</v>
      </c>
      <c r="U7" s="128">
        <f>COUNTIF('🎁 Gift Tracker'!$N$8:$N$67,$T7)</f>
        <v>6</v>
      </c>
      <c r="AA7" s="131">
        <f>IF(OR('🎁 Gift Tracker'!$Q$13="",'🎁 Gift Tracker'!$Q$13&lt;TODAY(),'🎁 Gift Tracker'!$N$13="📦 Delivered"),"",'🎁 Gift Tracker'!$Q$13)</f>
        <v>46369.0</v>
      </c>
      <c r="AB7" s="127" t="str">
        <f>IF($AA$7="","","🎁 "&amp;'🎁 Gift Tracker'!$E$13&amp;" — "&amp;'🎁 Gift Tracker'!$C$13)</f>
        <v>🎁 Chunky knitted blanket — Grandma Rose</v>
      </c>
      <c r="AC7" s="128">
        <f>IF($AA$7="","",$AA$7-TODAY())</f>
        <v>92</v>
      </c>
      <c r="AE7" s="127" t="s">
        <v>44</v>
      </c>
      <c r="AF7" s="132">
        <f>COUNTIF('🎁 Gift Tracker'!$P$8:$P$67,"✓")+SUMPRODUCT(('🎁 Gift Tracker'!$P$8:$P$67&lt;&gt;"✓")*('🎁 Gift Tracker'!$N$8:$N$67="📦 Delivered"))</f>
        <v>6</v>
      </c>
    </row>
    <row r="8" spans="1:34">
      <c r="A8" s="127" t="s">
        <v>9</v>
      </c>
      <c r="B8" s="128">
        <v>5</v>
      </c>
      <c r="C8" s="128">
        <v>10</v>
      </c>
      <c r="H8" s="127" t="str">
        <f>IF('⚙️ Setup'!$B$36="","",'⚙️ Setup'!$B$36)</f>
        <v>Niece Sophie</v>
      </c>
      <c r="I8" s="129">
        <f>IF($H8="",0,SUMIF('🎁 Gift Tracker'!$C$8:$C$67,$H8,'🎁 Gift Tracker'!$J$8:$J$67))</f>
        <v>67</v>
      </c>
      <c r="J8" s="129">
        <f>IF($H8="",0,SUMIF('🎁 Gift Tracker'!$C$8:$C$67,$H8,'🎁 Gift Tracker'!$K$8:$K$67))</f>
        <v>59.99</v>
      </c>
      <c r="K8" s="128">
        <f>IF($H8="",0,COUNTIF('🎁 Gift Tracker'!$C$8:$C$67,$H8))</f>
        <v>2</v>
      </c>
      <c r="L8" s="128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2</v>
      </c>
      <c r="M8" s="128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2</v>
      </c>
      <c r="N8" s="128">
        <f>IF($H8="",0,COUNTIFS('🎁 Gift Tracker'!$C$8:$C$67,$H8,'🎁 Gift Tracker'!$P$8:$P$67,"✓")+SUMPRODUCT(('🎁 Gift Tracker'!$C$8:$C$67=$H8)*('🎁 Gift Tracker'!$P$8:$P$67&lt;&gt;"✓")*('🎁 Gift Tracker'!$N$8:$N$67="📦 Delivered")))</f>
        <v>1</v>
      </c>
      <c r="O8" s="128">
        <f>IF($H8="",0,MAX(0,$K8-$L8))</f>
        <v>0</v>
      </c>
      <c r="P8" s="130">
        <f>IF($H8="","",IFERROR($L8/$K8,0))</f>
        <v>1.0</v>
      </c>
      <c r="Q8" s="127" t="str">
        <f>IF('⚙️ Setup'!$D$36="","",'⚙️ Setup'!$D$36)</f>
        <v>Food &amp; Drink</v>
      </c>
      <c r="R8" s="129">
        <f>IF($Q8="",0,SUMIF('🎁 Gift Tracker'!$F$8:$F$67,$Q8,'🎁 Gift Tracker'!$K$8:$K$67))</f>
        <v>88.0</v>
      </c>
      <c r="AA8" s="131">
        <f>IF(OR('🎁 Gift Tracker'!$Q$14="",'🎁 Gift Tracker'!$Q$14&lt;TODAY(),'🎁 Gift Tracker'!$N$14="📦 Delivered"),"",'🎁 Gift Tracker'!$Q$14)</f>
        <v/>
      </c>
      <c r="AB8" s="127">
        <f>IF($AA$8="","","🎁 "&amp;'🎁 Gift Tracker'!$E$14&amp;" — "&amp;'🎁 Gift Tracker'!$C$14)</f>
        <v/>
      </c>
      <c r="AC8" s="128">
        <f>IF($AA$8="","",$AA$8-TODAY())</f>
        <v/>
      </c>
      <c r="AE8" s="127" t="s">
        <v>45</v>
      </c>
      <c r="AF8" s="132">
        <f>COUNTIF('🎁 Gift Tracker'!$N$8:$N$67,"💡 Idea")+COUNTIF('🎁 Gift Tracker'!$N$8:$N$67,"🛒 Need to Buy")</f>
        <v>4</v>
      </c>
    </row>
    <row r="9" spans="1:34">
      <c r="A9" s="127" t="s">
        <v>10</v>
      </c>
      <c r="B9" s="128">
        <v>6</v>
      </c>
      <c r="C9" s="128">
        <v>21</v>
      </c>
      <c r="H9" s="127" t="str">
        <f>IF('⚙️ Setup'!$B$37="","",'⚙️ Setup'!$B$37)</f>
        <v>Nephew Leo</v>
      </c>
      <c r="I9" s="129">
        <f>IF($H9="",0,SUMIF('🎁 Gift Tracker'!$C$8:$C$67,$H9,'🎁 Gift Tracker'!$J$8:$J$67))</f>
        <v>65</v>
      </c>
      <c r="J9" s="129">
        <f>IF($H9="",0,SUMIF('🎁 Gift Tracker'!$C$8:$C$67,$H9,'🎁 Gift Tracker'!$K$8:$K$67))</f>
        <v>36.0</v>
      </c>
      <c r="K9" s="128">
        <f>IF($H9="",0,COUNTIF('🎁 Gift Tracker'!$C$8:$C$67,$H9))</f>
        <v>2</v>
      </c>
      <c r="L9" s="128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1</v>
      </c>
      <c r="M9" s="128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28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28">
        <f>IF($H9="",0,MAX(0,$K9-$L9))</f>
        <v>1</v>
      </c>
      <c r="P9" s="130">
        <f>IF($H9="","",IFERROR($L9/$K9,0))</f>
        <v>0.5</v>
      </c>
      <c r="Q9" s="127" t="str">
        <f>IF('⚙️ Setup'!$D$37="","",'⚙️ Setup'!$D$37)</f>
        <v>Gift Card</v>
      </c>
      <c r="R9" s="129">
        <f>IF($Q9="",0,SUMIF('🎁 Gift Tracker'!$F$8:$F$67,$Q9,'🎁 Gift Tracker'!$K$8:$K$67))</f>
        <v>0</v>
      </c>
      <c r="AA9" s="131">
        <f>IF(OR('🎁 Gift Tracker'!$Q$15="",'🎁 Gift Tracker'!$Q$15&lt;TODAY(),'🎁 Gift Tracker'!$N$15="📦 Delivered"),"",'🎁 Gift Tracker'!$Q$15)</f>
        <v/>
      </c>
      <c r="AB9" s="127">
        <f>IF($AA$9="","","🎁 "&amp;'🎁 Gift Tracker'!$E$15&amp;" — "&amp;'🎁 Gift Tracker'!$C$15)</f>
        <v/>
      </c>
      <c r="AC9" s="128">
        <f>IF($AA$9="","",$AA$9-TODAY())</f>
        <v/>
      </c>
      <c r="AE9" s="127" t="s">
        <v>46</v>
      </c>
      <c r="AF9" s="132">
        <f>COUNTIF('🎁 Gift Tracker'!$N$8:$N$67,"🛍️ Ordered")</f>
        <v>3</v>
      </c>
    </row>
    <row r="10" spans="1:34">
      <c r="A10" s="127" t="s">
        <v>11</v>
      </c>
      <c r="B10" s="128">
        <v>4</v>
      </c>
      <c r="C10" s="128">
        <v>5</v>
      </c>
      <c r="H10" s="127" t="str">
        <f>IF('⚙️ Setup'!$B$38="","",'⚙️ Setup'!$B$38)</f>
        <v>Alex (partner)</v>
      </c>
      <c r="I10" s="129">
        <f>IF($H10="",0,SUMIF('🎁 Gift Tracker'!$C$8:$C$67,$H10,'🎁 Gift Tracker'!$J$8:$J$67))</f>
        <v>275</v>
      </c>
      <c r="J10" s="129">
        <f>IF($H10="",0,SUMIF('🎁 Gift Tracker'!$C$8:$C$67,$H10,'🎁 Gift Tracker'!$K$8:$K$67))</f>
        <v>254.0</v>
      </c>
      <c r="K10" s="128">
        <f>IF($H10="",0,COUNTIF('🎁 Gift Tracker'!$C$8:$C$67,$H10))</f>
        <v>2</v>
      </c>
      <c r="L10" s="128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1</v>
      </c>
      <c r="M10" s="128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28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28">
        <f>IF($H10="",0,MAX(0,$K10-$L10))</f>
        <v>1</v>
      </c>
      <c r="P10" s="130">
        <f>IF($H10="","",IFERROR($L10/$K10,0))</f>
        <v>0.5</v>
      </c>
      <c r="Q10" s="127" t="str">
        <f>IF('⚙️ Setup'!$D$38="","",'⚙️ Setup'!$D$38)</f>
        <v>Handmade</v>
      </c>
      <c r="R10" s="129">
        <f>IF($Q10="",0,SUMIF('🎁 Gift Tracker'!$F$8:$F$67,$Q10,'🎁 Gift Tracker'!$K$8:$K$67))</f>
        <v>45.0</v>
      </c>
      <c r="AA10" s="131">
        <f>IF(OR('🎁 Gift Tracker'!$Q$16="",'🎁 Gift Tracker'!$Q$16&lt;TODAY(),'🎁 Gift Tracker'!$N$16="📦 Delivered"),"",'🎁 Gift Tracker'!$Q$16)</f>
        <v>46375.0</v>
      </c>
      <c r="AB10" s="127" t="str">
        <f>IF($AA$10="","","🎁 "&amp;'🎁 Gift Tracker'!$E$16&amp;" — "&amp;'🎁 Gift Tracker'!$C$16)</f>
        <v>🎁 Gold hoop earrings — Sister Emily</v>
      </c>
      <c r="AC10" s="128">
        <f>IF($AA$10="","",$AA$10-TODAY())</f>
        <v>98</v>
      </c>
      <c r="AE10" s="127" t="s">
        <v>47</v>
      </c>
      <c r="AF10" s="132">
        <f>MAX(0,$AF$5-$AF$6)</f>
        <v>5</v>
      </c>
    </row>
    <row r="11" spans="1:34">
      <c r="A11" s="127" t="s">
        <v>12</v>
      </c>
      <c r="B11" s="128">
        <v>10</v>
      </c>
      <c r="C11" s="128">
        <v>31</v>
      </c>
      <c r="H11" s="127" t="str">
        <f>IF('⚙️ Setup'!$B$39="","",'⚙️ Setup'!$B$39)</f>
        <v>Maya (best friend)</v>
      </c>
      <c r="I11" s="129">
        <f>IF($H11="",0,SUMIF('🎁 Gift Tracker'!$C$8:$C$67,$H11,'🎁 Gift Tracker'!$J$8:$J$67))</f>
        <v>52</v>
      </c>
      <c r="J11" s="129">
        <f>IF($H11="",0,SUMIF('🎁 Gift Tracker'!$C$8:$C$67,$H11,'🎁 Gift Tracker'!$K$8:$K$67))</f>
        <v>28.5</v>
      </c>
      <c r="K11" s="128">
        <f>IF($H11="",0,COUNTIF('🎁 Gift Tracker'!$C$8:$C$67,$H11))</f>
        <v>2</v>
      </c>
      <c r="L11" s="128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1</v>
      </c>
      <c r="M11" s="128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1</v>
      </c>
      <c r="N11" s="128">
        <f>IF($H11="",0,COUNTIFS('🎁 Gift Tracker'!$C$8:$C$67,$H11,'🎁 Gift Tracker'!$P$8:$P$67,"✓")+SUMPRODUCT(('🎁 Gift Tracker'!$C$8:$C$67=$H11)*('🎁 Gift Tracker'!$P$8:$P$67&lt;&gt;"✓")*('🎁 Gift Tracker'!$N$8:$N$67="📦 Delivered")))</f>
        <v>1</v>
      </c>
      <c r="O11" s="128">
        <f>IF($H11="",0,MAX(0,$K11-$L11))</f>
        <v>1</v>
      </c>
      <c r="P11" s="130">
        <f>IF($H11="","",IFERROR($L11/$K11,0))</f>
        <v>0.5</v>
      </c>
      <c r="Q11" s="127" t="str">
        <f>IF('⚙️ Setup'!$D$39="","",'⚙️ Setup'!$D$39)</f>
        <v>Jewellery</v>
      </c>
      <c r="R11" s="129">
        <f>IF($Q11="",0,SUMIF('🎁 Gift Tracker'!$F$8:$F$67,$Q11,'🎁 Gift Tracker'!$K$8:$K$67))</f>
        <v>137.0</v>
      </c>
      <c r="AA11" s="131">
        <f>IF(OR('🎁 Gift Tracker'!$Q$17="",'🎁 Gift Tracker'!$Q$17&lt;TODAY(),'🎁 Gift Tracker'!$N$17="📦 Delivered"),"",'🎁 Gift Tracker'!$Q$17)</f>
        <v>46375.0</v>
      </c>
      <c r="AB11" s="127" t="str">
        <f>IF($AA$11="","","🎁 "&amp;'🎁 Gift Tracker'!$E$17&amp;" — "&amp;'🎁 Gift Tracker'!$C$17)</f>
        <v>🎁 Bath bomb gift box — Sister Emily</v>
      </c>
      <c r="AC11" s="128">
        <f>IF($AA$11="","",$AA$11-TODAY())</f>
        <v>98</v>
      </c>
      <c r="AE11" s="127" t="s">
        <v>48</v>
      </c>
      <c r="AF11" s="132">
        <f>MAX(0,$AF$6-$AF$7)</f>
        <v>7</v>
      </c>
    </row>
    <row r="12" spans="1:34">
      <c r="A12" s="127" t="s">
        <v>13</v>
      </c>
      <c r="B12" s="128">
        <v>11</v>
      </c>
      <c r="C12" s="128">
        <v>27</v>
      </c>
      <c r="H12" s="127" t="str">
        <f>IF('⚙️ Setup'!$B$40="","",'⚙️ Setup'!$B$40)</f>
        <v>Cousin Dan</v>
      </c>
      <c r="I12" s="129">
        <f>IF($H12="",0,SUMIF('🎁 Gift Tracker'!$C$8:$C$67,$H12,'🎁 Gift Tracker'!$J$8:$J$67))</f>
        <v>65</v>
      </c>
      <c r="J12" s="129">
        <f>IF($H12="",0,SUMIF('🎁 Gift Tracker'!$C$8:$C$67,$H12,'🎁 Gift Tracker'!$K$8:$K$67))</f>
        <v>32.0</v>
      </c>
      <c r="K12" s="128">
        <f>IF($H12="",0,COUNTIF('🎁 Gift Tracker'!$C$8:$C$67,$H12))</f>
        <v>2</v>
      </c>
      <c r="L12" s="128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1</v>
      </c>
      <c r="M12" s="128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28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28">
        <f>IF($H12="",0,MAX(0,$K12-$L12))</f>
        <v>1</v>
      </c>
      <c r="P12" s="130">
        <f>IF($H12="","",IFERROR($L12/$K12,0))</f>
        <v>0.5</v>
      </c>
      <c r="Q12" s="127" t="str">
        <f>IF('⚙️ Setup'!$D$40="","",'⚙️ Setup'!$D$40)</f>
        <v>Games</v>
      </c>
      <c r="R12" s="129">
        <f>IF($Q12="",0,SUMIF('🎁 Gift Tracker'!$F$8:$F$67,$Q12,'🎁 Gift Tracker'!$K$8:$K$67))</f>
        <v>32.0</v>
      </c>
      <c r="AA12" s="131">
        <f>IF(OR('🎁 Gift Tracker'!$Q$18="",'🎁 Gift Tracker'!$Q$18&lt;TODAY(),'🎁 Gift Tracker'!$N$18="📦 Delivered"),"",'🎁 Gift Tracker'!$Q$18)</f>
        <v>46377.0</v>
      </c>
      <c r="AB12" s="127" t="str">
        <f>IF($AA$12="","","🎁 "&amp;'🎁 Gift Tracker'!$E$18&amp;" — "&amp;'🎁 Gift Tracker'!$C$18)</f>
        <v>🎁 Wireless earbuds — Brother Jack</v>
      </c>
      <c r="AC12" s="128">
        <f>IF($AA$12="","",$AA$12-TODAY())</f>
        <v>100</v>
      </c>
      <c r="AE12" s="127" t="s">
        <v>49</v>
      </c>
      <c r="AF12" s="133">
        <f>IFERROR($AF$5/$AF$4,0)</f>
        <v>0.72</v>
      </c>
    </row>
    <row r="13" spans="1:34">
      <c r="A13" s="127" t="s">
        <v>14</v>
      </c>
      <c r="B13" s="128">
        <v>11</v>
      </c>
      <c r="C13" s="128">
        <v>12</v>
      </c>
      <c r="H13" s="127" t="str">
        <f>IF('⚙️ Setup'!$B$41="","",'⚙️ Setup'!$B$41)</f>
        <v>Aunt Carol</v>
      </c>
      <c r="I13" s="129">
        <f>IF($H13="",0,SUMIF('🎁 Gift Tracker'!$C$8:$C$67,$H13,'🎁 Gift Tracker'!$J$8:$J$67))</f>
        <v>58</v>
      </c>
      <c r="J13" s="129">
        <f>IF($H13="",0,SUMIF('🎁 Gift Tracker'!$C$8:$C$67,$H13,'🎁 Gift Tracker'!$K$8:$K$67))</f>
        <v>53.5</v>
      </c>
      <c r="K13" s="128">
        <f>IF($H13="",0,COUNTIF('🎁 Gift Tracker'!$C$8:$C$67,$H13))</f>
        <v>2</v>
      </c>
      <c r="L13" s="128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2</v>
      </c>
      <c r="M13" s="128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2</v>
      </c>
      <c r="N13" s="128">
        <f>IF($H13="",0,COUNTIFS('🎁 Gift Tracker'!$C$8:$C$67,$H13,'🎁 Gift Tracker'!$P$8:$P$67,"✓")+SUMPRODUCT(('🎁 Gift Tracker'!$C$8:$C$67=$H13)*('🎁 Gift Tracker'!$P$8:$P$67&lt;&gt;"✓")*('🎁 Gift Tracker'!$N$8:$N$67="📦 Delivered")))</f>
        <v>1</v>
      </c>
      <c r="O13" s="128">
        <f>IF($H13="",0,MAX(0,$K13-$L13))</f>
        <v>0</v>
      </c>
      <c r="P13" s="130">
        <f>IF($H13="","",IFERROR($L13/$K13,0))</f>
        <v>1.0</v>
      </c>
      <c r="Q13" s="127" t="str">
        <f>IF('⚙️ Setup'!$D$41="","",'⚙️ Setup'!$D$41)</f>
        <v>Sports</v>
      </c>
      <c r="R13" s="129">
        <f>IF($Q13="",0,SUMIF('🎁 Gift Tracker'!$F$8:$F$67,$Q13,'🎁 Gift Tracker'!$K$8:$K$67))</f>
        <v>0</v>
      </c>
      <c r="AA13" s="131">
        <f>IF(OR('🎁 Gift Tracker'!$Q$19="",'🎁 Gift Tracker'!$Q$19&lt;TODAY(),'🎁 Gift Tracker'!$N$19="📦 Delivered"),"",'🎁 Gift Tracker'!$Q$19)</f>
        <v>46372.0</v>
      </c>
      <c r="AB13" s="127" t="str">
        <f>IF($AA$13="","","🎁 "&amp;'🎁 Gift Tracker'!$E$19&amp;" — "&amp;'🎁 Gift Tracker'!$C$19)</f>
        <v>🎁 Craft beer hamper — Brother Jack</v>
      </c>
      <c r="AC13" s="128">
        <f>IF($AA$13="","",$AA$13-TODAY())</f>
        <v>95</v>
      </c>
      <c r="AE13" s="127" t="s">
        <v>50</v>
      </c>
      <c r="AF13" s="132">
        <f>COUNTIF($K$2:$K$17,"&gt;0")</f>
        <v>13</v>
      </c>
    </row>
    <row r="14" spans="1:34">
      <c r="A14" s="127" t="s">
        <v>15</v>
      </c>
      <c r="B14" s="128"/>
      <c r="C14" s="128"/>
      <c r="H14" s="127" t="str">
        <f>IF('⚙️ Setup'!$B$42="","",'⚙️ Setup'!$B$42)</f>
        <v>Uncle Bill</v>
      </c>
      <c r="I14" s="129">
        <f>IF($H14="",0,SUMIF('🎁 Gift Tracker'!$C$8:$C$67,$H14,'🎁 Gift Tracker'!$J$8:$J$67))</f>
        <v>0</v>
      </c>
      <c r="J14" s="129">
        <f>IF($H14="",0,SUMIF('🎁 Gift Tracker'!$C$8:$C$67,$H14,'🎁 Gift Tracker'!$K$8:$K$67))</f>
        <v>0</v>
      </c>
      <c r="K14" s="128">
        <f>IF($H14="",0,COUNTIF('🎁 Gift Tracker'!$C$8:$C$67,$H14))</f>
        <v>0</v>
      </c>
      <c r="L14" s="128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28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28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28">
        <f>IF($H14="",0,MAX(0,$K14-$L14))</f>
        <v>0</v>
      </c>
      <c r="P14" s="130">
        <f>IF($H14="","",IFERROR($L14/$K14,0))</f>
        <v/>
      </c>
      <c r="Q14" s="127" t="str">
        <f>IF('⚙️ Setup'!$D$42="","",'⚙️ Setup'!$D$42)</f>
        <v>Music</v>
      </c>
      <c r="R14" s="129">
        <f>IF($Q14="",0,SUMIF('🎁 Gift Tracker'!$F$8:$F$67,$Q14,'🎁 Gift Tracker'!$K$8:$K$67))</f>
        <v>0</v>
      </c>
      <c r="AA14" s="131">
        <f>IF(OR('🎁 Gift Tracker'!$Q$20="",'🎁 Gift Tracker'!$Q$20&lt;TODAY(),'🎁 Gift Tracker'!$N$20="📦 Delivered"),"",'🎁 Gift Tracker'!$Q$20)</f>
        <v/>
      </c>
      <c r="AB14" s="127">
        <f>IF($AA$14="","","🎁 "&amp;'🎁 Gift Tracker'!$E$20&amp;" — "&amp;'🎁 Gift Tracker'!$C$20)</f>
        <v/>
      </c>
      <c r="AC14" s="128">
        <f>IF($AA$14="","",$AA$14-TODAY())</f>
        <v/>
      </c>
      <c r="AE14" s="127" t="s">
        <v>51</v>
      </c>
      <c r="AF14" s="134">
        <f>IFERROR($AF$16/$AF$13,0)</f>
        <v>77.22692307692309</v>
      </c>
    </row>
    <row r="15" spans="1:34">
      <c r="A15" s="127" t="s">
        <v>16</v>
      </c>
      <c r="B15" s="128"/>
      <c r="C15" s="128"/>
      <c r="H15" s="127" t="str">
        <f>IF('⚙️ Setup'!$B$43="","",'⚙️ Setup'!$B$43)</f>
        <v>Secret Santa</v>
      </c>
      <c r="I15" s="129">
        <f>IF($H15="",0,SUMIF('🎁 Gift Tracker'!$C$8:$C$67,$H15,'🎁 Gift Tracker'!$J$8:$J$67))</f>
        <v>15</v>
      </c>
      <c r="J15" s="129">
        <f>IF($H15="",0,SUMIF('🎁 Gift Tracker'!$C$8:$C$67,$H15,'🎁 Gift Tracker'!$K$8:$K$67))</f>
        <v>12.99</v>
      </c>
      <c r="K15" s="128">
        <f>IF($H15="",0,COUNTIF('🎁 Gift Tracker'!$C$8:$C$67,$H15))</f>
        <v>1</v>
      </c>
      <c r="L15" s="128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1</v>
      </c>
      <c r="M15" s="128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28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28">
        <f>IF($H15="",0,MAX(0,$K15-$L15))</f>
        <v>0</v>
      </c>
      <c r="P15" s="130">
        <f>IF($H15="","",IFERROR($L15/$K15,0))</f>
        <v>1.0</v>
      </c>
      <c r="Q15" s="127" t="str">
        <f>IF('⚙️ Setup'!$D$43="","",'⚙️ Setup'!$D$43)</f>
        <v>Kids</v>
      </c>
      <c r="R15" s="129">
        <f>IF($Q15="",0,SUMIF('🎁 Gift Tracker'!$F$8:$F$67,$Q15,'🎁 Gift Tracker'!$K$8:$K$67))</f>
        <v>20.0</v>
      </c>
      <c r="AA15" s="131">
        <f>IF(OR('🎁 Gift Tracker'!$Q$21="",'🎁 Gift Tracker'!$Q$21&lt;TODAY(),'🎁 Gift Tracker'!$N$21="📦 Delivered"),"",'🎁 Gift Tracker'!$Q$21)</f>
        <v>46374.0</v>
      </c>
      <c r="AB15" s="127" t="str">
        <f>IF($AA$15="","","🎁 "&amp;'🎁 Gift Tracker'!$E$21&amp;" — "&amp;'🎁 Gift Tracker'!$C$21)</f>
        <v>🎁 Art supplies case — Niece Sophie</v>
      </c>
      <c r="AC15" s="128">
        <f>IF($AA$15="","",$AA$15-TODAY())</f>
        <v>97</v>
      </c>
      <c r="AE15" s="127" t="s">
        <v>52</v>
      </c>
      <c r="AF15" s="134">
        <f>SUM('🎁 Gift Tracker'!$J$8:$J$67)</f>
        <v>1177</v>
      </c>
    </row>
    <row r="16" spans="1:34">
      <c r="A16" s="127" t="s">
        <v>17</v>
      </c>
      <c r="B16" s="128"/>
      <c r="C16" s="128"/>
      <c r="H16" s="127">
        <f>IF('⚙️ Setup'!$B$44="","",'⚙️ Setup'!$B$44)</f>
        <v/>
      </c>
      <c r="I16" s="129">
        <f>IF($H16="",0,SUMIF('🎁 Gift Tracker'!$C$8:$C$67,$H16,'🎁 Gift Tracker'!$J$8:$J$67))</f>
        <v>0</v>
      </c>
      <c r="J16" s="129">
        <f>IF($H16="",0,SUMIF('🎁 Gift Tracker'!$C$8:$C$67,$H16,'🎁 Gift Tracker'!$K$8:$K$67))</f>
        <v>0</v>
      </c>
      <c r="K16" s="128">
        <f>IF($H16="",0,COUNTIF('🎁 Gift Tracker'!$C$8:$C$67,$H16))</f>
        <v>0</v>
      </c>
      <c r="L16" s="128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28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28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28">
        <f>IF($H16="",0,MAX(0,$K16-$L16))</f>
        <v>0</v>
      </c>
      <c r="P16" s="130">
        <f>IF($H16="","",IFERROR($L16/$K16,0))</f>
        <v/>
      </c>
      <c r="Q16" s="127" t="str">
        <f>IF('⚙️ Setup'!$D$44="","",'⚙️ Setup'!$D$44)</f>
        <v>Pets</v>
      </c>
      <c r="R16" s="129">
        <f>IF($Q16="",0,SUMIF('🎁 Gift Tracker'!$F$8:$F$67,$Q16,'🎁 Gift Tracker'!$K$8:$K$67))</f>
        <v>0</v>
      </c>
      <c r="AA16" s="131">
        <f>IF(OR('🎁 Gift Tracker'!$Q$22="",'🎁 Gift Tracker'!$Q$22&lt;TODAY(),'🎁 Gift Tracker'!$N$22="📦 Delivered"),"",'🎁 Gift Tracker'!$Q$22)</f>
        <v>46378.0</v>
      </c>
      <c r="AB16" s="127" t="str">
        <f>IF($AA$16="","","🎁 "&amp;'🎁 Gift Tracker'!$E$22&amp;" — "&amp;'🎁 Gift Tracker'!$C$22)</f>
        <v>🎁 Dinosaur museum tickets — Nephew Leo</v>
      </c>
      <c r="AC16" s="128">
        <f>IF($AA$16="","",$AA$16-TODAY())</f>
        <v>101</v>
      </c>
      <c r="AE16" s="127" t="s">
        <v>53</v>
      </c>
      <c r="AF16" s="134">
        <f>SUM('🎁 Gift Tracker'!$K$8:$K$67)</f>
        <v>1003.95</v>
      </c>
    </row>
    <row r="17" spans="1:32">
      <c r="A17" s="127" t="s">
        <v>18</v>
      </c>
      <c r="B17" s="128"/>
      <c r="C17" s="128"/>
      <c r="H17" s="127">
        <f>IF('⚙️ Setup'!$B$45="","",'⚙️ Setup'!$B$45)</f>
        <v/>
      </c>
      <c r="I17" s="129">
        <f>IF($H17="",0,SUMIF('🎁 Gift Tracker'!$C$8:$C$67,$H17,'🎁 Gift Tracker'!$J$8:$J$67))</f>
        <v>0</v>
      </c>
      <c r="J17" s="129">
        <f>IF($H17="",0,SUMIF('🎁 Gift Tracker'!$C$8:$C$67,$H17,'🎁 Gift Tracker'!$K$8:$K$67))</f>
        <v>0</v>
      </c>
      <c r="K17" s="128">
        <f>IF($H17="",0,COUNTIF('🎁 Gift Tracker'!$C$8:$C$67,$H17))</f>
        <v>0</v>
      </c>
      <c r="L17" s="128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28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28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28">
        <f>IF($H17="",0,MAX(0,$K17-$L17))</f>
        <v>0</v>
      </c>
      <c r="P17" s="130">
        <f>IF($H17="","",IFERROR($L17/$K17,0))</f>
        <v/>
      </c>
      <c r="Q17" s="127" t="str">
        <f>IF('⚙️ Setup'!$D$45="","",'⚙️ Setup'!$D$45)</f>
        <v>Experience</v>
      </c>
      <c r="R17" s="129">
        <f>IF($Q17="",0,SUMIF('🎁 Gift Tracker'!$F$8:$F$67,$Q17,'🎁 Gift Tracker'!$K$8:$K$67))</f>
        <v>201.0</v>
      </c>
      <c r="AA17" s="131">
        <f>IF(OR('🎁 Gift Tracker'!$Q$23="",'🎁 Gift Tracker'!$Q$23&lt;TODAY(),'🎁 Gift Tracker'!$N$23="📦 Delivered"),"",'🎁 Gift Tracker'!$Q$23)</f>
        <v>46378.0</v>
      </c>
      <c r="AB17" s="127" t="str">
        <f>IF($AA$17="","","🎁 "&amp;'🎁 Gift Tracker'!$E$23&amp;" — "&amp;'🎁 Gift Tracker'!$C$23)</f>
        <v>🎁 Graphic novel bundle — Nephew Leo</v>
      </c>
      <c r="AC17" s="128">
        <f>IF($AA$17="","",$AA$17-TODAY())</f>
        <v>101</v>
      </c>
      <c r="AE17" s="127" t="s">
        <v>54</v>
      </c>
      <c r="AF17" s="134">
        <f>SUM('💰 Budget'!$C$15:$C$24)</f>
        <v>1500</v>
      </c>
    </row>
    <row r="18" spans="1:32">
      <c r="A18" s="127" t="s">
        <v>19</v>
      </c>
      <c r="B18" s="128"/>
      <c r="C18" s="128"/>
      <c r="AA18" s="131">
        <f>IF(OR('🎁 Gift Tracker'!$Q$24="",'🎁 Gift Tracker'!$Q$24&lt;TODAY(),'🎁 Gift Tracker'!$N$24="📦 Delivered"),"",'🎁 Gift Tracker'!$Q$24)</f>
        <v>46379.0</v>
      </c>
      <c r="AB18" s="127" t="str">
        <f>IF($AA$18="","","🎁 "&amp;'🎁 Gift Tracker'!$E$24&amp;" — "&amp;'🎁 Gift Tracker'!$C$24)</f>
        <v>🎁 Weekend getaway — Alex (partner)</v>
      </c>
      <c r="AC18" s="128">
        <f>IF($AA$18="","",$AA$18-TODAY())</f>
        <v>102</v>
      </c>
      <c r="AE18" s="127" t="s">
        <v>55</v>
      </c>
      <c r="AF18" s="134">
        <f>SUM('💰 Budget'!$F$15:$F$24)</f>
        <v>1205.7400000000002</v>
      </c>
    </row>
    <row r="19" spans="1:32">
      <c r="A19" s="127" t="s">
        <v>20</v>
      </c>
      <c r="B19" s="128"/>
      <c r="C19" s="128"/>
      <c r="AA19" s="131">
        <f>IF(OR('🎁 Gift Tracker'!$Q$25="",'🎁 Gift Tracker'!$Q$25&lt;TODAY(),'🎁 Gift Tracker'!$N$25="📦 Delivered"),"",'🎁 Gift Tracker'!$Q$25)</f>
        <v>46376.0</v>
      </c>
      <c r="AB19" s="127" t="str">
        <f>IF($AA$19="","","🎁 "&amp;'🎁 Gift Tracker'!$E$25&amp;" — "&amp;'🎁 Gift Tracker'!$C$25)</f>
        <v>🎁 Engraved watch — Alex (partner)</v>
      </c>
      <c r="AC19" s="128">
        <f>IF($AA$19="","",$AA$19-TODAY())</f>
        <v>99</v>
      </c>
      <c r="AE19" s="127" t="s">
        <v>56</v>
      </c>
      <c r="AF19" s="134">
        <f>$AF$17-$AF$18</f>
        <v>294.25999999999976</v>
      </c>
    </row>
    <row r="20" spans="1:32">
      <c r="AA20" s="131">
        <f>IF(OR('🎁 Gift Tracker'!$Q$26="",'🎁 Gift Tracker'!$Q$26&lt;TODAY(),'🎁 Gift Tracker'!$N$26="📦 Delivered"),"",'🎁 Gift Tracker'!$Q$26)</f>
        <v/>
      </c>
      <c r="AB20" s="127">
        <f>IF($AA$20="","","🎁 "&amp;'🎁 Gift Tracker'!$E$26&amp;" — "&amp;'🎁 Gift Tracker'!$C$26)</f>
        <v/>
      </c>
      <c r="AC20" s="128">
        <f>IF($AA$20="","",$AA$20-TODAY())</f>
        <v/>
      </c>
      <c r="AE20" s="127" t="s">
        <v>57</v>
      </c>
      <c r="AF20" s="133">
        <f>IFERROR($AF$18/$AF$17,0)</f>
        <v>0.8038266666666668</v>
      </c>
    </row>
    <row r="21" spans="1:32">
      <c r="AA21" s="131">
        <f>IF(OR('🎁 Gift Tracker'!$Q$27="",'🎁 Gift Tracker'!$Q$27&lt;TODAY(),'🎁 Gift Tracker'!$N$27="📦 Delivered"),"",'🎁 Gift Tracker'!$Q$27)</f>
        <v>46375.0</v>
      </c>
      <c r="AB21" s="127" t="str">
        <f>IF($AA$21="","","🎁 "&amp;'🎁 Gift Tracker'!$E$27&amp;" — "&amp;'🎁 Gift Tracker'!$C$27)</f>
        <v>🎁 Baking cookbook — Maya (best friend)</v>
      </c>
      <c r="AC21" s="128">
        <f>IF($AA$21="","",$AA$21-TODAY())</f>
        <v>98</v>
      </c>
      <c r="AE21" s="127" t="s">
        <v>58</v>
      </c>
      <c r="AF21" s="132">
        <f>COUNTA('🛍️ Shopping List'!$C$8:$C$52)</f>
        <v>24</v>
      </c>
    </row>
    <row r="22" spans="1:32">
      <c r="AA22" s="131">
        <f>IF(OR('🎁 Gift Tracker'!$Q$28="",'🎁 Gift Tracker'!$Q$28&lt;TODAY(),'🎁 Gift Tracker'!$N$28="📦 Delivered"),"",'🎁 Gift Tracker'!$Q$28)</f>
        <v>46373.0</v>
      </c>
      <c r="AB22" s="127" t="str">
        <f>IF($AA$22="","","🎁 "&amp;'🎁 Gift Tracker'!$E$28&amp;" — "&amp;'🎁 Gift Tracker'!$C$28)</f>
        <v>🎁 Strategy board game — Cousin Dan</v>
      </c>
      <c r="AC22" s="128">
        <f>IF($AA$22="","",$AA$22-TODAY())</f>
        <v>96</v>
      </c>
      <c r="AE22" s="127" t="s">
        <v>59</v>
      </c>
      <c r="AF22" s="132">
        <f>COUNTIF('🛍️ Shopping List'!$I$8:$I$52,"✓")</f>
        <v>13</v>
      </c>
    </row>
    <row r="23" spans="1:32">
      <c r="AA23" s="131">
        <f>IF(OR('🎁 Gift Tracker'!$Q$29="",'🎁 Gift Tracker'!$Q$29&lt;TODAY(),'🎁 Gift Tracker'!$N$29="📦 Delivered"),"",'🎁 Gift Tracker'!$Q$29)</f>
        <v>46373.0</v>
      </c>
      <c r="AB23" s="127" t="str">
        <f>IF($AA$23="","","🎁 "&amp;'🎁 Gift Tracker'!$E$29&amp;" — "&amp;'🎁 Gift Tracker'!$C$29)</f>
        <v>🎁 Coffee bean subscription — Cousin Dan</v>
      </c>
      <c r="AC23" s="128">
        <f>IF($AA$23="","",$AA$23-TODAY())</f>
        <v>96</v>
      </c>
      <c r="AE23" s="127" t="s">
        <v>60</v>
      </c>
      <c r="AF23" s="134">
        <f>SUM('🛍️ Shopping List'!$K$8:$K$52)</f>
        <v>163.39</v>
      </c>
    </row>
    <row r="24" spans="1:32">
      <c r="AA24" s="131">
        <f>IF(OR('🎁 Gift Tracker'!$Q$30="",'🎁 Gift Tracker'!$Q$30&lt;TODAY(),'🎁 Gift Tracker'!$N$30="📦 Delivered"),"",'🎁 Gift Tracker'!$Q$30)</f>
        <v/>
      </c>
      <c r="AB24" s="127">
        <f>IF($AA$24="","","🎁 "&amp;'🎁 Gift Tracker'!$E$30&amp;" — "&amp;'🎁 Gift Tracker'!$C$30)</f>
        <v/>
      </c>
      <c r="AC24" s="128">
        <f>IF($AA$24="","",$AA$24-TODAY())</f>
        <v/>
      </c>
      <c r="AE24" s="127" t="s">
        <v>61</v>
      </c>
      <c r="AF24" s="132">
        <f>0</f>
        <v>0</v>
      </c>
    </row>
    <row r="25" spans="1:32">
      <c r="AA25" s="131">
        <f>IF(OR('🎁 Gift Tracker'!$Q$31="",'🎁 Gift Tracker'!$Q$31&lt;TODAY(),'🎁 Gift Tracker'!$N$31="📦 Delivered"),"",'🎁 Gift Tracker'!$Q$31)</f>
        <v>46374.0</v>
      </c>
      <c r="AB25" s="127" t="str">
        <f>IF($AA$25="","","🎁 "&amp;'🎁 Gift Tracker'!$E$31&amp;" — "&amp;'🎁 Gift Tracker'!$C$31)</f>
        <v>🎁 Garden gloves &amp; tool set — Aunt Carol</v>
      </c>
      <c r="AC25" s="128">
        <f>IF($AA$25="","",$AA$25-TODAY())</f>
        <v>97</v>
      </c>
      <c r="AE25" s="127" t="s">
        <v>62</v>
      </c>
      <c r="AF25" s="132">
        <f>0</f>
        <v>0</v>
      </c>
    </row>
    <row r="26" spans="1:32">
      <c r="AA26" s="131">
        <f>IF(OR('🎁 Gift Tracker'!$Q$32="",'🎁 Gift Tracker'!$Q$32&lt;TODAY(),'🎁 Gift Tracker'!$N$32="📦 Delivered"),"",'🎁 Gift Tracker'!$Q$32)</f>
        <v>46377.0</v>
      </c>
      <c r="AB26" s="127" t="str">
        <f>IF($AA$26="","","🎁 "&amp;'🎁 Gift Tracker'!$E$32&amp;" — "&amp;'🎁 Gift Tracker'!$C$32)</f>
        <v>🎁 Novelty reindeer mug — Secret Santa</v>
      </c>
      <c r="AC26" s="128">
        <f>IF($AA$26="","",$AA$26-TODAY())</f>
        <v>100</v>
      </c>
      <c r="AE26" s="127" t="s">
        <v>63</v>
      </c>
      <c r="AF26" s="132">
        <f>0</f>
        <v>0</v>
      </c>
    </row>
    <row r="27" spans="1:32">
      <c r="AA27" s="131">
        <f>IF(OR('🎁 Gift Tracker'!$Q$33="",'🎁 Gift Tracker'!$Q$33&lt;TODAY(),'🎁 Gift Tracker'!$N$33="📦 Delivered"),"",'🎁 Gift Tracker'!$Q$33)</f>
        <v/>
      </c>
      <c r="AB27" s="127">
        <f>IF($AA$27="","","🎁 "&amp;'🎁 Gift Tracker'!$E$33&amp;" — "&amp;'🎁 Gift Tracker'!$C$33)</f>
        <v/>
      </c>
      <c r="AC27" s="128">
        <f>IF($AA$27="","",$AA$27-TODAY())</f>
        <v/>
      </c>
      <c r="AE27" s="127" t="s">
        <v>64</v>
      </c>
      <c r="AF27" s="134">
        <f>0</f>
        <v>0</v>
      </c>
    </row>
    <row r="28" spans="1:32">
      <c r="AA28" s="131">
        <f>IF(OR('🎁 Gift Tracker'!$Q$34="",'🎁 Gift Tracker'!$Q$34&lt;TODAY(),'🎁 Gift Tracker'!$N$34="📦 Delivered"),"",'🎁 Gift Tracker'!$Q$34)</f>
        <v/>
      </c>
      <c r="AB28" s="127">
        <f>IF($AA$28="","","🎁 "&amp;'🎁 Gift Tracker'!$E$34&amp;" — "&amp;'🎁 Gift Tracker'!$C$34)</f>
        <v/>
      </c>
      <c r="AC28" s="128">
        <f>IF($AA$28="","",$AA$28-TODAY())</f>
        <v/>
      </c>
      <c r="AE28" s="127" t="s">
        <v>65</v>
      </c>
      <c r="AF28" s="134">
        <f>0</f>
        <v>0</v>
      </c>
    </row>
    <row r="29" spans="1:32">
      <c r="AA29" s="131">
        <f>IF(OR('🎁 Gift Tracker'!$Q$35="",'🎁 Gift Tracker'!$Q$35&lt;TODAY(),'🎁 Gift Tracker'!$N$35="📦 Delivered"),"",'🎁 Gift Tracker'!$Q$35)</f>
        <v/>
      </c>
      <c r="AB29" s="127">
        <f>IF($AA$29="","","🎁 "&amp;'🎁 Gift Tracker'!$E$35&amp;" — "&amp;'🎁 Gift Tracker'!$C$35)</f>
        <v/>
      </c>
      <c r="AC29" s="128">
        <f>IF($AA$29="","",$AA$29-TODAY())</f>
        <v/>
      </c>
      <c r="AE29" s="127" t="s">
        <v>66</v>
      </c>
      <c r="AF29" s="132">
        <f>0</f>
        <v>0</v>
      </c>
    </row>
    <row r="30" spans="1:32">
      <c r="AA30" s="131">
        <f>IF(OR('🎁 Gift Tracker'!$Q$36="",'🎁 Gift Tracker'!$Q$36&lt;TODAY(),'🎁 Gift Tracker'!$N$36="📦 Delivered"),"",'🎁 Gift Tracker'!$Q$36)</f>
        <v/>
      </c>
      <c r="AB30" s="127">
        <f>IF($AA$30="","","🎁 "&amp;'🎁 Gift Tracker'!$E$36&amp;" — "&amp;'🎁 Gift Tracker'!$C$36)</f>
        <v/>
      </c>
      <c r="AC30" s="128">
        <f>IF($AA$30="","",$AA$30-TODAY())</f>
        <v/>
      </c>
      <c r="AE30" s="127" t="s">
        <v>67</v>
      </c>
      <c r="AF30" s="132">
        <f>0</f>
        <v>0</v>
      </c>
    </row>
    <row r="31" spans="1:32">
      <c r="AA31" s="131">
        <f>IF(OR('🎁 Gift Tracker'!$Q$37="",'🎁 Gift Tracker'!$Q$37&lt;TODAY(),'🎁 Gift Tracker'!$N$37="📦 Delivered"),"",'🎁 Gift Tracker'!$Q$37)</f>
        <v/>
      </c>
      <c r="AB31" s="127">
        <f>IF($AA$31="","","🎁 "&amp;'🎁 Gift Tracker'!$E$37&amp;" — "&amp;'🎁 Gift Tracker'!$C$37)</f>
        <v/>
      </c>
      <c r="AC31" s="128">
        <f>IF($AA$31="","",$AA$31-TODAY())</f>
        <v/>
      </c>
      <c r="AE31" s="127" t="s">
        <v>68</v>
      </c>
      <c r="AF31" s="132">
        <f>0</f>
        <v>0</v>
      </c>
    </row>
    <row r="32" spans="1:32">
      <c r="AA32" s="131">
        <f>IF(OR('🎁 Gift Tracker'!$Q$38="",'🎁 Gift Tracker'!$Q$38&lt;TODAY(),'🎁 Gift Tracker'!$N$38="📦 Delivered"),"",'🎁 Gift Tracker'!$Q$38)</f>
        <v/>
      </c>
      <c r="AB32" s="127">
        <f>IF($AA$32="","","🎁 "&amp;'🎁 Gift Tracker'!$E$38&amp;" — "&amp;'🎁 Gift Tracker'!$C$38)</f>
        <v/>
      </c>
      <c r="AC32" s="128">
        <f>IF($AA$32="","",$AA$32-TODAY())</f>
        <v/>
      </c>
      <c r="AE32" s="127" t="s">
        <v>69</v>
      </c>
      <c r="AF32" s="132">
        <f>0</f>
        <v>0</v>
      </c>
    </row>
    <row r="33" spans="27:32">
      <c r="AA33" s="131">
        <f>IF(OR('🎁 Gift Tracker'!$Q$39="",'🎁 Gift Tracker'!$Q$39&lt;TODAY(),'🎁 Gift Tracker'!$N$39="📦 Delivered"),"",'🎁 Gift Tracker'!$Q$39)</f>
        <v/>
      </c>
      <c r="AB33" s="127">
        <f>IF($AA$33="","","🎁 "&amp;'🎁 Gift Tracker'!$E$39&amp;" — "&amp;'🎁 Gift Tracker'!$C$39)</f>
        <v/>
      </c>
      <c r="AC33" s="128">
        <f>IF($AA$33="","",$AA$33-TODAY())</f>
        <v/>
      </c>
      <c r="AE33" s="127" t="s">
        <v>70</v>
      </c>
      <c r="AF33" s="132">
        <f>0</f>
        <v>0</v>
      </c>
    </row>
    <row r="34" spans="27:32">
      <c r="AA34" s="131">
        <f>IF(OR('🎁 Gift Tracker'!$Q$40="",'🎁 Gift Tracker'!$Q$40&lt;TODAY(),'🎁 Gift Tracker'!$N$40="📦 Delivered"),"",'🎁 Gift Tracker'!$Q$40)</f>
        <v/>
      </c>
      <c r="AB34" s="127">
        <f>IF($AA$34="","","🎁 "&amp;'🎁 Gift Tracker'!$E$40&amp;" — "&amp;'🎁 Gift Tracker'!$C$40)</f>
        <v/>
      </c>
      <c r="AC34" s="128">
        <f>IF($AA$34="","",$AA$34-TODAY())</f>
        <v/>
      </c>
      <c r="AE34" s="127" t="s">
        <v>71</v>
      </c>
      <c r="AF34" s="134">
        <f>0</f>
        <v>0</v>
      </c>
    </row>
    <row r="35" spans="27:32">
      <c r="AA35" s="131">
        <f>IF(OR('🎁 Gift Tracker'!$Q$41="",'🎁 Gift Tracker'!$Q$41&lt;TODAY(),'🎁 Gift Tracker'!$N$41="📦 Delivered"),"",'🎁 Gift Tracker'!$Q$41)</f>
        <v/>
      </c>
      <c r="AB35" s="127">
        <f>IF($AA$35="","","🎁 "&amp;'🎁 Gift Tracker'!$E$41&amp;" — "&amp;'🎁 Gift Tracker'!$C$41)</f>
        <v/>
      </c>
      <c r="AC35" s="128">
        <f>IF($AA$35="","",$AA$35-TODAY())</f>
        <v/>
      </c>
      <c r="AE35" s="127" t="s">
        <v>72</v>
      </c>
      <c r="AF35" s="132">
        <f>0</f>
        <v>20</v>
      </c>
    </row>
    <row r="36" spans="27:32">
      <c r="AA36" s="131">
        <f>IF(OR('🎁 Gift Tracker'!$Q$42="",'🎁 Gift Tracker'!$Q$42&lt;TODAY(),'🎁 Gift Tracker'!$N$42="📦 Delivered"),"",'🎁 Gift Tracker'!$Q$42)</f>
        <v/>
      </c>
      <c r="AB36" s="127">
        <f>IF($AA$36="","","🎁 "&amp;'🎁 Gift Tracker'!$E$42&amp;" — "&amp;'🎁 Gift Tracker'!$C$42)</f>
        <v/>
      </c>
      <c r="AC36" s="128">
        <f>IF($AA$36="","",$AA$36-TODAY())</f>
        <v/>
      </c>
      <c r="AE36" s="127" t="s">
        <v>73</v>
      </c>
      <c r="AF36" s="132">
        <f>0</f>
        <v>7</v>
      </c>
    </row>
    <row r="37" spans="27:32">
      <c r="AA37" s="131">
        <f>IF(OR('🎁 Gift Tracker'!$Q$43="",'🎁 Gift Tracker'!$Q$43&lt;TODAY(),'🎁 Gift Tracker'!$N$43="📦 Delivered"),"",'🎁 Gift Tracker'!$Q$43)</f>
        <v/>
      </c>
      <c r="AB37" s="127">
        <f>IF($AA$37="","","🎁 "&amp;'🎁 Gift Tracker'!$E$43&amp;" — "&amp;'🎁 Gift Tracker'!$C$43)</f>
        <v/>
      </c>
      <c r="AC37" s="128">
        <f>IF($AA$37="","",$AA$37-TODAY())</f>
        <v/>
      </c>
      <c r="AE37" s="127" t="s">
        <v>74</v>
      </c>
      <c r="AF37" s="132">
        <f>0</f>
        <v>0</v>
      </c>
    </row>
    <row r="38" spans="27:32">
      <c r="AA38" s="131">
        <f>IF(OR('🎁 Gift Tracker'!$Q$44="",'🎁 Gift Tracker'!$Q$44&lt;TODAY(),'🎁 Gift Tracker'!$N$44="📦 Delivered"),"",'🎁 Gift Tracker'!$Q$44)</f>
        <v/>
      </c>
      <c r="AB38" s="127">
        <f>IF($AA$38="","","🎁 "&amp;'🎁 Gift Tracker'!$E$44&amp;" — "&amp;'🎁 Gift Tracker'!$C$44)</f>
        <v/>
      </c>
      <c r="AC38" s="128">
        <f>IF($AA$38="","",$AA$38-TODAY())</f>
        <v/>
      </c>
      <c r="AE38" s="127" t="s">
        <v>75</v>
      </c>
      <c r="AF38" s="132">
        <f>0</f>
        <v>0</v>
      </c>
    </row>
    <row r="39" spans="27:32">
      <c r="AA39" s="131">
        <f>IF(OR('🎁 Gift Tracker'!$Q$45="",'🎁 Gift Tracker'!$Q$45&lt;TODAY(),'🎁 Gift Tracker'!$N$45="📦 Delivered"),"",'🎁 Gift Tracker'!$Q$45)</f>
        <v/>
      </c>
      <c r="AB39" s="127">
        <f>IF($AA$39="","","🎁 "&amp;'🎁 Gift Tracker'!$E$45&amp;" — "&amp;'🎁 Gift Tracker'!$C$45)</f>
        <v/>
      </c>
      <c r="AC39" s="128">
        <f>IF($AA$39="","",$AA$39-TODAY())</f>
        <v/>
      </c>
      <c r="AE39" s="127" t="s">
        <v>76</v>
      </c>
      <c r="AF39" s="132">
        <f>0</f>
        <v>0</v>
      </c>
    </row>
    <row r="40" spans="27:32">
      <c r="AA40" s="131">
        <f>IF(OR('🎁 Gift Tracker'!$Q$46="",'🎁 Gift Tracker'!$Q$46&lt;TODAY(),'🎁 Gift Tracker'!$N$46="📦 Delivered"),"",'🎁 Gift Tracker'!$Q$46)</f>
        <v/>
      </c>
      <c r="AB40" s="127">
        <f>IF($AA$40="","","🎁 "&amp;'🎁 Gift Tracker'!$E$46&amp;" — "&amp;'🎁 Gift Tracker'!$C$46)</f>
        <v/>
      </c>
      <c r="AC40" s="128">
        <f>IF($AA$40="","",$AA$40-TODAY())</f>
        <v/>
      </c>
      <c r="AE40" s="127" t="s">
        <v>77</v>
      </c>
      <c r="AF40" s="134">
        <f>0</f>
        <v>0</v>
      </c>
    </row>
    <row r="41" spans="27:32">
      <c r="AA41" s="131">
        <f>IF(OR('🎁 Gift Tracker'!$Q$47="",'🎁 Gift Tracker'!$Q$47&lt;TODAY(),'🎁 Gift Tracker'!$N$47="📦 Delivered"),"",'🎁 Gift Tracker'!$Q$47)</f>
        <v/>
      </c>
      <c r="AB41" s="127">
        <f>IF($AA$41="","","🎁 "&amp;'🎁 Gift Tracker'!$E$47&amp;" — "&amp;'🎁 Gift Tracker'!$C$47)</f>
        <v/>
      </c>
      <c r="AC41" s="128">
        <f>IF($AA$41="","",$AA$41-TODAY())</f>
        <v/>
      </c>
    </row>
    <row r="42" spans="27:32">
      <c r="AA42" s="131">
        <f>IF(OR('🎁 Gift Tracker'!$Q$48="",'🎁 Gift Tracker'!$Q$48&lt;TODAY(),'🎁 Gift Tracker'!$N$48="📦 Delivered"),"",'🎁 Gift Tracker'!$Q$48)</f>
        <v/>
      </c>
      <c r="AB42" s="127">
        <f>IF($AA$42="","","🎁 "&amp;'🎁 Gift Tracker'!$E$48&amp;" — "&amp;'🎁 Gift Tracker'!$C$48)</f>
        <v/>
      </c>
      <c r="AC42" s="128">
        <f>IF($AA$42="","",$AA$42-TODAY())</f>
        <v/>
      </c>
    </row>
    <row r="43" spans="27:32">
      <c r="AA43" s="131">
        <f>IF(OR('🎁 Gift Tracker'!$Q$49="",'🎁 Gift Tracker'!$Q$49&lt;TODAY(),'🎁 Gift Tracker'!$N$49="📦 Delivered"),"",'🎁 Gift Tracker'!$Q$49)</f>
        <v/>
      </c>
      <c r="AB43" s="127">
        <f>IF($AA$43="","","🎁 "&amp;'🎁 Gift Tracker'!$E$49&amp;" — "&amp;'🎁 Gift Tracker'!$C$49)</f>
        <v/>
      </c>
      <c r="AC43" s="128">
        <f>IF($AA$43="","",$AA$43-TODAY())</f>
        <v/>
      </c>
    </row>
    <row r="44" spans="27:32">
      <c r="AA44" s="131">
        <f>IF(OR('🎁 Gift Tracker'!$Q$50="",'🎁 Gift Tracker'!$Q$50&lt;TODAY(),'🎁 Gift Tracker'!$N$50="📦 Delivered"),"",'🎁 Gift Tracker'!$Q$50)</f>
        <v/>
      </c>
      <c r="AB44" s="127">
        <f>IF($AA$44="","","🎁 "&amp;'🎁 Gift Tracker'!$E$50&amp;" — "&amp;'🎁 Gift Tracker'!$C$50)</f>
        <v/>
      </c>
      <c r="AC44" s="128">
        <f>IF($AA$44="","",$AA$44-TODAY())</f>
        <v/>
      </c>
    </row>
    <row r="45" spans="27:32">
      <c r="AA45" s="131">
        <f>IF(OR('🎁 Gift Tracker'!$Q$51="",'🎁 Gift Tracker'!$Q$51&lt;TODAY(),'🎁 Gift Tracker'!$N$51="📦 Delivered"),"",'🎁 Gift Tracker'!$Q$51)</f>
        <v/>
      </c>
      <c r="AB45" s="127">
        <f>IF($AA$45="","","🎁 "&amp;'🎁 Gift Tracker'!$E$51&amp;" — "&amp;'🎁 Gift Tracker'!$C$51)</f>
        <v/>
      </c>
      <c r="AC45" s="128">
        <f>IF($AA$45="","",$AA$45-TODAY())</f>
        <v/>
      </c>
    </row>
    <row r="46" spans="27:32">
      <c r="AA46" s="131">
        <f>IF(OR('🎁 Gift Tracker'!$Q$52="",'🎁 Gift Tracker'!$Q$52&lt;TODAY(),'🎁 Gift Tracker'!$N$52="📦 Delivered"),"",'🎁 Gift Tracker'!$Q$52)</f>
        <v/>
      </c>
      <c r="AB46" s="127">
        <f>IF($AA$46="","","🎁 "&amp;'🎁 Gift Tracker'!$E$52&amp;" — "&amp;'🎁 Gift Tracker'!$C$52)</f>
        <v/>
      </c>
      <c r="AC46" s="128">
        <f>IF($AA$46="","",$AA$46-TODAY())</f>
        <v/>
      </c>
    </row>
    <row r="47" spans="27:32">
      <c r="AA47" s="131">
        <f>IF(OR('🎁 Gift Tracker'!$Q$53="",'🎁 Gift Tracker'!$Q$53&lt;TODAY(),'🎁 Gift Tracker'!$N$53="📦 Delivered"),"",'🎁 Gift Tracker'!$Q$53)</f>
        <v/>
      </c>
      <c r="AB47" s="127">
        <f>IF($AA$47="","","🎁 "&amp;'🎁 Gift Tracker'!$E$53&amp;" — "&amp;'🎁 Gift Tracker'!$C$53)</f>
        <v/>
      </c>
      <c r="AC47" s="128">
        <f>IF($AA$47="","",$AA$47-TODAY())</f>
        <v/>
      </c>
    </row>
    <row r="48" spans="27:32">
      <c r="AA48" s="131">
        <f>IF(OR('🎁 Gift Tracker'!$Q$54="",'🎁 Gift Tracker'!$Q$54&lt;TODAY(),'🎁 Gift Tracker'!$N$54="📦 Delivered"),"",'🎁 Gift Tracker'!$Q$54)</f>
        <v/>
      </c>
      <c r="AB48" s="127">
        <f>IF($AA$48="","","🎁 "&amp;'🎁 Gift Tracker'!$E$54&amp;" — "&amp;'🎁 Gift Tracker'!$C$54)</f>
        <v/>
      </c>
      <c r="AC48" s="128">
        <f>IF($AA$48="","",$AA$48-TODAY())</f>
        <v/>
      </c>
    </row>
    <row r="49" spans="27:29">
      <c r="AA49" s="131">
        <f>IF(OR('🎁 Gift Tracker'!$Q$55="",'🎁 Gift Tracker'!$Q$55&lt;TODAY(),'🎁 Gift Tracker'!$N$55="📦 Delivered"),"",'🎁 Gift Tracker'!$Q$55)</f>
        <v/>
      </c>
      <c r="AB49" s="127">
        <f>IF($AA$49="","","🎁 "&amp;'🎁 Gift Tracker'!$E$55&amp;" — "&amp;'🎁 Gift Tracker'!$C$55)</f>
        <v/>
      </c>
      <c r="AC49" s="128">
        <f>IF($AA$49="","",$AA$49-TODAY())</f>
        <v/>
      </c>
    </row>
    <row r="50" spans="27:29">
      <c r="AA50" s="131">
        <f>IF(OR('🎁 Gift Tracker'!$Q$56="",'🎁 Gift Tracker'!$Q$56&lt;TODAY(),'🎁 Gift Tracker'!$N$56="📦 Delivered"),"",'🎁 Gift Tracker'!$Q$56)</f>
        <v/>
      </c>
      <c r="AB50" s="127">
        <f>IF($AA$50="","","🎁 "&amp;'🎁 Gift Tracker'!$E$56&amp;" — "&amp;'🎁 Gift Tracker'!$C$56)</f>
        <v/>
      </c>
      <c r="AC50" s="128">
        <f>IF($AA$50="","",$AA$50-TODAY())</f>
        <v/>
      </c>
    </row>
    <row r="51" spans="27:29">
      <c r="AA51" s="131">
        <f>IF(OR('🎁 Gift Tracker'!$Q$57="",'🎁 Gift Tracker'!$Q$57&lt;TODAY(),'🎁 Gift Tracker'!$N$57="📦 Delivered"),"",'🎁 Gift Tracker'!$Q$57)</f>
        <v/>
      </c>
      <c r="AB51" s="127">
        <f>IF($AA$51="","","🎁 "&amp;'🎁 Gift Tracker'!$E$57&amp;" — "&amp;'🎁 Gift Tracker'!$C$57)</f>
        <v/>
      </c>
      <c r="AC51" s="128">
        <f>IF($AA$51="","",$AA$51-TODAY())</f>
        <v/>
      </c>
    </row>
    <row r="52" spans="27:29">
      <c r="AA52" s="131">
        <f>IF(OR('🎁 Gift Tracker'!$Q$58="",'🎁 Gift Tracker'!$Q$58&lt;TODAY(),'🎁 Gift Tracker'!$N$58="📦 Delivered"),"",'🎁 Gift Tracker'!$Q$58)</f>
        <v/>
      </c>
      <c r="AB52" s="127">
        <f>IF($AA$52="","","🎁 "&amp;'🎁 Gift Tracker'!$E$58&amp;" — "&amp;'🎁 Gift Tracker'!$C$58)</f>
        <v/>
      </c>
      <c r="AC52" s="128">
        <f>IF($AA$52="","",$AA$52-TODAY())</f>
        <v/>
      </c>
    </row>
    <row r="53" spans="27:29">
      <c r="AA53" s="131">
        <f>IF(OR('🎁 Gift Tracker'!$Q$59="",'🎁 Gift Tracker'!$Q$59&lt;TODAY(),'🎁 Gift Tracker'!$N$59="📦 Delivered"),"",'🎁 Gift Tracker'!$Q$59)</f>
        <v/>
      </c>
      <c r="AB53" s="127">
        <f>IF($AA$53="","","🎁 "&amp;'🎁 Gift Tracker'!$E$59&amp;" — "&amp;'🎁 Gift Tracker'!$C$59)</f>
        <v/>
      </c>
      <c r="AC53" s="128">
        <f>IF($AA$53="","",$AA$53-TODAY())</f>
        <v/>
      </c>
    </row>
    <row r="54" spans="27:29">
      <c r="AA54" s="131">
        <f>IF(OR('🎁 Gift Tracker'!$Q$60="",'🎁 Gift Tracker'!$Q$60&lt;TODAY(),'🎁 Gift Tracker'!$N$60="📦 Delivered"),"",'🎁 Gift Tracker'!$Q$60)</f>
        <v/>
      </c>
      <c r="AB54" s="127">
        <f>IF($AA$54="","","🎁 "&amp;'🎁 Gift Tracker'!$E$60&amp;" — "&amp;'🎁 Gift Tracker'!$C$60)</f>
        <v/>
      </c>
      <c r="AC54" s="128">
        <f>IF($AA$54="","",$AA$54-TODAY())</f>
        <v/>
      </c>
    </row>
    <row r="55" spans="27:29">
      <c r="AA55" s="131">
        <f>IF(OR('🎁 Gift Tracker'!$Q$61="",'🎁 Gift Tracker'!$Q$61&lt;TODAY(),'🎁 Gift Tracker'!$N$61="📦 Delivered"),"",'🎁 Gift Tracker'!$Q$61)</f>
        <v/>
      </c>
      <c r="AB55" s="127">
        <f>IF($AA$55="","","🎁 "&amp;'🎁 Gift Tracker'!$E$61&amp;" — "&amp;'🎁 Gift Tracker'!$C$61)</f>
        <v/>
      </c>
      <c r="AC55" s="128">
        <f>IF($AA$55="","",$AA$55-TODAY())</f>
        <v/>
      </c>
    </row>
    <row r="56" spans="27:29">
      <c r="AA56" s="131">
        <f>IF(OR('🎁 Gift Tracker'!$Q$62="",'🎁 Gift Tracker'!$Q$62&lt;TODAY(),'🎁 Gift Tracker'!$N$62="📦 Delivered"),"",'🎁 Gift Tracker'!$Q$62)</f>
        <v/>
      </c>
      <c r="AB56" s="127">
        <f>IF($AA$56="","","🎁 "&amp;'🎁 Gift Tracker'!$E$62&amp;" — "&amp;'🎁 Gift Tracker'!$C$62)</f>
        <v/>
      </c>
      <c r="AC56" s="128">
        <f>IF($AA$56="","",$AA$56-TODAY())</f>
        <v/>
      </c>
    </row>
    <row r="57" spans="27:29">
      <c r="AA57" s="131">
        <f>IF(OR('🎁 Gift Tracker'!$Q$63="",'🎁 Gift Tracker'!$Q$63&lt;TODAY(),'🎁 Gift Tracker'!$N$63="📦 Delivered"),"",'🎁 Gift Tracker'!$Q$63)</f>
        <v/>
      </c>
      <c r="AB57" s="127">
        <f>IF($AA$57="","","🎁 "&amp;'🎁 Gift Tracker'!$E$63&amp;" — "&amp;'🎁 Gift Tracker'!$C$63)</f>
        <v/>
      </c>
      <c r="AC57" s="128">
        <f>IF($AA$57="","",$AA$57-TODAY())</f>
        <v/>
      </c>
    </row>
    <row r="58" spans="27:29">
      <c r="AA58" s="131">
        <f>IF(OR('🎁 Gift Tracker'!$Q$64="",'🎁 Gift Tracker'!$Q$64&lt;TODAY(),'🎁 Gift Tracker'!$N$64="📦 Delivered"),"",'🎁 Gift Tracker'!$Q$64)</f>
        <v/>
      </c>
      <c r="AB58" s="127">
        <f>IF($AA$58="","","🎁 "&amp;'🎁 Gift Tracker'!$E$64&amp;" — "&amp;'🎁 Gift Tracker'!$C$64)</f>
        <v/>
      </c>
      <c r="AC58" s="128">
        <f>IF($AA$58="","",$AA$58-TODAY())</f>
        <v/>
      </c>
    </row>
    <row r="59" spans="27:29">
      <c r="AA59" s="131">
        <f>IF(OR('🎁 Gift Tracker'!$Q$65="",'🎁 Gift Tracker'!$Q$65&lt;TODAY(),'🎁 Gift Tracker'!$N$65="📦 Delivered"),"",'🎁 Gift Tracker'!$Q$65)</f>
        <v/>
      </c>
      <c r="AB59" s="127">
        <f>IF($AA$59="","","🎁 "&amp;'🎁 Gift Tracker'!$E$65&amp;" — "&amp;'🎁 Gift Tracker'!$C$65)</f>
        <v/>
      </c>
      <c r="AC59" s="128">
        <f>IF($AA$59="","",$AA$59-TODAY())</f>
        <v/>
      </c>
    </row>
    <row r="60" spans="27:29">
      <c r="AA60" s="131">
        <f>IF(OR('🎁 Gift Tracker'!$Q$66="",'🎁 Gift Tracker'!$Q$66&lt;TODAY(),'🎁 Gift Tracker'!$N$66="📦 Delivered"),"",'🎁 Gift Tracker'!$Q$66)</f>
        <v/>
      </c>
      <c r="AB60" s="127">
        <f>IF($AA$60="","","🎁 "&amp;'🎁 Gift Tracker'!$E$66&amp;" — "&amp;'🎁 Gift Tracker'!$C$66)</f>
        <v/>
      </c>
      <c r="AC60" s="128">
        <f>IF($AA$60="","",$AA$60-TODAY())</f>
        <v/>
      </c>
    </row>
    <row r="61" spans="27:29">
      <c r="AA61" s="131">
        <f>IF(OR('🎁 Gift Tracker'!$Q$67="",'🎁 Gift Tracker'!$Q$67&lt;TODAY(),'🎁 Gift Tracker'!$N$67="📦 Delivered"),"",'🎁 Gift Tracker'!$Q$67)</f>
        <v/>
      </c>
      <c r="AB61" s="127">
        <f>IF($AA$61="","","🎁 "&amp;'🎁 Gift Tracker'!$E$67&amp;" — "&amp;'🎁 Gift Tracker'!$C$67)</f>
        <v/>
      </c>
      <c r="AC61" s="128">
        <f>IF($AA$61="","",$AA$61-TODAY())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32</vt:i4>
      </vt:variant>
    </vt:vector>
  </HeadingPairs>
  <TitlesOfParts>
    <vt:vector size="39" baseType="lpstr">
      <vt:lpstr>🎄 Dashboard</vt:lpstr>
      <vt:lpstr>🎁 Gift Tracker</vt:lpstr>
      <vt:lpstr>💰 Budget</vt:lpstr>
      <vt:lpstr>🛍️ Shopping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'🎁 Gift Tracker'!Print_Area</vt:lpstr>
      <vt:lpstr>'🎄 Dashboard'!Print_Area</vt:lpstr>
      <vt:lpstr>'💰 Budget'!Print_Area</vt:lpstr>
      <vt:lpstr>'📖 Start Here'!Print_Area</vt:lpstr>
      <vt:lpstr>'🛍️ Shopping List'!Print_Area</vt:lpstr>
      <vt:lpstr>'⚙️ Setup'!Print_Titles</vt:lpstr>
      <vt:lpstr>'🎁 Gift Tracker'!Print_Titles</vt:lpstr>
      <vt:lpstr>'💰 Budget'!Print_Titles</vt:lpstr>
      <vt:lpstr>'🛍️ Shopping List'!Print_Titles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2026-09-12T11:26:35Z</dcterms:created>
  <dcterms:modified xsi:type="dcterms:W3CDTF">2026-09-12T11:26:35Z</dcterms:modified>
  <cp:category>Christmas / Gift Planning Spreadsheet</cp:category>
</cp:coreProperties>
</file>