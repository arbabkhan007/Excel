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🚫 Exclusions &amp; Rules" sheetId="6" r:id="rId6"/>
    <sheet name="💰 Budget Tracker" sheetId="7" r:id="rId7"/>
    <sheet name="🎁 Wishlists" sheetId="8" r:id="rId8"/>
    <sheet name="🎲 White Elephant" sheetId="9" r:id="rId9"/>
    <sheet name="🔄 Game History" sheetId="10" r:id="rId10"/>
    <sheet name="🎟️ Santa Cards" sheetId="11" r:id="rId11"/>
    <sheet name="📖 Start Here" sheetId="12" r:id="rId12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oupleRule">'🚫 Exclusions &amp; Rules'!$C$8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GiftNums">OFFSET('🎲 White Elephant'!$D$8,0,0,MAX(1,COUNTA('🎲 White Elephant'!$D$8:$D$31)),1)</definedName>
    <definedName name="LastYearRule">'🚫 Exclusions &amp; Rules'!$C$10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7">'🎁 Wishlists'!$A$1:$G$52</definedName>
    <definedName name="_xlnm.Print_Area" localSheetId="4">'🎅 Secret Santa Draw'!$A$1:$G$42</definedName>
    <definedName name="_xlnm.Print_Area" localSheetId="10">'🎟️ Santa Cards'!$A$1:$I$45</definedName>
    <definedName name="_xlnm.Print_Area" localSheetId="8">'🎲 White Elephant'!$A$1:$L$36</definedName>
    <definedName name="_xlnm.Print_Area" localSheetId="2">'🏠 Dashboard'!$A$1:$N$77</definedName>
    <definedName name="_xlnm.Print_Area" localSheetId="3">'👥 Participants'!$A$1:$J$36</definedName>
    <definedName name="_xlnm.Print_Area" localSheetId="6">'💰 Budget Tracker'!$A$1:$I$37</definedName>
    <definedName name="_xlnm.Print_Area" localSheetId="11">'📖 Start Here'!$A$1:$J$80</definedName>
    <definedName name="_xlnm.Print_Area" localSheetId="9">'🔄 Game History'!$A$1:$F$78</definedName>
    <definedName name="_xlnm.Print_Area" localSheetId="5">'🚫 Exclusions &amp; Rules'!$A$1:$D$44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Rule">'🚫 Exclusions &amp; Rules'!$C$9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<sst xmlns="http://schemas.openxmlformats.org/spreadsheetml/2006/main" count="645" uniqueCount="351">
  <si>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</si>
  <si>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</si>
  <si>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</si>
  <si>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</si>
  <si>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</si>
  <si>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</si>
  <si>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</si>
  <si>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</si>
  <si>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</si>
  <si>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</si>
  <si>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</si>
  <si>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</si>
  <si>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</si>
  <si>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</si>
  <si>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</si>
  <si>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</si>
  <si>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</si>
  <si>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</si>
  <si>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</si>
  <si>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</si>
  <si>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</si>
  <si>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</si>
  <si>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</si>
  <si>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</si>
  <si>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</si>
  <si>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</si>
  <si>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</si>
  <si>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</si>
  <si>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</si>
  <si>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</si>
  <si>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</si>
  <si>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</si>
  <si>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</si>
  <si>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</si>
  <si>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Novality Store Holiday Party</t>
  </si>
  <si>
    <t>Your party name</t>
  </si>
  <si>
    <t>Dashboard message of the day</t>
  </si>
  <si>
    <t>19 Dec - bring a wrapped gift and a stealing face!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</si>
  <si>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</si>
  <si>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</si>
  <si>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</si>
  <si>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</si>
  <si>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</si>
  <si>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</si>
  <si>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</si>
  <si>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Novality Loft, 12 Market Street</t>
  </si>
  <si>
    <t>Where is the party?</t>
  </si>
  <si>
    <t>Host</t>
  </si>
  <si>
    <t>The Novality Team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</si>
  <si>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</si>
  <si>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</si>
  <si>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</si>
  <si>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</si>
  <si>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</si>
  <si>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</si>
  <si>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</si>
  <si>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</si>
  <si>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Final — locked 🔒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</si>
  <si>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</si>
  <si>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</si>
  <si>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</si>
  <si>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</si>
  <si>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</si>
  <si>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</si>
  <si>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</si>
  <si>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</si>
  <si>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</si>
  <si>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</si>
  <si>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</si>
  <si>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</si>
  <si>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</si>
  <si>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</si>
  <si>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</si>
  <si>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</si>
  <si>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</si>
  <si>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</si>
  <si>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</si>
  <si>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</si>
  <si>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</si>
  <si>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</si>
  <si>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</si>
  <si>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</si>
  <si>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</si>
  <si>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</si>
  <si>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</si>
  <si>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</si>
  <si>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</si>
  <si>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</si>
  <si>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</si>
  <si>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</si>
  <si>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</si>
  <si>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</si>
  <si>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</si>
  <si>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</si>
  <si>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</si>
  <si>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Rules</t>
  </si>
  <si>
    <t>Budget</t>
  </si>
  <si>
    <t>Wishlists</t>
  </si>
  <si>
    <t>White Elephant</t>
  </si>
  <si>
    <t>History</t>
  </si>
  <si>
    <t>Cards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</si>
  <si>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</si>
  <si>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</si>
  <si>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</si>
  <si>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</si>
  <si>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</si>
  <si>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</si>
  <si>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</si>
  <si>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</si>
  <si>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</si>
  <si>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</si>
  <si>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</si>
  <si>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</si>
  <si>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</si>
  <si>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</si>
  <si>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</si>
  <si>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</si>
  <si>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</si>
  <si>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</si>
  <si>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</si>
  <si>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</si>
  <si>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</si>
  <si>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</si>
  <si>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</si>
  <si>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</si>
  <si>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</si>
  <si>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</si>
  <si>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</si>
  <si>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</si>
  <si>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</si>
  <si>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</si>
  <si>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</si>
  <si>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</si>
  <si>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</si>
  <si>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</si>
  <si>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</si>
  <si>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</si>
  <si>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</si>
  <si>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</si>
  <si>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</si>
  <si>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Ava Novak</t>
  </si>
  <si>
    <t>Novak home</t>
  </si>
  <si>
    <t>Jack Byrne</t>
  </si>
  <si>
    <t>Hosting helper - arrives early</t>
  </si>
  <si>
    <t>Ben Carter</t>
  </si>
  <si>
    <t>Owes Kia a bet from 2025</t>
  </si>
  <si>
    <t>Chloe Diaz</t>
  </si>
  <si>
    <t>Grace Liu</t>
  </si>
  <si>
    <t>Dan Novak</t>
  </si>
  <si>
    <t>Elena Petrov</t>
  </si>
  <si>
    <t>Ava's husband - couple rule applies</t>
  </si>
  <si>
    <t>Farid Khan</t>
  </si>
  <si>
    <t>Waiting on shift rota</t>
  </si>
  <si>
    <t>Flat 4B</t>
  </si>
  <si>
    <t>Hugo Silva</t>
  </si>
  <si>
    <t>Flat 4B - couple rule applies too</t>
  </si>
  <si>
    <t>Isla Moore</t>
  </si>
  <si>
    <t>Leo Fontaine</t>
  </si>
  <si>
    <t>Away in December - sad face</t>
  </si>
  <si>
    <t>Espresso-machine feud with Leo</t>
  </si>
  <si>
    <t>Kia Osei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</si>
  <si>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</si>
  <si>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</si>
  <si>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</si>
  <si>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</si>
  <si>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</si>
  <si>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</si>
  <si>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</si>
  <si>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</si>
  <si>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🷑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</si>
  <si>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</si>
  <si>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</si>
  <si>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</si>
  <si>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</si>
  <si>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</si>
  <si>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</si>
  <si>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🚫  Exclusions &amp; Rules</t>
  </si>
  <si>
    <t xml:space="preserve">  Switch the house rules on or off and list custom no-pairs - the draw validates itself against all of them.</t>
  </si>
  <si>
    <t xml:space="preserve">  🎛️  HOUSE RULES</t>
  </si>
  <si>
    <t xml:space="preserve">  Couples / households cannot draw each other</t>
  </si>
  <si>
    <t xml:space="preserve">  Same team / department cannot draw each other</t>
  </si>
  <si>
    <t xml:space="preserve">  No repeat of last year's pairing</t>
  </si>
  <si>
    <t xml:space="preserve">  ⛔  (Self-draws are always impossible - the draw is a closed cycle.)</t>
  </si>
  <si>
    <t xml:space="preserve">  ✍️  CUSTOM NO-PAIR RULES</t>
  </si>
  <si>
    <t>This person…</t>
  </si>
  <si>
    <t>…must never draw</t>
  </si>
  <si>
    <t>Why</t>
  </si>
  <si>
    <t>Espresso-machine feud of 2025</t>
  </si>
  <si>
    <t>Last year's regrettable candle</t>
  </si>
  <si>
    <t>📐  HOW VALIDATION WORKS</t>
  </si>
  <si>
    <t>Every rule you arm here is checked live on the 🎅 Secret Santa Draw tab - any offending pair shows exactly which rule it breaks (Self / Couple / Team / LastYear / Custom).
Fix a flagged pair with a manual override on the Draw tab, or re-draw with a new seed until the board is clean.</t>
  </si>
  <si>
    <t>▶ Rules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</si>
  <si>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</si>
  <si>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</si>
  <si>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</si>
  <si>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</si>
  <si>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</si>
  <si>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</si>
  <si>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</si>
  <si>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</si>
  <si>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</si>
  <si>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NV-88121</t>
  </si>
  <si>
    <t>AMZ-4071</t>
  </si>
  <si>
    <t>ETS-2210</t>
  </si>
  <si>
    <t>NV-88203</t>
  </si>
  <si>
    <t>AMZ-4188</t>
  </si>
  <si>
    <t>ETS-2355</t>
  </si>
  <si>
    <t>TOTALS</t>
  </si>
  <si>
    <t>▶ Budget</t>
  </si>
  <si>
    <t>🎁  Wishlists</t>
  </si>
  <si>
    <t xml:space="preserve">  Ideas each participant dropped - tick Claimed once their Santa commits (no names shown, no spoilers).</t>
  </si>
  <si>
    <t>Wish</t>
  </si>
  <si>
    <t>Priority</t>
  </si>
  <si>
    <t>Link / shop</t>
  </si>
  <si>
    <t>Claimed</t>
  </si>
  <si>
    <t>Chunky knit throw blanket</t>
  </si>
  <si>
    <t>https://example.com/throw</t>
  </si>
  <si>
    <t>Any colour but grey</t>
  </si>
  <si>
    <t>Ceramic mug tree</t>
  </si>
  <si>
    <t>Single-origin coffee beans 1kg</t>
  </si>
  <si>
    <t>https://example.com/beans</t>
  </si>
  <si>
    <t>No dark roasts</t>
  </si>
  <si>
    <t>Vegan candle trio</t>
  </si>
  <si>
    <t>Linen tea towel set</t>
  </si>
  <si>
    <t>Whisky tasting set</t>
  </si>
  <si>
    <t>https://example.com/whisky</t>
  </si>
  <si>
    <t>Peated, please</t>
  </si>
  <si>
    <t>Gluten-free chocolate box</t>
  </si>
  <si>
    <t>Desk plant (low light)</t>
  </si>
  <si>
    <t>Silk scrunchie set</t>
  </si>
  <si>
    <t>Matcha ceremony kit</t>
  </si>
  <si>
    <t>https://example.com/matcha</t>
  </si>
  <si>
    <t>Vinyl: jazz classics</t>
  </si>
  <si>
    <t>Espresso tamp mat</t>
  </si>
  <si>
    <t>Obvious reasons</t>
  </si>
  <si>
    <t>Botanical print A4</t>
  </si>
  <si>
    <t>Sourdough starter kit</t>
  </si>
  <si>
    <t>Wooden bread lame</t>
  </si>
  <si>
    <t>Travel journal</t>
  </si>
  <si>
    <t>▶ Wishlists</t>
  </si>
  <si>
    <t>🎲  White Elephant</t>
  </si>
  <si>
    <t xml:space="preserve">  Seats and gift numbers shuffle from the seed; holders, steal counts and locks follow 🔄 Game History.</t>
  </si>
  <si>
    <t>Seat</t>
  </si>
  <si>
    <t>Player</t>
  </si>
  <si>
    <t>Gift #</t>
  </si>
  <si>
    <t>Gift description</t>
  </si>
  <si>
    <t>Gift value</t>
  </si>
  <si>
    <t>Steals</t>
  </si>
  <si>
    <t>Current holder</t>
  </si>
  <si>
    <t>Last stolen from</t>
  </si>
  <si>
    <t>Final?</t>
  </si>
  <si>
    <t>Giant pickle plushie</t>
  </si>
  <si>
    <t>Disco-ball bauble set</t>
  </si>
  <si>
    <t>Mystery sealed box</t>
  </si>
  <si>
    <t>Heated mug coaster</t>
  </si>
  <si>
    <t>Llama Christmas jumper</t>
  </si>
  <si>
    <t>Singing fish plaque</t>
  </si>
  <si>
    <t>Fancy hot chocolate tin</t>
  </si>
  <si>
    <t>Desktop zen garden</t>
  </si>
  <si>
    <t>Reindeer antler headband</t>
  </si>
  <si>
    <t>Marble cheese board</t>
  </si>
  <si>
    <t xml:space="preserve">  💡  House rule: one turn per seat per round; if your gift was stolen, pick again on your next round turn.  A gift locks at max steals.</t>
  </si>
  <si>
    <t>▶ White Elephant</t>
  </si>
  <si>
    <t>🔄  Game History</t>
  </si>
  <si>
    <t xml:space="preserve">  Log every Pick, Steal and Pass in order - the White Elephant tab reads this log live.</t>
  </si>
  <si>
    <t>Turn</t>
  </si>
  <si>
    <t>Action</t>
  </si>
  <si>
    <t>Stolen from</t>
  </si>
  <si>
    <t>📖  LOGGING THE GAME</t>
  </si>
  <si>
    <t>Turn numbers run 1, 2, 3… in seat order each round; extra rounds continue the count.
On a Steal row, always say who the gift was stolen from - the “last stolen from” column on the game tab reads it.
A gift reaches 🔒 Final automatically once its steal count hits the max set on ⚙️ Settings.</t>
  </si>
  <si>
    <t>▶ History</t>
  </si>
  <si>
    <t>🎟️  Santa Cards</t>
  </si>
  <si>
    <t xml:space="preserve">  Print this tab, cut along the cards, hand one to each guest - their recipient stays secret until then.</t>
  </si>
  <si>
    <t xml:space="preserve">  🎅  SECRET SANTA CARD  •  1</t>
  </si>
  <si>
    <t>you are secretly drawing…</t>
  </si>
  <si>
    <t xml:space="preserve">  🎅  SECRET SANTA CARD  •  2</t>
  </si>
  <si>
    <t xml:space="preserve">  🎅  SECRET SANTA CARD  •  3</t>
  </si>
  <si>
    <t xml:space="preserve">  🎅  SECRET SANTA CARD  •  4</t>
  </si>
  <si>
    <t xml:space="preserve">  🎅  SECRET SANTA CARD  •  5</t>
  </si>
  <si>
    <t xml:space="preserve">  🎅  SECRET SANTA CARD  •  6</t>
  </si>
  <si>
    <t xml:space="preserve">  🎅  SECRET SANTA CARD  •  7</t>
  </si>
  <si>
    <t xml:space="preserve">  🎅  SECRET SANTA CARD  •  8</t>
  </si>
  <si>
    <t xml:space="preserve">  ✂️  Print landscape, cut along the borders, fold once - secret inside.</t>
  </si>
  <si>
    <t>▶ Cards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</si>
  <si>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</si>
  <si>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</si>
  <si>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</si>
  <si>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</si>
  <si>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</si>
  <si>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</si>
  <si>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</si>
  <si>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</si>
  <si>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</si>
  <si>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</si>
  <si>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</si>
  <si>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</si>
  <si>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</si>
  <si>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</si>
  <si>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</si>
  <si>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</si>
  <si>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</si>
  <si>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</si>
  <si>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</si>
  <si>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</si>
  <si>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</si>
  <si>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</si>
  <si>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</si>
  <si>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</si>
  <si>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</si>
  <si>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</si>
  <si>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</si>
  <si>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</si>
  <si>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</si>
  <si>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</si>
  <si>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</si>
  <si>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</si>
  <si>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</si>
  <si>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</si>
  <si>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</si>
  <si>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</si>
  <si>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</si>
  <si>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</si>
  <si>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</si>
  <si>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</si>
  <si>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</si>
  <si>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WORKING CATERERS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</si>
  <si>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</si>
  <si>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</si>
  <si>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</si>
  <si>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</si>
  <si>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</si>
  <si>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</si>
  <si>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</si>
  <si>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</si>
  <si>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</si>
  <si>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</si>
  <si>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</si>
  <si>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</si>
  <si>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</si>
  <si>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</si>
  <si>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</si>
  <si>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</si>
  <si>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</si>
  <si>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</si>
  <si>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</si>
  <si>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</si>
  <si>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</si>
  <si>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 &amp; GOOD WISHES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</si>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</sst>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4" formatCode="#,##0"/>
    <numFmt numFmtId="164" formatCode="#,##0"/>
    <numFmt numFmtId="167" formatCode="dd mmm yyyy"/>
    <numFmt numFmtId="165" formatCode="#,##0.00"/>
    <numFmt numFmtId="164" formatCode="#,##0"/>
    <numFmt numFmtId="164" formatCode="#,##0"/>
    <numFmt numFmtId="165" formatCode="#,##0.00"/>
    <numFmt numFmtId="165" formatCode="#,##0.00"/>
    <numFmt numFmtId="165" formatCode="#,##0.00"/>
    <numFmt numFmtId="165" formatCode="#,##0.00"/>
    <numFmt numFmtId="164" formatCode="#,##0"/>
    <numFmt numFmtId="164" formatCode="#,##0"/>
    <numFmt numFmtId="164" formatCode="#,##0"/>
    <numFmt numFmtId="164" formatCode="#,##0"/>
  </numFmts>
  <fonts count="48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1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3"/>
      <color rgb="FF33221E"/>
      <name val="Calibri"/>
      <family val="2"/>
      <scheme val="minor"/>
    </font>
    <font>
      <i/>
      <sz val="9"/>
      <color rgb="FF9A8474"/>
      <name val="Calibri"/>
      <family val="2"/>
      <scheme val="minor"/>
    </font>
    <font>
      <b/>
      <sz val="14"/>
      <color rgb="FF1F5C40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5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28" fillId="14" borderId="10" xfId="0" applyFont="1" applyFill="1" applyBorder="1" applyAlignment="1">
      <alignment horizontal="left" vertical="center"/>
    </xf>
    <xf numFmtId="0" fontId="29" fillId="15" borderId="11" xfId="0" applyFont="1" applyFill="1" applyBorder="1" applyAlignment="1">
      <alignment horizontal="left" vertical="center"/>
    </xf>
    <xf numFmtId="0" fontId="30" fillId="6" borderId="12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6" borderId="13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6" borderId="3" xfId="0" applyFont="1" applyFill="1" applyBorder="1" applyAlignment="1" applyProtection="1">
      <alignment horizontal="center" vertical="center"/>
      <protection locked="0"/>
    </xf>
    <xf numFmtId="0" fontId="38" fillId="17" borderId="14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0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0" fillId="7" borderId="4" xfId="0" applyNumberFormat="1" applyFont="1" applyFill="1" applyBorder="1" applyAlignment="1">
      <alignment horizontal="right" vertical="center"/>
    </xf>
    <xf numFmtId="0" fontId="41" fillId="8" borderId="2" xfId="0" applyFont="1" applyFill="1" applyBorder="1" applyAlignment="1" applyProtection="1">
      <alignment horizontal="left" vertical="center"/>
      <protection locked="0"/>
    </xf>
    <xf numFmtId="0" fontId="41" fillId="5" borderId="2" xfId="0" applyFont="1" applyFill="1" applyBorder="1" applyAlignment="1" applyProtection="1">
      <alignment horizontal="left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24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right" vertical="center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11" fillId="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43" fillId="5" borderId="3" xfId="0" applyFont="1" applyFill="1" applyBorder="1" applyAlignment="1">
      <alignment horizontal="center" vertical="center"/>
    </xf>
    <xf numFmtId="0" fontId="44" fillId="1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45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7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  <dxf>
      <font>
        <b/>
        <color rgb="FF9A8474"/>
      </font>
      <fill>
        <patternFill>
          <bgColor rgb="FFFFFFFF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8C1D2C"/>
      </font>
      <fill>
        <patternFill>
          <bgColor rgb="FFF6ED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👥 Participants!$B$8:$B$31</c:f>
              <c:strCache>
                <c:ptCount val="24"/>
                <c:pt idx="0">
                  <c:v>Ava Novak</c:v>
                </c:pt>
                <c:pt idx="1">
                  <c:v>Ben Carter</c:v>
                </c:pt>
                <c:pt idx="2">
                  <c:v>Chloe Diaz</c:v>
                </c:pt>
                <c:pt idx="3">
                  <c:v>Dan Novak</c:v>
                </c:pt>
                <c:pt idx="4">
                  <c:v>Elena Petrov</c:v>
                </c:pt>
                <c:pt idx="5">
                  <c:v>Farid Khan</c:v>
                </c:pt>
                <c:pt idx="6">
                  <c:v>Grace Liu</c:v>
                </c:pt>
                <c:pt idx="7">
                  <c:v>Hugo Silva</c:v>
                </c:pt>
                <c:pt idx="8">
                  <c:v>Isla Moore</c:v>
                </c:pt>
                <c:pt idx="9">
                  <c:v>Jack Byrne</c:v>
                </c:pt>
                <c:pt idx="10">
                  <c:v>Kia Osei</c:v>
                </c:pt>
                <c:pt idx="11">
                  <c:v>Leo Fontaine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💰 Budget Tracker!$E$8:$E$31</c:f>
              <c:numCache>
                <c:formatCode>General</c:formatCode>
                <c:ptCount val="24"/>
                <c:pt idx="0">
                  <c:v>32.5</c:v>
                </c:pt>
                <c:pt idx="1">
                  <c:v>24</c:v>
                </c:pt>
                <c:pt idx="2">
                  <c:v>28.75</c:v>
                </c:pt>
                <c:pt idx="3">
                  <c:v>31.2</c:v>
                </c:pt>
                <c:pt idx="4">
                  <c:v>18</c:v>
                </c:pt>
                <c:pt idx="5">
                  <c:v>26.4</c:v>
                </c:pt>
                <c:pt idx="6">
                  <c:v>33.1</c:v>
                </c:pt>
                <c:pt idx="7">
                  <c:v>42</c:v>
                </c:pt>
                <c:pt idx="8">
                  <c:v>0</c:v>
                </c:pt>
                <c:pt idx="9">
                  <c:v>29.95</c:v>
                </c:pt>
                <c:pt idx="10">
                  <c:v>27.3</c:v>
                </c:pt>
                <c:pt idx="11">
                  <c:v>25.6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_Data!$AH$40:$AH$43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_Data!$AI$40:$AI$43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Steals per gift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Steals</c:v>
          </c:tx>
          <c:spPr>
            <a:solidFill>
              <a:srgbClr val="1F5C40"/>
            </a:solidFill>
          </c:spPr>
          <c:cat>
            <c:strRef>
              <c:f>🎲 White Elephant!$D$8:$D$31</c:f>
              <c:strCach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8">
                  <c:v>10</c:v>
                </c:pt>
                <c:pt idx="9">
                  <c:v>6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🎲 White Elephant!$G$8:$G$31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values brought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B98A2E"/>
            </a:solidFill>
          </c:spPr>
          <c:cat>
            <c:strRef>
              <c:f>🎲 White Elephant!$D$8:$D$31</c:f>
              <c:strCach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8">
                  <c:v>10</c:v>
                </c:pt>
                <c:pt idx="9">
                  <c:v>6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🎲 White Elephant!$F$8:$F$31</c:f>
              <c:numCache>
                <c:formatCode>General</c:formatCode>
                <c:ptCount val="24"/>
                <c:pt idx="0">
                  <c:v>12</c:v>
                </c:pt>
                <c:pt idx="1">
                  <c:v>15.5</c:v>
                </c:pt>
                <c:pt idx="2">
                  <c:v>20</c:v>
                </c:pt>
                <c:pt idx="3">
                  <c:v>18.25</c:v>
                </c:pt>
                <c:pt idx="4">
                  <c:v>22</c:v>
                </c:pt>
                <c:pt idx="5">
                  <c:v>14.75</c:v>
                </c:pt>
                <c:pt idx="6">
                  <c:v>16.4</c:v>
                </c:pt>
                <c:pt idx="7">
                  <c:v>19.9</c:v>
                </c:pt>
                <c:pt idx="8">
                  <c:v>11.3</c:v>
                </c:pt>
                <c:pt idx="9">
                  <c:v>24.5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819150</xdr:colOff>
      <xdr:row>44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throw" TargetMode="External"/><Relationship Id="rId2" Type="http://schemas.openxmlformats.org/officeDocument/2006/relationships/hyperlink" Target="https://example.com/beans" TargetMode="External"/><Relationship Id="rId3" Type="http://schemas.openxmlformats.org/officeDocument/2006/relationships/hyperlink" Target="https://example.com/whisky" TargetMode="External"/><Relationship Id="rId4" Type="http://schemas.openxmlformats.org/officeDocument/2006/relationships/hyperlink" Target="https://example.com/matcha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12</v>
      </c>
    </row>
    <row r="3" spans="34:35">
      <c r="AH3" s="2" t="s">
        <v>21</v>
      </c>
      <c r="AI3" s="3">
        <f>COUNTIF('👥 Participants'!$E$8:$E$31,"Yes")</f>
        <v>10</v>
      </c>
    </row>
    <row r="4" spans="34:35">
      <c r="AH4" s="2" t="s">
        <v>20</v>
      </c>
      <c r="AI4" s="3">
        <f>COUNTIF('👥 Participants'!$E$8:$E$31,"Maybe")</f>
        <v>1</v>
      </c>
    </row>
    <row r="5" spans="34:35">
      <c r="AH5" s="2" t="s">
        <v>9</v>
      </c>
      <c r="AI5" s="3">
        <f>SUMPRODUCT(--('🎅 Secret Santa Draw'!$E$8:$E$31&lt;&gt;""))</f>
        <v>12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10</v>
      </c>
    </row>
    <row r="7" spans="34:35">
      <c r="AH7" s="2" t="s">
        <v>28</v>
      </c>
      <c r="AI7" s="3">
        <f>COUNTIF('👥 Participants'!$H$8:$H$31,"Wrapped")+COUNTIF('👥 Participants'!$H$8:$H$31,"Complete")</f>
        <v>5</v>
      </c>
    </row>
    <row r="8" spans="34:35">
      <c r="AH8" s="2" t="s">
        <v>11</v>
      </c>
      <c r="AI8" s="3">
        <f>COUNTIF('👥 Participants'!$H$8:$H$31,"Complete")</f>
        <v>2</v>
      </c>
    </row>
    <row r="9" spans="34:35">
      <c r="AH9" s="2" t="s">
        <v>24</v>
      </c>
      <c r="AI9" s="4">
        <f>$AI$2*BudgetMax</f>
        <v>420.0</v>
      </c>
    </row>
    <row r="10" spans="34:35">
      <c r="AH10" s="2" t="s">
        <v>23</v>
      </c>
      <c r="AI10" s="4">
        <f>SUM('💰 Budget Tracker'!$E$8:$E$31)</f>
        <v>318.8</v>
      </c>
    </row>
    <row r="11" spans="34:35">
      <c r="AH11" s="2" t="s">
        <v>10</v>
      </c>
      <c r="AI11" s="4">
        <f>IFERROR($AI$10/$AI$6,0)</f>
        <v>31.880000000000003</v>
      </c>
    </row>
    <row r="12" spans="34:35">
      <c r="AH12" s="2" t="s">
        <v>22</v>
      </c>
      <c r="AI12" s="3">
        <f>(CoupleRule="On")+(TeamRule="On")+(LastYearRule="On")+SUMPRODUCT(--('🚫 Exclusions &amp; Rules'!$B$8:$B$23&lt;&gt;""))</f>
        <v>4</v>
      </c>
    </row>
    <row r="13" spans="34:35">
      <c r="AH13" s="2" t="s">
        <v>27</v>
      </c>
      <c r="AI13" s="3">
        <f>COUNTA('🎲 White Elephant'!$C$8:$C$31)</f>
        <v>10</v>
      </c>
    </row>
    <row r="14" spans="34:35">
      <c r="AH14" s="2" t="s">
        <v>15</v>
      </c>
      <c r="AI14" s="3">
        <f>COUNTIF('🎲 White Elephant'!$I$8:$I$31,"🤲 Held")+COUNTIF('🎲 White Elephant'!$I$8:$I$31,"🔄 Stolen")</f>
        <v>7</v>
      </c>
    </row>
    <row r="15" spans="34:35">
      <c r="AH15" s="2" t="s">
        <v>16</v>
      </c>
      <c r="AI15" s="3">
        <f>COUNTIF('🎲 White Elephant'!$I$8:$I$31,"🔒 Final")</f>
        <v>1</v>
      </c>
    </row>
    <row r="16" spans="34:35">
      <c r="AH16" s="2" t="s">
        <v>12</v>
      </c>
      <c r="AI16" s="5">
        <f>IFERROR(($AI$6+$AI$7+$AI$8)/(3*$AI$2),0)</f>
        <v>0.4722222222222222</v>
      </c>
    </row>
    <row r="17" spans="34:35">
      <c r="AH17" s="2" t="s">
        <v>25</v>
      </c>
      <c r="AI17" s="3">
        <f>COUNT('🔄 Game History'!$B$8:$B$67)</f>
        <v>14</v>
      </c>
    </row>
    <row r="18" spans="34:35">
      <c r="AH18" s="2" t="s">
        <v>13</v>
      </c>
      <c r="AI18" s="3">
        <f>IF($AI$13=0,"",MOD(StartPlayer-1+$AI$17,$AI$13)+1)</f>
        <v>5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1</v>
      </c>
    </row>
    <row r="21" spans="34:35">
      <c r="AH21" s="2" t="s">
        <v>14</v>
      </c>
      <c r="AI21" s="3">
        <f>COUNTA('👥 Participants'!$F$8:$F$31)</f>
        <v>6</v>
      </c>
    </row>
    <row r="40" spans="34:35">
      <c r="AH40" s="6" t="s">
        <v>2</v>
      </c>
      <c r="AI40" s="7">
        <f>COUNTIF('👥 Participants'!$H$8:$H$31,"Not Started")</f>
        <v>2</v>
      </c>
    </row>
    <row r="41" spans="34:35">
      <c r="AH41" s="6" t="s">
        <v>3</v>
      </c>
      <c r="AI41" s="7">
        <f>COUNTIF('👥 Participants'!$H$8:$H$31,"Gift Purchased")</f>
        <v>5</v>
      </c>
    </row>
    <row r="42" spans="34:35">
      <c r="AH42" s="6" t="s">
        <v>4</v>
      </c>
      <c r="AI42" s="7">
        <f>COUNTIF('👥 Participants'!$H$8:$H$31,"Wrapped")</f>
        <v>3</v>
      </c>
    </row>
    <row r="43" spans="34:35">
      <c r="AH43" s="6" t="s">
        <v>5</v>
      </c>
      <c r="AI43" s="7">
        <f>COUNTIF('👥 Participants'!$H$8:$H$31,"Complete")</f>
        <v>2</v>
      </c>
    </row>
    <row r="45" spans="34:35">
      <c r="AH45" s="6" t="s">
        <v>6</v>
      </c>
      <c r="AI45" s="7">
        <f>COUNTIF('👥 Participants'!$E$8:$E$31,"Yes")</f>
        <v>10</v>
      </c>
    </row>
    <row r="46" spans="34:35">
      <c r="AH46" s="6" t="s">
        <v>7</v>
      </c>
      <c r="AI46" s="7">
        <f>COUNTIF('👥 Participants'!$E$8:$E$31,"No")</f>
        <v>1</v>
      </c>
    </row>
    <row r="47" spans="34:35">
      <c r="AH47" s="6" t="s">
        <v>8</v>
      </c>
      <c r="AI47" s="7">
        <f>COUNTIF('👥 Participants'!$E$8:$E$31,"Maybe")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H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ht="7" customHeight="1">
      <c r="A1" s="8"/>
      <c r="B1" s="8"/>
      <c r="C1" s="8"/>
      <c r="D1" s="8"/>
      <c r="E1" s="8"/>
      <c r="F1" s="8"/>
      <c r="G1" s="8"/>
      <c r="H1" s="8"/>
    </row>
    <row r="2" spans="1:8" ht="32" customHeight="1">
      <c r="A2" s="8"/>
      <c r="B2" s="8"/>
      <c r="C2" s="8"/>
      <c r="D2" s="8"/>
      <c r="E2" s="8"/>
      <c r="F2" s="8"/>
      <c r="G2" s="8"/>
      <c r="H2" s="8"/>
    </row>
    <row r="3" spans="1:8" ht="18" customHeight="1">
      <c r="A3" s="8"/>
      <c r="B3" s="8"/>
      <c r="C3" s="8"/>
      <c r="D3" s="8"/>
      <c r="E3" s="8"/>
      <c r="F3" s="8"/>
      <c r="G3" s="8"/>
      <c r="H3" s="8"/>
    </row>
    <row r="4" spans="1:8" ht="8" customHeight="1">
      <c r="A4" s="8"/>
      <c r="B4" s="9" t="s">
        <v>32</v>
      </c>
      <c r="C4" s="9"/>
      <c r="D4" s="9"/>
      <c r="E4" s="9"/>
      <c r="F4" s="9"/>
      <c r="G4" s="9"/>
      <c r="H4" s="9"/>
    </row>
    <row r="5" spans="1:8" ht="22" customHeight="1">
      <c r="A5" s="8"/>
      <c r="B5" s="8"/>
      <c r="C5" s="8"/>
      <c r="D5" s="8"/>
      <c r="E5" s="8"/>
      <c r="F5" s="8"/>
      <c r="G5" s="8"/>
      <c r="H5" s="8"/>
    </row>
    <row r="6" spans="1:8" ht="22" customHeight="1">
      <c r="A6" s="8"/>
      <c r="B6" s="10" t="s">
        <v>33</v>
      </c>
      <c r="C6" s="11" t="s">
        <v>35</v>
      </c>
      <c r="D6" s="8"/>
      <c r="E6" s="8"/>
      <c r="F6" s="8"/>
      <c r="G6" s="8"/>
      <c r="H6" s="8"/>
    </row>
    <row r="7" spans="1:8" ht="22" customHeight="1">
      <c r="A7" s="8"/>
      <c r="B7" s="10" t="s">
        <v>36</v>
      </c>
      <c r="C7" s="11" t="s">
        <v>38</v>
      </c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9" t="s">
        <v>39</v>
      </c>
      <c r="C9" s="9"/>
      <c r="D9" s="9"/>
      <c r="E9" s="9"/>
      <c r="F9" s="9"/>
      <c r="G9" s="9"/>
      <c r="H9" s="9"/>
    </row>
    <row r="10" spans="1:8" ht="22" customHeight="1">
      <c r="A10" s="8"/>
      <c r="B10" s="10" t="s">
        <v>40</v>
      </c>
      <c r="C10" s="12" t="s">
        <v>41</v>
      </c>
      <c r="D10" s="8"/>
      <c r="E10" s="8"/>
      <c r="F10" s="8"/>
      <c r="G10" s="8"/>
      <c r="H10" s="8"/>
    </row>
    <row r="11" spans="1:8" ht="22" customHeight="1">
      <c r="A11" s="8"/>
      <c r="B11" s="10" t="s">
        <v>42</v>
      </c>
      <c r="C11" s="13">
        <v>2026</v>
      </c>
      <c r="D11" s="8"/>
      <c r="E11" s="8"/>
      <c r="F11" s="8"/>
      <c r="G11" s="8"/>
      <c r="H11" s="8"/>
    </row>
    <row r="12" spans="1:8" ht="22" customHeight="1">
      <c r="A12" s="8"/>
      <c r="B12" s="10" t="s">
        <v>43</v>
      </c>
      <c r="C12" s="14">
        <v>46375</v>
      </c>
      <c r="D12" s="8"/>
      <c r="E12" s="8"/>
      <c r="F12" s="8"/>
      <c r="G12" s="8"/>
      <c r="H12" s="8"/>
    </row>
    <row r="13" spans="1:8" ht="22" customHeight="1">
      <c r="A13" s="8"/>
      <c r="B13" s="10" t="s">
        <v>44</v>
      </c>
      <c r="C13" s="12" t="s">
        <v>46</v>
      </c>
      <c r="D13" s="8"/>
      <c r="E13" s="8"/>
      <c r="F13" s="8"/>
      <c r="G13" s="8"/>
      <c r="H13" s="8"/>
    </row>
    <row r="14" spans="1:8" ht="22" customHeight="1">
      <c r="A14" s="8"/>
      <c r="B14" s="10" t="s">
        <v>47</v>
      </c>
      <c r="C14" s="12" t="s">
        <v>49</v>
      </c>
      <c r="D14" s="8"/>
      <c r="E14" s="8"/>
      <c r="F14" s="8"/>
      <c r="G14" s="8"/>
      <c r="H14" s="8"/>
    </row>
    <row r="15" spans="1:8" ht="22" customHeight="1">
      <c r="A15" s="8"/>
      <c r="B15" s="10" t="s">
        <v>50</v>
      </c>
      <c r="C15" s="15">
        <v>20</v>
      </c>
      <c r="D15" s="8"/>
      <c r="E15" s="8"/>
      <c r="F15" s="8"/>
      <c r="G15" s="8"/>
      <c r="H15" s="8"/>
    </row>
    <row r="16" spans="1:8" ht="22" customHeight="1">
      <c r="A16" s="8"/>
      <c r="B16" s="10" t="s">
        <v>51</v>
      </c>
      <c r="C16" s="15">
        <v>35</v>
      </c>
      <c r="D16" s="8"/>
      <c r="E16" s="8"/>
      <c r="F16" s="8"/>
      <c r="G16" s="8"/>
      <c r="H16" s="8"/>
    </row>
    <row r="17" spans="1:8" ht="22" customHeight="1">
      <c r="A17" s="8"/>
      <c r="B17" s="10" t="s">
        <v>52</v>
      </c>
      <c r="C17" s="13">
        <v>2</v>
      </c>
      <c r="D17" s="8"/>
      <c r="E17" s="8"/>
      <c r="F17" s="8"/>
      <c r="G17" s="8"/>
      <c r="H17" s="8"/>
    </row>
    <row r="18" spans="1:8" ht="22" customHeight="1">
      <c r="A18" s="8"/>
      <c r="B18" s="10" t="s">
        <v>53</v>
      </c>
      <c r="C18" s="13">
        <v>1</v>
      </c>
      <c r="D18" s="8"/>
      <c r="E18" s="8"/>
      <c r="F18" s="8"/>
      <c r="G18" s="8"/>
      <c r="H18" s="8"/>
    </row>
    <row r="19" spans="1:8" ht="22" customHeight="1">
      <c r="A19" s="8"/>
      <c r="B19" s="10" t="s">
        <v>54</v>
      </c>
      <c r="C19" s="13">
        <v>5</v>
      </c>
      <c r="D19" s="8"/>
      <c r="E19" s="8"/>
      <c r="F19" s="8"/>
      <c r="G19" s="8"/>
      <c r="H19" s="8"/>
    </row>
    <row r="20" spans="1:8" ht="22" customHeight="1">
      <c r="A20" s="8"/>
      <c r="B20" s="10" t="s">
        <v>55</v>
      </c>
      <c r="C20" s="13">
        <v>7</v>
      </c>
      <c r="D20" s="8"/>
      <c r="E20" s="8"/>
      <c r="F20" s="8"/>
      <c r="G20" s="8"/>
      <c r="H20" s="8"/>
    </row>
    <row r="21" spans="1:8" ht="22" customHeight="1">
      <c r="A21" s="8"/>
      <c r="B21" s="10" t="s">
        <v>56</v>
      </c>
      <c r="C21" s="11" t="s">
        <v>58</v>
      </c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0" customHeight="1">
      <c r="A25" s="8"/>
      <c r="B25" s="9" t="s">
        <v>59</v>
      </c>
      <c r="C25" s="9"/>
      <c r="D25" s="9"/>
      <c r="E25" s="9"/>
      <c r="F25" s="9"/>
      <c r="G25" s="9"/>
      <c r="H25" s="9"/>
    </row>
    <row r="26" spans="1:8" ht="18" customHeight="1">
      <c r="A26" s="8"/>
      <c r="B26" s="8"/>
      <c r="C26" s="16" t="s">
        <v>62</v>
      </c>
      <c r="D26" s="16" t="s">
        <v>63</v>
      </c>
      <c r="E26" s="8"/>
      <c r="F26" s="8"/>
      <c r="G26" s="8"/>
      <c r="H26" s="8"/>
    </row>
    <row r="27" spans="1:8" ht="18" customHeight="1">
      <c r="A27" s="8"/>
      <c r="B27" s="8"/>
      <c r="C27" s="16" t="s">
        <v>64</v>
      </c>
      <c r="D27" s="16" t="s">
        <v>65</v>
      </c>
      <c r="E27" s="8"/>
      <c r="F27" s="8"/>
      <c r="G27" s="8"/>
      <c r="H27" s="8"/>
    </row>
    <row r="28" spans="1:8" ht="18" customHeight="1">
      <c r="A28" s="8"/>
      <c r="B28" s="8"/>
      <c r="C28" s="16" t="s">
        <v>66</v>
      </c>
      <c r="D28" s="16" t="s">
        <v>67</v>
      </c>
      <c r="E28" s="8"/>
      <c r="F28" s="8"/>
      <c r="G28" s="8"/>
      <c r="H28" s="8"/>
    </row>
    <row r="29" spans="1:8" ht="18" customHeight="1">
      <c r="A29" s="8"/>
      <c r="B29" s="8"/>
      <c r="C29" s="16" t="s">
        <v>68</v>
      </c>
      <c r="D29" s="16" t="s">
        <v>69</v>
      </c>
      <c r="E29" s="8"/>
      <c r="F29" s="8"/>
      <c r="G29" s="8"/>
      <c r="H29" s="8"/>
    </row>
    <row r="30" spans="1:8" ht="18" customHeight="1">
      <c r="A30" s="8"/>
      <c r="B30" s="8"/>
      <c r="C30" s="16" t="s">
        <v>70</v>
      </c>
      <c r="D30" s="16" t="s">
        <v>71</v>
      </c>
      <c r="E30" s="8"/>
      <c r="F30" s="8"/>
      <c r="G30" s="8"/>
      <c r="H30" s="8"/>
    </row>
    <row r="31" spans="1:8" ht="18" customHeight="1">
      <c r="A31" s="8"/>
      <c r="B31" s="8"/>
      <c r="C31" s="16"/>
      <c r="D31" s="16"/>
      <c r="E31" s="8"/>
      <c r="F31" s="8"/>
      <c r="G31" s="8"/>
      <c r="H31" s="8"/>
    </row>
    <row r="32" spans="1:8" ht="18" customHeight="1">
      <c r="A32" s="8"/>
      <c r="B32" s="8"/>
      <c r="C32" s="16"/>
      <c r="D32" s="16"/>
      <c r="E32" s="8"/>
      <c r="F32" s="8"/>
      <c r="G32" s="8"/>
      <c r="H32" s="8"/>
    </row>
    <row r="33" spans="1:8" ht="18" customHeight="1">
      <c r="A33" s="8"/>
      <c r="B33" s="8"/>
      <c r="C33" s="16"/>
      <c r="D33" s="16"/>
      <c r="E33" s="8"/>
      <c r="F33" s="8"/>
      <c r="G33" s="8"/>
      <c r="H33" s="8"/>
    </row>
    <row r="34" spans="1:8" ht="18" customHeight="1">
      <c r="A34" s="8"/>
      <c r="B34" s="8"/>
      <c r="C34" s="16"/>
      <c r="D34" s="16"/>
      <c r="E34" s="8"/>
      <c r="F34" s="8"/>
      <c r="G34" s="8"/>
      <c r="H34" s="8"/>
    </row>
    <row r="35" spans="1:8" ht="18" customHeight="1">
      <c r="A35" s="8"/>
      <c r="B35" s="8"/>
      <c r="C35" s="16"/>
      <c r="D35" s="16"/>
      <c r="E35" s="8"/>
      <c r="F35" s="8"/>
      <c r="G35" s="8"/>
      <c r="H35" s="8"/>
    </row>
    <row r="36" spans="1:8" ht="18" customHeight="1">
      <c r="A36" s="8"/>
      <c r="B36" s="8"/>
      <c r="C36" s="16"/>
      <c r="D36" s="16"/>
      <c r="E36" s="8"/>
      <c r="F36" s="8"/>
      <c r="G36" s="8"/>
      <c r="H36" s="8"/>
    </row>
    <row r="37" spans="1:8" ht="18" customHeight="1">
      <c r="A37" s="8"/>
      <c r="B37" s="8"/>
      <c r="C37" s="16"/>
      <c r="D37" s="16"/>
      <c r="E37" s="8"/>
      <c r="F37" s="8"/>
      <c r="G37" s="8"/>
      <c r="H37" s="8"/>
    </row>
    <row r="38" spans="1:8" ht="18" customHeight="1">
      <c r="A38" s="8"/>
      <c r="B38" s="8"/>
      <c r="C38" s="16"/>
      <c r="D38" s="16"/>
      <c r="E38" s="8"/>
      <c r="F38" s="8"/>
      <c r="G38" s="8"/>
      <c r="H38" s="8"/>
    </row>
    <row r="39" spans="1:8" ht="18" customHeight="1">
      <c r="A39" s="8"/>
      <c r="B39" s="8"/>
      <c r="C39" s="16"/>
      <c r="D39" s="16"/>
      <c r="E39" s="8"/>
      <c r="F39" s="8"/>
      <c r="G39" s="8"/>
      <c r="H39" s="8"/>
    </row>
    <row r="40" spans="1:8" ht="18" customHeight="1">
      <c r="A40" s="8"/>
      <c r="B40" s="8"/>
      <c r="C40" s="16"/>
      <c r="D40" s="16"/>
      <c r="E40" s="8"/>
      <c r="F40" s="8"/>
      <c r="G40" s="8"/>
      <c r="H40" s="8"/>
    </row>
    <row r="41" spans="1:8" ht="18" customHeight="1">
      <c r="A41" s="8"/>
      <c r="B41" s="8"/>
      <c r="C41" s="16"/>
      <c r="D41" s="16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9" t="s">
        <v>72</v>
      </c>
      <c r="C44" s="9"/>
      <c r="D44" s="9"/>
      <c r="E44" s="9"/>
      <c r="F44" s="9"/>
      <c r="G44" s="9"/>
      <c r="H44" s="9"/>
    </row>
    <row r="45" spans="1:8">
      <c r="A45" s="8"/>
      <c r="B45" s="8"/>
      <c r="C45" s="17" t="s">
        <v>85</v>
      </c>
      <c r="D45" s="17" t="s">
        <v>84</v>
      </c>
      <c r="E45" s="17" t="s">
        <v>73</v>
      </c>
      <c r="F45" s="17" t="s">
        <v>80</v>
      </c>
      <c r="G45" s="17" t="s">
        <v>86</v>
      </c>
      <c r="H45" s="17" t="s">
        <v>77</v>
      </c>
    </row>
    <row r="46" spans="1:8">
      <c r="A46" s="8"/>
      <c r="B46" s="8"/>
      <c r="C46" s="18" t="s">
        <v>2</v>
      </c>
      <c r="D46" s="18" t="s">
        <v>6</v>
      </c>
      <c r="E46" s="18" t="s">
        <v>74</v>
      </c>
      <c r="F46" s="18" t="s">
        <v>81</v>
      </c>
      <c r="G46" s="18" t="s">
        <v>87</v>
      </c>
      <c r="H46" s="18" t="s">
        <v>78</v>
      </c>
    </row>
    <row r="47" spans="1:8">
      <c r="A47" s="8"/>
      <c r="B47" s="8"/>
      <c r="C47" s="18" t="s">
        <v>3</v>
      </c>
      <c r="D47" s="18" t="s">
        <v>7</v>
      </c>
      <c r="E47" s="18" t="s">
        <v>75</v>
      </c>
      <c r="F47" s="18" t="s">
        <v>82</v>
      </c>
      <c r="G47" s="18"/>
      <c r="H47" s="18" t="s">
        <v>79</v>
      </c>
    </row>
    <row r="48" spans="1:8">
      <c r="A48" s="8"/>
      <c r="B48" s="8"/>
      <c r="C48" s="18" t="s">
        <v>4</v>
      </c>
      <c r="D48" s="18" t="s">
        <v>8</v>
      </c>
      <c r="E48" s="18" t="s">
        <v>76</v>
      </c>
      <c r="F48" s="18" t="s">
        <v>83</v>
      </c>
      <c r="G48" s="8"/>
      <c r="H48" s="8"/>
    </row>
    <row r="49" spans="1:8">
      <c r="A49" s="8"/>
      <c r="B49" s="8"/>
      <c r="C49" s="18" t="s">
        <v>5</v>
      </c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 ht="22" customHeight="1">
      <c r="A52" s="8"/>
      <c r="B52" s="9" t="s">
        <v>88</v>
      </c>
      <c r="C52" s="9"/>
      <c r="D52" s="9"/>
      <c r="E52" s="9"/>
      <c r="F52" s="9"/>
      <c r="G52" s="9"/>
      <c r="H52" s="9"/>
    </row>
    <row r="53" spans="1:8" ht="95.6" customHeight="1">
      <c r="A53" s="8"/>
      <c r="B53" s="19" t="s">
        <v>89</v>
      </c>
      <c r="C53" s="19"/>
      <c r="D53" s="19"/>
      <c r="E53" s="19"/>
      <c r="F53" s="19"/>
      <c r="G53" s="19"/>
      <c r="H53" s="19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 ht="30" customHeight="1">
      <c r="A58" s="8"/>
      <c r="B58" s="20" t="s">
        <v>90</v>
      </c>
      <c r="C58" s="20"/>
      <c r="D58" s="20"/>
      <c r="E58" s="20"/>
      <c r="F58" s="20"/>
      <c r="G58" s="20"/>
      <c r="H58" s="20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 ht="24" customHeight="1">
      <c r="A60" s="8"/>
      <c r="B60" s="21" t="s">
        <v>91</v>
      </c>
      <c r="C60" s="21"/>
      <c r="D60" s="22" t="s">
        <v>92</v>
      </c>
      <c r="E60" s="22"/>
      <c r="F60" s="23" t="s">
        <v>93</v>
      </c>
      <c r="G60" s="23"/>
      <c r="H60" s="8"/>
    </row>
    <row r="61" spans="1:8" ht="24" customHeight="1">
      <c r="A61" s="8"/>
      <c r="B61" s="24" t="s">
        <v>94</v>
      </c>
      <c r="C61" s="24"/>
      <c r="D61" s="21" t="s">
        <v>95</v>
      </c>
      <c r="E61" s="21"/>
      <c r="F61" s="22" t="s">
        <v>96</v>
      </c>
      <c r="G61" s="22"/>
      <c r="H61" s="8"/>
    </row>
    <row r="62" spans="1:8" ht="24" customHeight="1">
      <c r="A62" s="8"/>
      <c r="B62" s="22" t="s">
        <v>97</v>
      </c>
      <c r="C62" s="22"/>
      <c r="D62" s="25" t="s">
        <v>98</v>
      </c>
      <c r="E62" s="25"/>
      <c r="F62" s="22" t="s">
        <v>99</v>
      </c>
      <c r="G62" s="22"/>
      <c r="H62" s="8"/>
    </row>
    <row r="63" spans="1:8" ht="24" customHeight="1">
      <c r="A63" s="8"/>
      <c r="B63" s="24" t="s">
        <v>100</v>
      </c>
      <c r="C63" s="24"/>
      <c r="D63" s="21" t="s">
        <v>101</v>
      </c>
      <c r="E63" s="21"/>
      <c r="F63" s="8"/>
      <c r="G63" s="8"/>
      <c r="H63" s="8"/>
    </row>
    <row r="64" spans="1:8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mergeCells count="21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🚫 Exclusions &amp; Rules'!A1" display="Rules"/>
    <hyperlink ref="F61" location="'💰 Budget Tracker'!A1" display="Budget"/>
    <hyperlink ref="B62" location="'🎁 Wishlists'!A1" display="Wishlists"/>
    <hyperlink ref="D62" location="'🎲 White Elephant'!A1" display="White Elephant"/>
    <hyperlink ref="F62" location="'🔄 Game History'!A1" display="History"/>
    <hyperlink ref="B63" location="'🎟️ Santa Cards'!A1" display="Cards"/>
    <hyperlink ref="D63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6" t="str">
        <f>IF(PartyName="","🎅  Secret Santa &amp; White Elephant Command Centre","🎅  "&amp;PartyName&amp;"   •   Secret Santa &amp; White Elephant Command Centre")</f>
        <v>🎅  Novality Store Holiday Party   •   Secret Santa &amp; White Elephant Command Centre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6" customHeight="1">
      <c r="A3" s="8"/>
      <c r="B3" s="27" t="str">
        <f>IF(PartyDate="","", "🎄  "&amp;TEXT(PartyDate,"dddd, dd mmmm yyyy")&amp;"   •   "&amp;PartyLocation&amp;"   •   hosted by "&amp;PartyHost&amp;"   •   "&amp;MAX(0,PartyDate-TODAY())&amp;" days to go!")</f>
        <v>🎄  Saturday, 19 December 2026   •   Novality Loft, 12 Market Street   •   hosted by The Novality Team   •   92 days to go!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12 guests   •   12 in the draw   •   10 white-elephant players   •   draw: Final — locked 🔒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8" t="str">
        <f>"💬  "&amp;Message</f>
        <v>💬  19 Dec - bring a wrapped gift and a stealing face!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9" t="s">
        <v>102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8" customHeight="1">
      <c r="A8" s="8"/>
      <c r="B8" s="30" t="s">
        <v>103</v>
      </c>
      <c r="C8" s="30"/>
      <c r="D8" s="31" t="s">
        <v>104</v>
      </c>
      <c r="E8" s="31"/>
      <c r="F8" s="32" t="s">
        <v>105</v>
      </c>
      <c r="G8" s="32"/>
      <c r="H8" s="33" t="s">
        <v>106</v>
      </c>
      <c r="I8" s="33"/>
      <c r="J8" s="31" t="s">
        <v>107</v>
      </c>
      <c r="K8" s="31"/>
      <c r="L8" s="31" t="s">
        <v>108</v>
      </c>
      <c r="M8" s="31"/>
      <c r="N8" s="8"/>
    </row>
    <row r="9" spans="1:14" ht="26" customHeight="1">
      <c r="A9" s="8"/>
      <c r="B9" s="34">
        <f>'_Data'!$AI$2</f>
        <v>12</v>
      </c>
      <c r="C9" s="34"/>
      <c r="D9" s="35" t="str">
        <f>'_Data'!$AI$5&amp;" of "&amp;'_Data'!$AI$2</f>
        <v>12 of 12</v>
      </c>
      <c r="E9" s="35"/>
      <c r="F9" s="36">
        <f>'_Data'!$AI$6</f>
        <v>10</v>
      </c>
      <c r="G9" s="36"/>
      <c r="H9" s="37">
        <f>Currency&amp;TEXT('_Data'!$AI$9,"#,##0")</f>
        <v>420.0</v>
      </c>
      <c r="I9" s="37"/>
      <c r="J9" s="35">
        <f>Currency&amp;TEXT('_Data'!$AI$10,"#,##0")</f>
        <v>318.8</v>
      </c>
      <c r="K9" s="35"/>
      <c r="L9" s="35">
        <f>Currency&amp;TEXT('_Data'!$AI$11,"#,##0.00")</f>
        <v>31.880000000000003</v>
      </c>
      <c r="M9" s="35"/>
      <c r="N9" s="8"/>
    </row>
    <row r="10" spans="1:14" ht="18" customHeight="1">
      <c r="A10" s="8"/>
      <c r="B10" s="30" t="s">
        <v>109</v>
      </c>
      <c r="C10" s="30"/>
      <c r="D10" s="32" t="s">
        <v>110</v>
      </c>
      <c r="E10" s="32"/>
      <c r="F10" s="31" t="s">
        <v>111</v>
      </c>
      <c r="G10" s="31"/>
      <c r="H10" s="38" t="s">
        <v>112</v>
      </c>
      <c r="I10" s="38"/>
      <c r="J10" s="31" t="s">
        <v>113</v>
      </c>
      <c r="K10" s="31"/>
      <c r="L10" s="33" t="s">
        <v>114</v>
      </c>
      <c r="M10" s="33"/>
      <c r="N10" s="8"/>
    </row>
    <row r="11" spans="1:14" ht="26" customHeight="1">
      <c r="A11" s="8"/>
      <c r="B11" s="34">
        <f>'_Data'!$AI$12</f>
        <v>4</v>
      </c>
      <c r="C11" s="34"/>
      <c r="D11" s="36">
        <f>'_Data'!$AI$13</f>
        <v>10</v>
      </c>
      <c r="E11" s="36"/>
      <c r="F11" s="35">
        <f>'_Data'!$AI$14</f>
        <v>7</v>
      </c>
      <c r="G11" s="35"/>
      <c r="H11" s="39">
        <f>'_Data'!$AI$15</f>
        <v>1</v>
      </c>
      <c r="I11" s="39"/>
      <c r="J11" s="35" t="str">
        <f>'_Data'!$AI$3&amp;" / "&amp;'_Data'!$AI$2</f>
        <v>10 / 12</v>
      </c>
      <c r="K11" s="35"/>
      <c r="L11" s="37" t="str">
        <f>TEXT('_Data'!$AI$16,"0%")</f>
        <v>47%</v>
      </c>
      <c r="M11" s="37"/>
      <c r="N11" s="8"/>
    </row>
    <row r="12" spans="1:14" ht="20" customHeight="1">
      <c r="A12" s="8"/>
      <c r="B12" s="40" t="s">
        <v>115</v>
      </c>
      <c r="C12" s="40"/>
      <c r="D12" s="41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2" s="41"/>
      <c r="F12" s="41"/>
      <c r="G12" s="41"/>
      <c r="H12" s="41"/>
      <c r="I12" s="41"/>
      <c r="J12" s="41"/>
      <c r="K12" s="42" t="str">
        <f>TEXT(IFERROR('_Data'!$AI$6/'_Data'!$AI$2,0),"0.0%")</f>
        <v>83.3%</v>
      </c>
      <c r="L12" s="42"/>
      <c r="M12" s="42"/>
      <c r="N12" s="8"/>
    </row>
    <row r="13" spans="1:14" ht="20" customHeight="1">
      <c r="A13" s="8"/>
      <c r="B13" s="40" t="s">
        <v>116</v>
      </c>
      <c r="C13" s="40"/>
      <c r="D13" s="41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3" s="41"/>
      <c r="F13" s="41"/>
      <c r="G13" s="41"/>
      <c r="H13" s="41"/>
      <c r="I13" s="41"/>
      <c r="J13" s="41"/>
      <c r="K13" s="42" t="str">
        <f>TEXT(IFERROR('_Data'!$AI$3/'_Data'!$AI$2,0),"0.0%")</f>
        <v>83.3%</v>
      </c>
      <c r="L13" s="42"/>
      <c r="M13" s="42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9" t="s">
        <v>117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20" customHeight="1">
      <c r="A65" s="8"/>
      <c r="B65" s="40" t="s">
        <v>118</v>
      </c>
      <c r="C65" s="40"/>
      <c r="D65" s="40"/>
      <c r="E65" s="40"/>
      <c r="F65" s="43">
        <f>'_Data'!$AI$17</f>
        <v>14</v>
      </c>
      <c r="G65" s="43"/>
      <c r="H65" s="43"/>
      <c r="I65" s="40" t="s">
        <v>119</v>
      </c>
      <c r="J65" s="40"/>
      <c r="K65" s="40"/>
      <c r="L65" s="40"/>
      <c r="M65" s="43">
        <f>'_Data'!$AI$4</f>
        <v>1</v>
      </c>
      <c r="N65" s="43"/>
    </row>
    <row r="66" spans="1:14" ht="20" customHeight="1">
      <c r="A66" s="8"/>
      <c r="B66" s="40" t="s">
        <v>120</v>
      </c>
      <c r="C66" s="40"/>
      <c r="D66" s="40"/>
      <c r="E66" s="40"/>
      <c r="F66" s="43">
        <f>'_Data'!$AI$18</f>
        <v>5</v>
      </c>
      <c r="G66" s="43"/>
      <c r="H66" s="43"/>
      <c r="I66" s="40" t="s">
        <v>121</v>
      </c>
      <c r="J66" s="40"/>
      <c r="K66" s="40"/>
      <c r="L66" s="40"/>
      <c r="M66" s="43">
        <f>'_Data'!$AI$20</f>
        <v>1</v>
      </c>
      <c r="N66" s="43"/>
    </row>
    <row r="67" spans="1:14" ht="20" customHeight="1">
      <c r="A67" s="8"/>
      <c r="B67" s="40" t="s">
        <v>122</v>
      </c>
      <c r="C67" s="40"/>
      <c r="D67" s="40"/>
      <c r="E67" s="40"/>
      <c r="F67" s="43">
        <f>'_Data'!$AI$14</f>
        <v>7</v>
      </c>
      <c r="G67" s="43"/>
      <c r="H67" s="43"/>
      <c r="I67" s="40" t="s">
        <v>123</v>
      </c>
      <c r="J67" s="40"/>
      <c r="K67" s="40"/>
      <c r="L67" s="40"/>
      <c r="M67" s="43">
        <f>'_Data'!$AI$19</f>
        <v>0</v>
      </c>
      <c r="N67" s="43"/>
    </row>
    <row r="68" spans="1:14" ht="20" customHeight="1">
      <c r="A68" s="8"/>
      <c r="B68" s="40" t="s">
        <v>124</v>
      </c>
      <c r="C68" s="40"/>
      <c r="D68" s="40"/>
      <c r="E68" s="40"/>
      <c r="F68" s="43">
        <f>'_Data'!$AI$15</f>
        <v>1</v>
      </c>
      <c r="G68" s="43"/>
      <c r="H68" s="43"/>
      <c r="I68" s="40" t="s">
        <v>125</v>
      </c>
      <c r="J68" s="40"/>
      <c r="K68" s="40"/>
      <c r="L68" s="40"/>
      <c r="M68" s="43">
        <f>'_Data'!$AI$21</f>
        <v>6</v>
      </c>
      <c r="N68" s="43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127</v>
      </c>
      <c r="C76" s="21"/>
      <c r="D76" s="22" t="s">
        <v>128</v>
      </c>
      <c r="E76" s="22"/>
      <c r="F76" s="23" t="s">
        <v>93</v>
      </c>
      <c r="G76" s="23"/>
      <c r="H76" s="24" t="s">
        <v>94</v>
      </c>
      <c r="I76" s="24"/>
      <c r="J76" s="21" t="s">
        <v>95</v>
      </c>
      <c r="K76" s="21"/>
      <c r="L76" s="22" t="s">
        <v>96</v>
      </c>
      <c r="M76" s="22"/>
      <c r="N76" s="8"/>
    </row>
    <row r="77" spans="1:14" ht="24" customHeight="1">
      <c r="A77" s="8"/>
      <c r="B77" s="22" t="s">
        <v>97</v>
      </c>
      <c r="C77" s="22"/>
      <c r="D77" s="25" t="s">
        <v>98</v>
      </c>
      <c r="E77" s="25"/>
      <c r="F77" s="22" t="s">
        <v>99</v>
      </c>
      <c r="G77" s="22"/>
      <c r="H77" s="24" t="s">
        <v>100</v>
      </c>
      <c r="I77" s="24"/>
      <c r="J77" s="21" t="s">
        <v>101</v>
      </c>
      <c r="K77" s="21"/>
      <c r="L77" s="8"/>
      <c r="M77" s="8"/>
      <c r="N77" s="8"/>
    </row>
  </sheetData>
  <mergeCells count="64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🚫 Exclusions &amp; Rules'!A1" display="Rules"/>
    <hyperlink ref="L76" location="'💰 Budget Tracker'!A1" display="Budget"/>
    <hyperlink ref="B77" location="'🎁 Wishlists'!A1" display="Wishlists"/>
    <hyperlink ref="D77" location="'🎲 White Elephant'!A1" display="White Elephant"/>
    <hyperlink ref="F77" location="'🔄 Game History'!A1" display="History"/>
    <hyperlink ref="H77" location="'🎟️ Santa Cards'!A1" display="Cards"/>
    <hyperlink ref="J7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M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12.7109375" customWidth="1"/>
    <col min="4" max="4" width="12.7109375" customWidth="1"/>
    <col min="5" max="5" width="9.7109375" customWidth="1"/>
    <col min="6" max="6" width="16.7109375" customWidth="1"/>
    <col min="7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3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3" ht="32" customHeight="1">
      <c r="A2" s="8"/>
      <c r="B2" s="44" t="s">
        <v>129</v>
      </c>
      <c r="C2" s="44"/>
      <c r="D2" s="44"/>
      <c r="E2" s="44"/>
      <c r="F2" s="44"/>
      <c r="G2" s="44"/>
      <c r="H2" s="8"/>
      <c r="I2" s="8"/>
      <c r="J2" s="8"/>
    </row>
    <row r="3" spans="1:13" ht="18" customHeight="1">
      <c r="A3" s="8"/>
      <c r="B3" s="45" t="s">
        <v>130</v>
      </c>
      <c r="C3" s="45"/>
      <c r="D3" s="45"/>
      <c r="E3" s="45"/>
      <c r="F3" s="45"/>
      <c r="G3" s="45"/>
      <c r="H3" s="46" t="s">
        <v>31</v>
      </c>
      <c r="I3" s="46"/>
      <c r="J3" s="46"/>
    </row>
    <row r="4" spans="1:13" ht="8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3" ht="22" customHeight="1">
      <c r="A5" s="8"/>
      <c r="B5" s="47" t="str">
        <f>"👥 In the draw: "&amp;COUNTA($B$8:$B$31)</f>
        <v>In the draw: 12</v>
      </c>
      <c r="C5" s="47"/>
      <c r="D5" s="47"/>
      <c r="E5" s="48" t="str">
        <f>"✅ RSVP yes: "&amp;COUNTIF($E$8:$E$31,"Yes")</f>
        <v>RSVP yes: 10</v>
      </c>
      <c r="F5" s="48"/>
      <c r="G5" s="48"/>
      <c r="H5" s="49" t="str">
        <f>"⏳ Awaiting: "&amp;COUNTIF($E$8:$E$31,"Maybe")+COUNTIF($E$8:$E$31,"No")</f>
        <v>Awaiting: 1</v>
      </c>
      <c r="I5" s="49"/>
      <c r="J5" s="49"/>
      <c r="K5" s="50" t="str">
        <f>"🎁 Ready (wrapped+done): "&amp;COUNTIF($H$8:$H$31,"Wrapped")+COUNTIF($H$8:$H$31,"Complete")</f>
        <v>Ready: 5</v>
      </c>
      <c r="L5" s="50"/>
      <c r="M5" s="50"/>
    </row>
    <row r="6" spans="1:13" ht="8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3" ht="36" customHeight="1">
      <c r="A7" s="17" t="s">
        <v>131</v>
      </c>
      <c r="B7" s="17" t="s">
        <v>132</v>
      </c>
      <c r="C7" s="17" t="s">
        <v>133</v>
      </c>
      <c r="D7" s="17" t="s">
        <v>134</v>
      </c>
      <c r="E7" s="17" t="s">
        <v>84</v>
      </c>
      <c r="F7" s="17" t="s">
        <v>135</v>
      </c>
      <c r="G7" s="17" t="s">
        <v>136</v>
      </c>
      <c r="H7" s="17" t="s">
        <v>137</v>
      </c>
      <c r="I7" s="17" t="s">
        <v>138</v>
      </c>
      <c r="J7" s="17" t="s">
        <v>139</v>
      </c>
    </row>
    <row r="8" spans="1:13" ht="20" customHeight="1">
      <c r="A8" s="51">
        <v>1</v>
      </c>
      <c r="B8" s="52" t="s">
        <v>140</v>
      </c>
      <c r="C8" s="53" t="s">
        <v>62</v>
      </c>
      <c r="D8" s="53" t="s">
        <v>141</v>
      </c>
      <c r="E8" s="53" t="s">
        <v>6</v>
      </c>
      <c r="F8" s="53"/>
      <c r="G8" s="53" t="s">
        <v>142</v>
      </c>
      <c r="H8" s="53" t="s">
        <v>5</v>
      </c>
      <c r="I8" s="54">
        <f>IF($B8="","",COUNTIF('🎁 Wishlists'!$B$8:$B$47,$B8))</f>
        <v>2</v>
      </c>
      <c r="J8" s="55" t="s">
        <v>143</v>
      </c>
    </row>
    <row r="9" spans="1:13" ht="20" customHeight="1">
      <c r="A9" s="56">
        <v>2</v>
      </c>
      <c r="B9" s="57" t="s">
        <v>144</v>
      </c>
      <c r="C9" s="58" t="s">
        <v>64</v>
      </c>
      <c r="D9" s="58"/>
      <c r="E9" s="58" t="s">
        <v>6</v>
      </c>
      <c r="F9" s="58" t="s">
        <v>63</v>
      </c>
      <c r="G9" s="58" t="s">
        <v>140</v>
      </c>
      <c r="H9" s="58" t="s">
        <v>3</v>
      </c>
      <c r="I9" s="54">
        <f>IF($B9="","",COUNTIF('🎁 Wishlists'!$B$8:$B$47,$B9))</f>
        <v>1</v>
      </c>
      <c r="J9" s="59" t="s">
        <v>145</v>
      </c>
    </row>
    <row r="10" spans="1:13" ht="20" customHeight="1">
      <c r="A10" s="51">
        <v>3</v>
      </c>
      <c r="B10" s="52" t="s">
        <v>146</v>
      </c>
      <c r="C10" s="53" t="s">
        <v>66</v>
      </c>
      <c r="D10" s="53"/>
      <c r="E10" s="53" t="s">
        <v>6</v>
      </c>
      <c r="F10" s="53" t="s">
        <v>65</v>
      </c>
      <c r="G10" s="53" t="s">
        <v>147</v>
      </c>
      <c r="H10" s="53" t="s">
        <v>4</v>
      </c>
      <c r="I10" s="54">
        <f>IF($B10="","",COUNTIF('🎁 Wishlists'!$B$8:$B$47,$B10))</f>
        <v>2</v>
      </c>
      <c r="J10" s="55"/>
    </row>
    <row r="11" spans="1:13" ht="20" customHeight="1">
      <c r="A11" s="56">
        <v>4</v>
      </c>
      <c r="B11" s="57" t="s">
        <v>148</v>
      </c>
      <c r="C11" s="58" t="s">
        <v>62</v>
      </c>
      <c r="D11" s="58" t="s">
        <v>141</v>
      </c>
      <c r="E11" s="58" t="s">
        <v>6</v>
      </c>
      <c r="F11" s="58"/>
      <c r="G11" s="58" t="s">
        <v>149</v>
      </c>
      <c r="H11" s="58" t="s">
        <v>3</v>
      </c>
      <c r="I11" s="54">
        <f>IF($B11="","",COUNTIF('🎁 Wishlists'!$B$8:$B$47,$B11))</f>
        <v>1</v>
      </c>
      <c r="J11" s="59" t="s">
        <v>150</v>
      </c>
    </row>
    <row r="12" spans="1:13" ht="20" customHeight="1">
      <c r="A12" s="51">
        <v>5</v>
      </c>
      <c r="B12" s="52" t="s">
        <v>149</v>
      </c>
      <c r="C12" s="53" t="s">
        <v>64</v>
      </c>
      <c r="D12" s="53"/>
      <c r="E12" s="53" t="s">
        <v>8</v>
      </c>
      <c r="F12" s="53" t="s">
        <v>67</v>
      </c>
      <c r="G12" s="53" t="s">
        <v>151</v>
      </c>
      <c r="H12" s="53" t="s">
        <v>2</v>
      </c>
      <c r="I12" s="54">
        <f>IF($B12="","",COUNTIF('🎁 Wishlists'!$B$8:$B$47,$B12))</f>
        <v>1</v>
      </c>
      <c r="J12" s="55" t="s">
        <v>152</v>
      </c>
    </row>
    <row r="13" spans="1:13" ht="20" customHeight="1">
      <c r="A13" s="56">
        <v>6</v>
      </c>
      <c r="B13" s="57" t="s">
        <v>151</v>
      </c>
      <c r="C13" s="58" t="s">
        <v>64</v>
      </c>
      <c r="D13" s="58"/>
      <c r="E13" s="58" t="s">
        <v>6</v>
      </c>
      <c r="F13" s="58" t="s">
        <v>69</v>
      </c>
      <c r="G13" s="58" t="s">
        <v>146</v>
      </c>
      <c r="H13" s="58" t="s">
        <v>4</v>
      </c>
      <c r="I13" s="54">
        <f>IF($B13="","",COUNTIF('🎁 Wishlists'!$B$8:$B$47,$B13))</f>
        <v>1</v>
      </c>
      <c r="J13" s="59"/>
    </row>
    <row r="14" spans="1:13" ht="20" customHeight="1">
      <c r="A14" s="51">
        <v>7</v>
      </c>
      <c r="B14" s="52" t="s">
        <v>147</v>
      </c>
      <c r="C14" s="53" t="s">
        <v>66</v>
      </c>
      <c r="D14" s="53" t="s">
        <v>153</v>
      </c>
      <c r="E14" s="53" t="s">
        <v>6</v>
      </c>
      <c r="F14" s="53"/>
      <c r="G14" s="53" t="s">
        <v>154</v>
      </c>
      <c r="H14" s="53" t="s">
        <v>5</v>
      </c>
      <c r="I14" s="54">
        <f>IF($B14="","",COUNTIF('🎁 Wishlists'!$B$8:$B$47,$B14))</f>
        <v>2</v>
      </c>
      <c r="J14" s="55" t="s">
        <v>155</v>
      </c>
    </row>
    <row r="15" spans="1:13" ht="20" customHeight="1">
      <c r="A15" s="56">
        <v>8</v>
      </c>
      <c r="B15" s="57" t="s">
        <v>154</v>
      </c>
      <c r="C15" s="58" t="s">
        <v>66</v>
      </c>
      <c r="D15" s="58" t="s">
        <v>153</v>
      </c>
      <c r="E15" s="58" t="s">
        <v>6</v>
      </c>
      <c r="F15" s="58"/>
      <c r="G15" s="58" t="s">
        <v>147</v>
      </c>
      <c r="H15" s="58" t="s">
        <v>3</v>
      </c>
      <c r="I15" s="54">
        <f>IF($B15="","",COUNTIF('🎁 Wishlists'!$B$8:$B$47,$B15))</f>
        <v>1</v>
      </c>
      <c r="J15" s="59"/>
    </row>
    <row r="16" spans="1:13" ht="20" customHeight="1">
      <c r="A16" s="51">
        <v>9</v>
      </c>
      <c r="B16" s="52" t="s">
        <v>156</v>
      </c>
      <c r="C16" s="53" t="s">
        <v>62</v>
      </c>
      <c r="D16" s="53"/>
      <c r="E16" s="53" t="s">
        <v>7</v>
      </c>
      <c r="F16" s="53"/>
      <c r="G16" s="53" t="s">
        <v>157</v>
      </c>
      <c r="H16" s="53" t="s">
        <v>2</v>
      </c>
      <c r="I16" s="54">
        <f>IF($B16="","",COUNTIF('🎁 Wishlists'!$B$8:$B$47,$B16))</f>
        <v>1</v>
      </c>
      <c r="J16" s="55" t="s">
        <v>158</v>
      </c>
    </row>
    <row r="17" spans="1:10" ht="20" customHeight="1">
      <c r="A17" s="56">
        <v>10</v>
      </c>
      <c r="B17" s="57" t="s">
        <v>142</v>
      </c>
      <c r="C17" s="58" t="s">
        <v>64</v>
      </c>
      <c r="D17" s="58"/>
      <c r="E17" s="58" t="s">
        <v>6</v>
      </c>
      <c r="F17" s="58" t="s">
        <v>71</v>
      </c>
      <c r="G17" s="58" t="s">
        <v>140</v>
      </c>
      <c r="H17" s="58" t="s">
        <v>3</v>
      </c>
      <c r="I17" s="54">
        <f>IF($B17="","",COUNTIF('🎁 Wishlists'!$B$8:$B$47,$B17))</f>
        <v>1</v>
      </c>
      <c r="J17" s="59" t="s">
        <v>159</v>
      </c>
    </row>
    <row r="18" spans="1:10" ht="20" customHeight="1">
      <c r="A18" s="51">
        <v>11</v>
      </c>
      <c r="B18" s="52" t="s">
        <v>160</v>
      </c>
      <c r="C18" s="53" t="s">
        <v>66</v>
      </c>
      <c r="D18" s="53"/>
      <c r="E18" s="53" t="s">
        <v>6</v>
      </c>
      <c r="F18" s="53"/>
      <c r="G18" s="53" t="s">
        <v>144</v>
      </c>
      <c r="H18" s="53" t="s">
        <v>4</v>
      </c>
      <c r="I18" s="54">
        <f>IF($B18="","",COUNTIF('🎁 Wishlists'!$B$8:$B$47,$B18))</f>
        <v>1</v>
      </c>
      <c r="J18" s="55"/>
    </row>
    <row r="19" spans="1:10" ht="20" customHeight="1">
      <c r="A19" s="56">
        <v>12</v>
      </c>
      <c r="B19" s="57" t="s">
        <v>157</v>
      </c>
      <c r="C19" s="58" t="s">
        <v>62</v>
      </c>
      <c r="D19" s="58"/>
      <c r="E19" s="58" t="s">
        <v>6</v>
      </c>
      <c r="F19" s="58" t="s">
        <v>63</v>
      </c>
      <c r="G19" s="58" t="s">
        <v>156</v>
      </c>
      <c r="H19" s="58" t="s">
        <v>3</v>
      </c>
      <c r="I19" s="54">
        <f>IF($B19="","",COUNTIF('🎁 Wishlists'!$B$8:$B$47,$B19))</f>
        <v>2</v>
      </c>
      <c r="J19" s="59"/>
    </row>
    <row r="20" spans="1:10" ht="20" customHeight="1">
      <c r="A20" s="51">
        <v>13</v>
      </c>
      <c r="B20" s="52"/>
      <c r="C20" s="53"/>
      <c r="D20" s="53"/>
      <c r="E20" s="53"/>
      <c r="F20" s="53"/>
      <c r="G20" s="53"/>
      <c r="H20" s="53"/>
      <c r="I20" s="54">
        <f>IF($B20="","",COUNTIF('🎁 Wishlists'!$B$8:$B$47,$B20))</f>
        <v/>
      </c>
      <c r="J20" s="55"/>
    </row>
    <row r="21" spans="1:10" ht="20" customHeight="1">
      <c r="A21" s="56">
        <v>14</v>
      </c>
      <c r="B21" s="57"/>
      <c r="C21" s="58"/>
      <c r="D21" s="58"/>
      <c r="E21" s="58"/>
      <c r="F21" s="58"/>
      <c r="G21" s="58"/>
      <c r="H21" s="58"/>
      <c r="I21" s="54">
        <f>IF($B21="","",COUNTIF('🎁 Wishlists'!$B$8:$B$47,$B21))</f>
        <v/>
      </c>
      <c r="J21" s="59"/>
    </row>
    <row r="22" spans="1:10" ht="20" customHeight="1">
      <c r="A22" s="51">
        <v>15</v>
      </c>
      <c r="B22" s="52"/>
      <c r="C22" s="53"/>
      <c r="D22" s="53"/>
      <c r="E22" s="53"/>
      <c r="F22" s="53"/>
      <c r="G22" s="53"/>
      <c r="H22" s="53"/>
      <c r="I22" s="54">
        <f>IF($B22="","",COUNTIF('🎁 Wishlists'!$B$8:$B$47,$B22))</f>
        <v/>
      </c>
      <c r="J22" s="55"/>
    </row>
    <row r="23" spans="1:10" ht="20" customHeight="1">
      <c r="A23" s="56">
        <v>16</v>
      </c>
      <c r="B23" s="57"/>
      <c r="C23" s="58"/>
      <c r="D23" s="58"/>
      <c r="E23" s="58"/>
      <c r="F23" s="58"/>
      <c r="G23" s="58"/>
      <c r="H23" s="58"/>
      <c r="I23" s="54">
        <f>IF($B23="","",COUNTIF('🎁 Wishlists'!$B$8:$B$47,$B23))</f>
        <v/>
      </c>
      <c r="J23" s="59"/>
    </row>
    <row r="24" spans="1:10" ht="20" customHeight="1">
      <c r="A24" s="51">
        <v>17</v>
      </c>
      <c r="B24" s="52"/>
      <c r="C24" s="53"/>
      <c r="D24" s="53"/>
      <c r="E24" s="53"/>
      <c r="F24" s="53"/>
      <c r="G24" s="53"/>
      <c r="H24" s="53"/>
      <c r="I24" s="54">
        <f>IF($B24="","",COUNTIF('🎁 Wishlists'!$B$8:$B$47,$B24))</f>
        <v/>
      </c>
      <c r="J24" s="55"/>
    </row>
    <row r="25" spans="1:10" ht="20" customHeight="1">
      <c r="A25" s="56">
        <v>18</v>
      </c>
      <c r="B25" s="57"/>
      <c r="C25" s="58"/>
      <c r="D25" s="58"/>
      <c r="E25" s="58"/>
      <c r="F25" s="58"/>
      <c r="G25" s="58"/>
      <c r="H25" s="58"/>
      <c r="I25" s="54">
        <f>IF($B25="","",COUNTIF('🎁 Wishlists'!$B$8:$B$47,$B25))</f>
        <v/>
      </c>
      <c r="J25" s="59"/>
    </row>
    <row r="26" spans="1:10" ht="20" customHeight="1">
      <c r="A26" s="51">
        <v>19</v>
      </c>
      <c r="B26" s="52"/>
      <c r="C26" s="53"/>
      <c r="D26" s="53"/>
      <c r="E26" s="53"/>
      <c r="F26" s="53"/>
      <c r="G26" s="53"/>
      <c r="H26" s="53"/>
      <c r="I26" s="54">
        <f>IF($B26="","",COUNTIF('🎁 Wishlists'!$B$8:$B$47,$B26))</f>
        <v/>
      </c>
      <c r="J26" s="55"/>
    </row>
    <row r="27" spans="1:10" ht="20" customHeight="1">
      <c r="A27" s="56">
        <v>20</v>
      </c>
      <c r="B27" s="57"/>
      <c r="C27" s="58"/>
      <c r="D27" s="58"/>
      <c r="E27" s="58"/>
      <c r="F27" s="58"/>
      <c r="G27" s="58"/>
      <c r="H27" s="58"/>
      <c r="I27" s="54">
        <f>IF($B27="","",COUNTIF('🎁 Wishlists'!$B$8:$B$47,$B27))</f>
        <v/>
      </c>
      <c r="J27" s="59"/>
    </row>
    <row r="28" spans="1:10" ht="20" customHeight="1">
      <c r="A28" s="51">
        <v>21</v>
      </c>
      <c r="B28" s="52"/>
      <c r="C28" s="53"/>
      <c r="D28" s="53"/>
      <c r="E28" s="53"/>
      <c r="F28" s="53"/>
      <c r="G28" s="53"/>
      <c r="H28" s="53"/>
      <c r="I28" s="54">
        <f>IF($B28="","",COUNTIF('🎁 Wishlists'!$B$8:$B$47,$B28))</f>
        <v/>
      </c>
      <c r="J28" s="55"/>
    </row>
    <row r="29" spans="1:10" ht="20" customHeight="1">
      <c r="A29" s="56">
        <v>22</v>
      </c>
      <c r="B29" s="57"/>
      <c r="C29" s="58"/>
      <c r="D29" s="58"/>
      <c r="E29" s="58"/>
      <c r="F29" s="58"/>
      <c r="G29" s="58"/>
      <c r="H29" s="58"/>
      <c r="I29" s="54">
        <f>IF($B29="","",COUNTIF('🎁 Wishlists'!$B$8:$B$47,$B29))</f>
        <v/>
      </c>
      <c r="J29" s="59"/>
    </row>
    <row r="30" spans="1:10" ht="20" customHeight="1">
      <c r="A30" s="51">
        <v>23</v>
      </c>
      <c r="B30" s="52"/>
      <c r="C30" s="53"/>
      <c r="D30" s="53"/>
      <c r="E30" s="53"/>
      <c r="F30" s="53"/>
      <c r="G30" s="53"/>
      <c r="H30" s="53"/>
      <c r="I30" s="54">
        <f>IF($B30="","",COUNTIF('🎁 Wishlists'!$B$8:$B$47,$B30))</f>
        <v/>
      </c>
      <c r="J30" s="55"/>
    </row>
    <row r="31" spans="1:10" ht="20" customHeight="1">
      <c r="A31" s="56">
        <v>24</v>
      </c>
      <c r="B31" s="57"/>
      <c r="C31" s="58"/>
      <c r="D31" s="58"/>
      <c r="E31" s="58"/>
      <c r="F31" s="58"/>
      <c r="G31" s="58"/>
      <c r="H31" s="58"/>
      <c r="I31" s="54">
        <f>IF($B31="","",COUNTIF('🎁 Wishlists'!$B$8:$B$47,$B31))</f>
        <v/>
      </c>
      <c r="J31" s="59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0" customHeight="1">
      <c r="A33" s="8"/>
      <c r="B33" s="20" t="s">
        <v>90</v>
      </c>
      <c r="C33" s="20"/>
      <c r="D33" s="20"/>
      <c r="E33" s="20"/>
      <c r="F33" s="20"/>
      <c r="G33" s="20"/>
      <c r="H33" s="20"/>
      <c r="I33" s="20"/>
      <c r="J33" s="20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4" customHeight="1">
      <c r="A35" s="8"/>
      <c r="B35" s="21" t="s">
        <v>127</v>
      </c>
      <c r="C35" s="21"/>
      <c r="D35" s="22" t="s">
        <v>92</v>
      </c>
      <c r="E35" s="22"/>
      <c r="F35" s="23" t="s">
        <v>161</v>
      </c>
      <c r="G35" s="23"/>
      <c r="H35" s="24" t="s">
        <v>94</v>
      </c>
      <c r="I35" s="24"/>
      <c r="J35" s="8"/>
    </row>
    <row r="36" spans="1:10" ht="24" customHeight="1">
      <c r="A36" s="8"/>
      <c r="B36" s="21" t="s">
        <v>95</v>
      </c>
      <c r="C36" s="21"/>
      <c r="D36" s="22" t="s">
        <v>96</v>
      </c>
      <c r="E36" s="22"/>
      <c r="F36" s="22" t="s">
        <v>97</v>
      </c>
      <c r="G36" s="22"/>
      <c r="H36" s="25" t="s">
        <v>98</v>
      </c>
      <c r="I36" s="25"/>
      <c r="J36" s="8"/>
    </row>
    <row r="37" spans="1:10" ht="24" customHeight="1">
      <c r="A37" s="8"/>
      <c r="B37" s="22" t="s">
        <v>99</v>
      </c>
      <c r="C37" s="22"/>
      <c r="D37" s="24" t="s">
        <v>100</v>
      </c>
      <c r="E37" s="24"/>
      <c r="F37" s="21" t="s">
        <v>101</v>
      </c>
      <c r="G37" s="21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19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🚫 Exclusions &amp; Rules'!A1" display="Rules"/>
    <hyperlink ref="D36" location="'💰 Budget Tracker'!A1" display="Budget"/>
    <hyperlink ref="F36" location="'🎁 Wishlists'!A1" display="Wishlists"/>
    <hyperlink ref="H36" location="'🎲 White Elephant'!A1" display="White Elephant"/>
    <hyperlink ref="B37" location="'🔄 Game History'!A1" display="History"/>
    <hyperlink ref="D37" location="'🎟️ Santa Cards'!A1" display="Cards"/>
    <hyperlink ref="F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O44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2.7109375" customWidth="1"/>
    <col min="7" max="7" width="15.7109375" customWidth="1"/>
  </cols>
  <sheetData>
    <row r="1" spans="1:15" ht="7" customHeight="1">
      <c r="A1" s="8"/>
      <c r="B1" s="8"/>
      <c r="C1" s="8"/>
      <c r="D1" s="8"/>
      <c r="E1" s="8"/>
      <c r="F1" s="8"/>
      <c r="G1" s="8"/>
    </row>
    <row r="2" spans="1:15" ht="32" customHeight="1">
      <c r="A2" s="8"/>
      <c r="B2" s="44" t="s">
        <v>162</v>
      </c>
      <c r="C2" s="44"/>
      <c r="D2" s="44"/>
      <c r="E2" s="8"/>
      <c r="F2" s="8"/>
      <c r="G2" s="8"/>
    </row>
    <row r="3" spans="1:15" ht="18" customHeight="1">
      <c r="A3" s="8"/>
      <c r="B3" s="45" t="s">
        <v>163</v>
      </c>
      <c r="C3" s="45"/>
      <c r="D3" s="45"/>
      <c r="E3" s="46" t="s">
        <v>31</v>
      </c>
      <c r="F3" s="46"/>
      <c r="G3" s="46"/>
    </row>
    <row r="4" spans="1:15" ht="8" customHeight="1">
      <c r="A4" s="8"/>
      <c r="B4" s="8"/>
      <c r="C4" s="8"/>
      <c r="D4" s="8"/>
      <c r="E4" s="8"/>
      <c r="F4" s="8"/>
      <c r="G4" s="8"/>
    </row>
    <row r="5" spans="1:15" ht="22" customHeight="1">
      <c r="A5" s="8"/>
      <c r="B5" s="47" t="str">
        <f>"🎅 Assigned: "&amp;SUMPRODUCT(--($E$8:$E$31&lt;&gt;""))&amp;" of "&amp;COUNTA('👥 Participants'!$B$8:$B$31)</f>
        <v>Assigned: 12 of 12</v>
      </c>
      <c r="C5" s="47"/>
      <c r="D5" s="47"/>
      <c r="E5" s="47"/>
      <c r="F5" s="48" t="str">
        <f>"✅ Clean pairs: "&amp;COUNTIF($F$8:$F$31,"✅ OK")</f>
        <v>Clean pairs: 12</v>
      </c>
      <c r="G5" s="48"/>
      <c r="H5" s="48"/>
      <c r="I5" s="60" t="str">
        <f>"⚠️ Rule hits: "&amp;'_Data'!$AI$19</f>
        <v>Rule hits: 0</v>
      </c>
      <c r="J5" s="60"/>
      <c r="K5" s="60"/>
      <c r="L5" s="50" t="str">
        <f>"🔒 Status: "&amp;DrawStatus</f>
        <v>Status: Final — locked 🔒</v>
      </c>
      <c r="M5" s="50"/>
      <c r="N5" s="50"/>
      <c r="O5" s="50"/>
    </row>
    <row r="6" spans="1:15" ht="8" customHeight="1">
      <c r="A6" s="8"/>
      <c r="B6" s="8"/>
      <c r="C6" s="8"/>
      <c r="D6" s="8"/>
      <c r="E6" s="8"/>
      <c r="F6" s="8"/>
      <c r="G6" s="8"/>
    </row>
    <row r="7" spans="1:15" ht="36" customHeight="1">
      <c r="A7" s="17" t="s">
        <v>131</v>
      </c>
      <c r="B7" s="17" t="s">
        <v>164</v>
      </c>
      <c r="C7" s="17" t="s">
        <v>165</v>
      </c>
      <c r="D7" s="17" t="s">
        <v>166</v>
      </c>
      <c r="E7" s="17" t="s">
        <v>167</v>
      </c>
      <c r="F7" s="17" t="s">
        <v>168</v>
      </c>
      <c r="G7" s="17" t="s">
        <v>137</v>
      </c>
    </row>
    <row r="8" spans="1:15" ht="22" customHeight="1">
      <c r="A8" s="51">
        <v>1</v>
      </c>
      <c r="B8" s="52" t="str">
        <f>IF('👥 Participants'!$B$8="","",'👥 Participants'!$B$8)</f>
        <v>Ava Novak</v>
      </c>
      <c r="C8" s="61" t="str">
        <f>IF($B8="","",INDEX('👥 Participants'!$B$8:$B$31,MOD($A8-1+MOD(DrawSeed-1,MAX(1,COUNTA('👥 Participants'!$B$8:$B$31)-1)),COUNTA('👥 Participants'!$B$8:$B$31))+1))</f>
        <v>Farid Khan</v>
      </c>
      <c r="D8" s="52"/>
      <c r="E8" s="62" t="str">
        <f>IF($B8="","",IF($D8&lt;&gt;"",$D8,$C8))</f>
        <v>Farid Khan</v>
      </c>
      <c r="F8" s="63" t="str">
        <f>IF($E8="","",IF(TRIM(IF($E8=$B8,"Self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",""))="","✅ OK",TRIM(IF($E8=$B8,"Self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",""))))</f>
        <v>✅ OK</v>
      </c>
      <c r="G8" s="64" t="str">
        <f>IF($B8="","",INDEX('👥 Participants'!$H$8:$H$31,MATCH($B8,'👥 Participants'!$B$8:$B$31,0)))</f>
        <v>Complete</v>
      </c>
    </row>
    <row r="9" spans="1:15" ht="22" customHeight="1">
      <c r="A9" s="56">
        <v>2</v>
      </c>
      <c r="B9" s="57" t="str">
        <f>IF('👥 Participants'!$B$9="","",'👥 Participants'!$B$9)</f>
        <v>Ben Carter</v>
      </c>
      <c r="C9" s="61" t="str">
        <f>IF($B9="","",INDEX('👥 Participants'!$B$8:$B$31,MOD($A9-1+MOD(DrawSeed-1,MAX(1,COUNTA('👥 Participants'!$B$8:$B$31)-1)),COUNTA('👥 Participants'!$B$8:$B$31))+1))</f>
        <v>Grace Liu</v>
      </c>
      <c r="D9" s="57"/>
      <c r="E9" s="62" t="str">
        <f>IF($B9="","",IF($D9&lt;&gt;"",$D9,$C9))</f>
        <v>Grace Liu</v>
      </c>
      <c r="F9" s="63" t="str">
        <f>IF($E9="","",IF(TRIM(IF($E9=$B9,"Self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",""))="","✅ OK",TRIM(IF($E9=$B9,"Self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",""))))</f>
        <v>✅ OK</v>
      </c>
      <c r="G9" s="64" t="str">
        <f>IF($B9="","",INDEX('👥 Participants'!$H$8:$H$31,MATCH($B9,'👥 Participants'!$B$8:$B$31,0)))</f>
        <v>Gift Purchased</v>
      </c>
    </row>
    <row r="10" spans="1:15" ht="22" customHeight="1">
      <c r="A10" s="51">
        <v>3</v>
      </c>
      <c r="B10" s="52" t="str">
        <f>IF('👥 Participants'!$B$10="","",'👥 Participants'!$B$10)</f>
        <v>Chloe Diaz</v>
      </c>
      <c r="C10" s="61" t="str">
        <f>IF($B10="","",INDEX('👥 Participants'!$B$8:$B$31,MOD($A10-1+MOD(DrawSeed-1,MAX(1,COUNTA('👥 Participants'!$B$8:$B$31)-1)),COUNTA('👥 Participants'!$B$8:$B$31))+1))</f>
        <v>Hugo Silva</v>
      </c>
      <c r="D10" s="52"/>
      <c r="E10" s="62" t="str">
        <f>IF($B10="","",IF($D10&lt;&gt;"",$D10,$C10))</f>
        <v>Hugo Silva</v>
      </c>
      <c r="F10" s="63" t="str">
        <f>IF($E10="","",IF(TRIM(IF($E10=$B10,"Self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",""))="","✅ OK",TRIM(IF($E10=$B10,"Self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",""))))</f>
        <v>✅ OK</v>
      </c>
      <c r="G10" s="64" t="str">
        <f>IF($B10="","",INDEX('👥 Participants'!$H$8:$H$31,MATCH($B10,'👥 Participants'!$B$8:$B$31,0)))</f>
        <v>Wrapped</v>
      </c>
    </row>
    <row r="11" spans="1:15" ht="22" customHeight="1">
      <c r="A11" s="56">
        <v>4</v>
      </c>
      <c r="B11" s="57" t="str">
        <f>IF('👥 Participants'!$B$11="","",'👥 Participants'!$B$11)</f>
        <v>Dan Novak</v>
      </c>
      <c r="C11" s="61" t="str">
        <f>IF($B11="","",INDEX('👥 Participants'!$B$8:$B$31,MOD($A11-1+MOD(DrawSeed-1,MAX(1,COUNTA('👥 Participants'!$B$8:$B$31)-1)),COUNTA('👥 Participants'!$B$8:$B$31))+1))</f>
        <v>Isla Moore</v>
      </c>
      <c r="D11" s="57"/>
      <c r="E11" s="62" t="str">
        <f>IF($B11="","",IF($D11&lt;&gt;"",$D11,$C11))</f>
        <v>Isla Moore</v>
      </c>
      <c r="F11" s="63" t="str">
        <f>IF($E11="","",IF(TRIM(IF($E11=$B11,"Self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",""))="","✅ OK",TRIM(IF($E11=$B11,"Self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",""))))</f>
        <v>✅ OK</v>
      </c>
      <c r="G11" s="64" t="str">
        <f>IF($B11="","",INDEX('👥 Participants'!$H$8:$H$31,MATCH($B11,'👥 Participants'!$B$8:$B$31,0)))</f>
        <v>Gift Purchased</v>
      </c>
    </row>
    <row r="12" spans="1:15" ht="22" customHeight="1">
      <c r="A12" s="51">
        <v>5</v>
      </c>
      <c r="B12" s="52" t="str">
        <f>IF('👥 Participants'!$B$12="","",'👥 Participants'!$B$12)</f>
        <v>Elena Petrov</v>
      </c>
      <c r="C12" s="61" t="str">
        <f>IF($B12="","",INDEX('👥 Participants'!$B$8:$B$31,MOD($A12-1+MOD(DrawSeed-1,MAX(1,COUNTA('👥 Participants'!$B$8:$B$31)-1)),COUNTA('👥 Participants'!$B$8:$B$31))+1))</f>
        <v>Jack Byrne</v>
      </c>
      <c r="D12" s="52"/>
      <c r="E12" s="62" t="str">
        <f>IF($B12="","",IF($D12&lt;&gt;"",$D12,$C12))</f>
        <v>Jack Byrne</v>
      </c>
      <c r="F12" s="63" t="str">
        <f>IF($E12="","",IF(TRIM(IF($E12=$B12,"Self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",""))="","✅ OK",TRIM(IF($E12=$B12,"Self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",""))))</f>
        <v>✅ OK</v>
      </c>
      <c r="G12" s="64" t="str">
        <f>IF($B12="","",INDEX('👥 Participants'!$H$8:$H$31,MATCH($B12,'👥 Participants'!$B$8:$B$31,0)))</f>
        <v>Not Started</v>
      </c>
    </row>
    <row r="13" spans="1:15" ht="22" customHeight="1">
      <c r="A13" s="56">
        <v>6</v>
      </c>
      <c r="B13" s="57" t="str">
        <f>IF('👥 Participants'!$B$13="","",'👥 Participants'!$B$13)</f>
        <v>Farid Khan</v>
      </c>
      <c r="C13" s="61" t="str">
        <f>IF($B13="","",INDEX('👥 Participants'!$B$8:$B$31,MOD($A13-1+MOD(DrawSeed-1,MAX(1,COUNTA('👥 Participants'!$B$8:$B$31)-1)),COUNTA('👥 Participants'!$B$8:$B$31))+1))</f>
        <v>Kia Osei</v>
      </c>
      <c r="D13" s="57"/>
      <c r="E13" s="62" t="str">
        <f>IF($B13="","",IF($D13&lt;&gt;"",$D13,$C13))</f>
        <v>Kia Osei</v>
      </c>
      <c r="F13" s="63" t="str">
        <f>IF($E13="","",IF(TRIM(IF($E13=$B13,"Self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",""))="","✅ OK",TRIM(IF($E13=$B13,"Self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",""))))</f>
        <v>✅ OK</v>
      </c>
      <c r="G13" s="64" t="str">
        <f>IF($B13="","",INDEX('👥 Participants'!$H$8:$H$31,MATCH($B13,'👥 Participants'!$B$8:$B$31,0)))</f>
        <v>Wrapped</v>
      </c>
    </row>
    <row r="14" spans="1:15" ht="22" customHeight="1">
      <c r="A14" s="51">
        <v>7</v>
      </c>
      <c r="B14" s="52" t="str">
        <f>IF('👥 Participants'!$B$14="","",'👥 Participants'!$B$14)</f>
        <v>Grace Liu</v>
      </c>
      <c r="C14" s="61" t="str">
        <f>IF($B14="","",INDEX('👥 Participants'!$B$8:$B$31,MOD($A14-1+MOD(DrawSeed-1,MAX(1,COUNTA('👥 Participants'!$B$8:$B$31)-1)),COUNTA('👥 Participants'!$B$8:$B$31))+1))</f>
        <v>Leo Fontaine</v>
      </c>
      <c r="D14" s="52"/>
      <c r="E14" s="62" t="str">
        <f>IF($B14="","",IF($D14&lt;&gt;"",$D14,$C14))</f>
        <v>Leo Fontaine</v>
      </c>
      <c r="F14" s="63" t="str">
        <f>IF($E14="","",IF(TRIM(IF($E14=$B14,"Self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",""))="","✅ OK",TRIM(IF($E14=$B14,"Self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",""))))</f>
        <v>✅ OK</v>
      </c>
      <c r="G14" s="64" t="str">
        <f>IF($B14="","",INDEX('👥 Participants'!$H$8:$H$31,MATCH($B14,'👥 Participants'!$B$8:$B$31,0)))</f>
        <v>Complete</v>
      </c>
    </row>
    <row r="15" spans="1:15" ht="22" customHeight="1">
      <c r="A15" s="56">
        <v>8</v>
      </c>
      <c r="B15" s="57" t="str">
        <f>IF('👥 Participants'!$B$15="","",'👥 Participants'!$B$15)</f>
        <v>Hugo Silva</v>
      </c>
      <c r="C15" s="61" t="str">
        <f>IF($B15="","",INDEX('👥 Participants'!$B$8:$B$31,MOD($A15-1+MOD(DrawSeed-1,MAX(1,COUNTA('👥 Participants'!$B$8:$B$31)-1)),COUNTA('👥 Participants'!$B$8:$B$31))+1))</f>
        <v>Ava Novak</v>
      </c>
      <c r="D15" s="57"/>
      <c r="E15" s="62" t="str">
        <f>IF($B15="","",IF($D15&lt;&gt;"",$D15,$C15))</f>
        <v>Ava Novak</v>
      </c>
      <c r="F15" s="63" t="str">
        <f>IF($E15="","",IF(TRIM(IF($E15=$B15,"Self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",""))="","✅ OK",TRIM(IF($E15=$B15,"Self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",""))))</f>
        <v>✅ OK</v>
      </c>
      <c r="G15" s="64" t="str">
        <f>IF($B15="","",INDEX('👥 Participants'!$H$8:$H$31,MATCH($B15,'👥 Participants'!$B$8:$B$31,0)))</f>
        <v>Gift Purchased</v>
      </c>
    </row>
    <row r="16" spans="1:15" ht="22" customHeight="1">
      <c r="A16" s="51">
        <v>9</v>
      </c>
      <c r="B16" s="52" t="str">
        <f>IF('👥 Participants'!$B$16="","",'👥 Participants'!$B$16)</f>
        <v>Isla Moore</v>
      </c>
      <c r="C16" s="61" t="str">
        <f>IF($B16="","",INDEX('👥 Participants'!$B$8:$B$31,MOD($A16-1+MOD(DrawSeed-1,MAX(1,COUNTA('👥 Participants'!$B$8:$B$31)-1)),COUNTA('👥 Participants'!$B$8:$B$31))+1))</f>
        <v>Ben Carter</v>
      </c>
      <c r="D16" s="52"/>
      <c r="E16" s="62" t="str">
        <f>IF($B16="","",IF($D16&lt;&gt;"",$D16,$C16))</f>
        <v>Ben Carter</v>
      </c>
      <c r="F16" s="63" t="str">
        <f>IF($E16="","",IF(TRIM(IF($E16=$B16,"Self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",""))="","✅ OK",TRIM(IF($E16=$B16,"Self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",""))))</f>
        <v>✅ OK</v>
      </c>
      <c r="G16" s="64" t="str">
        <f>IF($B16="","",INDEX('👥 Participants'!$H$8:$H$31,MATCH($B16,'👥 Participants'!$B$8:$B$31,0)))</f>
        <v>Not Started</v>
      </c>
    </row>
    <row r="17" spans="1:7" ht="22" customHeight="1">
      <c r="A17" s="56">
        <v>10</v>
      </c>
      <c r="B17" s="57" t="str">
        <f>IF('👥 Participants'!$B$17="","",'👥 Participants'!$B$17)</f>
        <v>Jack Byrne</v>
      </c>
      <c r="C17" s="61" t="str">
        <f>IF($B17="","",INDEX('👥 Participants'!$B$8:$B$31,MOD($A17-1+MOD(DrawSeed-1,MAX(1,COUNTA('👥 Participants'!$B$8:$B$31)-1)),COUNTA('👥 Participants'!$B$8:$B$31))+1))</f>
        <v>Chloe Diaz</v>
      </c>
      <c r="D17" s="57"/>
      <c r="E17" s="62" t="str">
        <f>IF($B17="","",IF($D17&lt;&gt;"",$D17,$C17))</f>
        <v>Chloe Diaz</v>
      </c>
      <c r="F17" s="63" t="str">
        <f>IF($E17="","",IF(TRIM(IF($E17=$B17,"Self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",""))="","✅ OK",TRIM(IF($E17=$B17,"Self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",""))))</f>
        <v>✅ OK</v>
      </c>
      <c r="G17" s="64" t="str">
        <f>IF($B17="","",INDEX('👥 Participants'!$H$8:$H$31,MATCH($B17,'👥 Participants'!$B$8:$B$31,0)))</f>
        <v>Gift Purchased</v>
      </c>
    </row>
    <row r="18" spans="1:7" ht="22" customHeight="1">
      <c r="A18" s="51">
        <v>11</v>
      </c>
      <c r="B18" s="52" t="str">
        <f>IF('👥 Participants'!$B$18="","",'👥 Participants'!$B$18)</f>
        <v>Kia Osei</v>
      </c>
      <c r="C18" s="61" t="str">
        <f>IF($B18="","",INDEX('👥 Participants'!$B$8:$B$31,MOD($A18-1+MOD(DrawSeed-1,MAX(1,COUNTA('👥 Participants'!$B$8:$B$31)-1)),COUNTA('👥 Participants'!$B$8:$B$31))+1))</f>
        <v>Dan Novak</v>
      </c>
      <c r="D18" s="52"/>
      <c r="E18" s="62" t="str">
        <f>IF($B18="","",IF($D18&lt;&gt;"",$D18,$C18))</f>
        <v>Dan Novak</v>
      </c>
      <c r="F18" s="63" t="str">
        <f>IF($E18="","",IF(TRIM(IF($E18=$B18,"Self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",""))="","✅ OK",TRIM(IF($E18=$B18,"Self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",""))))</f>
        <v>✅ OK</v>
      </c>
      <c r="G18" s="64" t="str">
        <f>IF($B18="","",INDEX('👥 Participants'!$H$8:$H$31,MATCH($B18,'👥 Participants'!$B$8:$B$31,0)))</f>
        <v>Wrapped</v>
      </c>
    </row>
    <row r="19" spans="1:7" ht="22" customHeight="1">
      <c r="A19" s="56">
        <v>12</v>
      </c>
      <c r="B19" s="57" t="str">
        <f>IF('👥 Participants'!$B$19="","",'👥 Participants'!$B$19)</f>
        <v>Leo Fontaine</v>
      </c>
      <c r="C19" s="61" t="str">
        <f>IF($B19="","",INDEX('👥 Participants'!$B$8:$B$31,MOD($A19-1+MOD(DrawSeed-1,MAX(1,COUNTA('👥 Participants'!$B$8:$B$31)-1)),COUNTA('👥 Participants'!$B$8:$B$31))+1))</f>
        <v>Elena Petrov</v>
      </c>
      <c r="D19" s="57"/>
      <c r="E19" s="62" t="str">
        <f>IF($B19="","",IF($D19&lt;&gt;"",$D19,$C19))</f>
        <v>Elena Petrov</v>
      </c>
      <c r="F19" s="63" t="str">
        <f>IF($E19="","",IF(TRIM(IF($E19=$B19,"Self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",""))="","✅ OK",TRIM(IF($E19=$B19,"Self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",""))))</f>
        <v>✅ OK</v>
      </c>
      <c r="G19" s="64" t="str">
        <f>IF($B19="","",INDEX('👥 Participants'!$H$8:$H$31,MATCH($B19,'👥 Participants'!$B$8:$B$31,0)))</f>
        <v>Gift Purchased</v>
      </c>
    </row>
    <row r="20" spans="1:7" ht="22" customHeight="1">
      <c r="A20" s="51">
        <v>13</v>
      </c>
      <c r="B20" s="52">
        <f>IF('👥 Participants'!$B$20="","",'👥 Participants'!$B$20)</f>
        <v/>
      </c>
      <c r="C20" s="61">
        <f>IF($B20="","",INDEX('👥 Participants'!$B$8:$B$31,MOD($A20-1+MOD(DrawSeed-1,MAX(1,COUNTA('👥 Participants'!$B$8:$B$31)-1)),COUNTA('👥 Participants'!$B$8:$B$31))+1))</f>
        <v/>
      </c>
      <c r="D20" s="52"/>
      <c r="E20" s="62">
        <f>IF($B20="","",IF($D20&lt;&gt;"",$D20,$C20))</f>
        <v/>
      </c>
      <c r="F20" s="63">
        <f>IF($E20="","",IF(TRIM(IF($E20=$B20,"Self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",""))="","✅ OK",TRIM(IF($E20=$B20,"Self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",""))))</f>
        <v/>
      </c>
      <c r="G20" s="64">
        <f>IF($B20="","",INDEX('👥 Participants'!$H$8:$H$31,MATCH($B20,'👥 Participants'!$B$8:$B$31,0)))</f>
        <v/>
      </c>
    </row>
    <row r="21" spans="1:7" ht="22" customHeight="1">
      <c r="A21" s="56">
        <v>14</v>
      </c>
      <c r="B21" s="57">
        <f>IF('👥 Participants'!$B$21="","",'👥 Participants'!$B$21)</f>
        <v/>
      </c>
      <c r="C21" s="61">
        <f>IF($B21="","",INDEX('👥 Participants'!$B$8:$B$31,MOD($A21-1+MOD(DrawSeed-1,MAX(1,COUNTA('👥 Participants'!$B$8:$B$31)-1)),COUNTA('👥 Participants'!$B$8:$B$31))+1))</f>
        <v/>
      </c>
      <c r="D21" s="57"/>
      <c r="E21" s="62">
        <f>IF($B21="","",IF($D21&lt;&gt;"",$D21,$C21))</f>
        <v/>
      </c>
      <c r="F21" s="63">
        <f>IF($E21="","",IF(TRIM(IF($E21=$B21,"Self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",""))="","✅ OK",TRIM(IF($E21=$B21,"Self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",""))))</f>
        <v/>
      </c>
      <c r="G21" s="64">
        <f>IF($B21="","",INDEX('👥 Participants'!$H$8:$H$31,MATCH($B21,'👥 Participants'!$B$8:$B$31,0)))</f>
        <v/>
      </c>
    </row>
    <row r="22" spans="1:7" ht="22" customHeight="1">
      <c r="A22" s="51">
        <v>15</v>
      </c>
      <c r="B22" s="52">
        <f>IF('👥 Participants'!$B$22="","",'👥 Participants'!$B$22)</f>
        <v/>
      </c>
      <c r="C22" s="61">
        <f>IF($B22="","",INDEX('👥 Participants'!$B$8:$B$31,MOD($A22-1+MOD(DrawSeed-1,MAX(1,COUNTA('👥 Participants'!$B$8:$B$31)-1)),COUNTA('👥 Participants'!$B$8:$B$31))+1))</f>
        <v/>
      </c>
      <c r="D22" s="52"/>
      <c r="E22" s="62">
        <f>IF($B22="","",IF($D22&lt;&gt;"",$D22,$C22))</f>
        <v/>
      </c>
      <c r="F22" s="63">
        <f>IF($E22="","",IF(TRIM(IF($E22=$B22,"Self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",""))="","✅ OK",TRIM(IF($E22=$B22,"Self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",""))))</f>
        <v/>
      </c>
      <c r="G22" s="64">
        <f>IF($B22="","",INDEX('👥 Participants'!$H$8:$H$31,MATCH($B22,'👥 Participants'!$B$8:$B$31,0)))</f>
        <v/>
      </c>
    </row>
    <row r="23" spans="1:7" ht="22" customHeight="1">
      <c r="A23" s="56">
        <v>16</v>
      </c>
      <c r="B23" s="57">
        <f>IF('👥 Participants'!$B$23="","",'👥 Participants'!$B$23)</f>
        <v/>
      </c>
      <c r="C23" s="61">
        <f>IF($B23="","",INDEX('👥 Participants'!$B$8:$B$31,MOD($A23-1+MOD(DrawSeed-1,MAX(1,COUNTA('👥 Participants'!$B$8:$B$31)-1)),COUNTA('👥 Participants'!$B$8:$B$31))+1))</f>
        <v/>
      </c>
      <c r="D23" s="57"/>
      <c r="E23" s="62">
        <f>IF($B23="","",IF($D23&lt;&gt;"",$D23,$C23))</f>
        <v/>
      </c>
      <c r="F23" s="63">
        <f>IF($E23="","",IF(TRIM(IF($E23=$B23,"Self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",""))="","✅ OK",TRIM(IF($E23=$B23,"Self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",""))))</f>
        <v/>
      </c>
      <c r="G23" s="64">
        <f>IF($B23="","",INDEX('👥 Participants'!$H$8:$H$31,MATCH($B23,'👥 Participants'!$B$8:$B$31,0)))</f>
        <v/>
      </c>
    </row>
    <row r="24" spans="1:7" ht="22" customHeight="1">
      <c r="A24" s="51">
        <v>17</v>
      </c>
      <c r="B24" s="52">
        <f>IF('👥 Participants'!$B$24="","",'👥 Participants'!$B$24)</f>
        <v/>
      </c>
      <c r="C24" s="61">
        <f>IF($B24="","",INDEX('👥 Participants'!$B$8:$B$31,MOD($A24-1+MOD(DrawSeed-1,MAX(1,COUNTA('👥 Participants'!$B$8:$B$31)-1)),COUNTA('👥 Participants'!$B$8:$B$31))+1))</f>
        <v/>
      </c>
      <c r="D24" s="52"/>
      <c r="E24" s="62">
        <f>IF($B24="","",IF($D24&lt;&gt;"",$D24,$C24))</f>
        <v/>
      </c>
      <c r="F24" s="63">
        <f>IF($E24="","",IF(TRIM(IF($E24=$B24,"Self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",""))="","✅ OK",TRIM(IF($E24=$B24,"Self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",""))))</f>
        <v/>
      </c>
      <c r="G24" s="64">
        <f>IF($B24="","",INDEX('👥 Participants'!$H$8:$H$31,MATCH($B24,'👥 Participants'!$B$8:$B$31,0)))</f>
        <v/>
      </c>
    </row>
    <row r="25" spans="1:7" ht="22" customHeight="1">
      <c r="A25" s="56">
        <v>18</v>
      </c>
      <c r="B25" s="57">
        <f>IF('👥 Participants'!$B$25="","",'👥 Participants'!$B$25)</f>
        <v/>
      </c>
      <c r="C25" s="61">
        <f>IF($B25="","",INDEX('👥 Participants'!$B$8:$B$31,MOD($A25-1+MOD(DrawSeed-1,MAX(1,COUNTA('👥 Participants'!$B$8:$B$31)-1)),COUNTA('👥 Participants'!$B$8:$B$31))+1))</f>
        <v/>
      </c>
      <c r="D25" s="57"/>
      <c r="E25" s="62">
        <f>IF($B25="","",IF($D25&lt;&gt;"",$D25,$C25))</f>
        <v/>
      </c>
      <c r="F25" s="63">
        <f>IF($E25="","",IF(TRIM(IF($E25=$B25,"Self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",""))="","✅ OK",TRIM(IF($E25=$B25,"Self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",""))))</f>
        <v/>
      </c>
      <c r="G25" s="64">
        <f>IF($B25="","",INDEX('👥 Participants'!$H$8:$H$31,MATCH($B25,'👥 Participants'!$B$8:$B$31,0)))</f>
        <v/>
      </c>
    </row>
    <row r="26" spans="1:7" ht="22" customHeight="1">
      <c r="A26" s="51">
        <v>19</v>
      </c>
      <c r="B26" s="52">
        <f>IF('👥 Participants'!$B$26="","",'👥 Participants'!$B$26)</f>
        <v/>
      </c>
      <c r="C26" s="61">
        <f>IF($B26="","",INDEX('👥 Participants'!$B$8:$B$31,MOD($A26-1+MOD(DrawSeed-1,MAX(1,COUNTA('👥 Participants'!$B$8:$B$31)-1)),COUNTA('👥 Participants'!$B$8:$B$31))+1))</f>
        <v/>
      </c>
      <c r="D26" s="52"/>
      <c r="E26" s="62">
        <f>IF($B26="","",IF($D26&lt;&gt;"",$D26,$C26))</f>
        <v/>
      </c>
      <c r="F26" s="63">
        <f>IF($E26="","",IF(TRIM(IF($E26=$B26,"Self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",""))="","✅ OK",TRIM(IF($E26=$B26,"Self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",""))))</f>
        <v/>
      </c>
      <c r="G26" s="64">
        <f>IF($B26="","",INDEX('👥 Participants'!$H$8:$H$31,MATCH($B26,'👥 Participants'!$B$8:$B$31,0)))</f>
        <v/>
      </c>
    </row>
    <row r="27" spans="1:7" ht="22" customHeight="1">
      <c r="A27" s="56">
        <v>20</v>
      </c>
      <c r="B27" s="57">
        <f>IF('👥 Participants'!$B$27="","",'👥 Participants'!$B$27)</f>
        <v/>
      </c>
      <c r="C27" s="61">
        <f>IF($B27="","",INDEX('👥 Participants'!$B$8:$B$31,MOD($A27-1+MOD(DrawSeed-1,MAX(1,COUNTA('👥 Participants'!$B$8:$B$31)-1)),COUNTA('👥 Participants'!$B$8:$B$31))+1))</f>
        <v/>
      </c>
      <c r="D27" s="57"/>
      <c r="E27" s="62">
        <f>IF($B27="","",IF($D27&lt;&gt;"",$D27,$C27))</f>
        <v/>
      </c>
      <c r="F27" s="63">
        <f>IF($E27="","",IF(TRIM(IF($E27=$B27,"Self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",""))="","✅ OK",TRIM(IF($E27=$B27,"Self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",""))))</f>
        <v/>
      </c>
      <c r="G27" s="64">
        <f>IF($B27="","",INDEX('👥 Participants'!$H$8:$H$31,MATCH($B27,'👥 Participants'!$B$8:$B$31,0)))</f>
        <v/>
      </c>
    </row>
    <row r="28" spans="1:7" ht="22" customHeight="1">
      <c r="A28" s="51">
        <v>21</v>
      </c>
      <c r="B28" s="52">
        <f>IF('👥 Participants'!$B$28="","",'👥 Participants'!$B$28)</f>
        <v/>
      </c>
      <c r="C28" s="61">
        <f>IF($B28="","",INDEX('👥 Participants'!$B$8:$B$31,MOD($A28-1+MOD(DrawSeed-1,MAX(1,COUNTA('👥 Participants'!$B$8:$B$31)-1)),COUNTA('👥 Participants'!$B$8:$B$31))+1))</f>
        <v/>
      </c>
      <c r="D28" s="52"/>
      <c r="E28" s="62">
        <f>IF($B28="","",IF($D28&lt;&gt;"",$D28,$C28))</f>
        <v/>
      </c>
      <c r="F28" s="63">
        <f>IF($E28="","",IF(TRIM(IF($E28=$B28,"Self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",""))="","✅ OK",TRIM(IF($E28=$B28,"Self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",""))))</f>
        <v/>
      </c>
      <c r="G28" s="64">
        <f>IF($B28="","",INDEX('👥 Participants'!$H$8:$H$31,MATCH($B28,'👥 Participants'!$B$8:$B$31,0)))</f>
        <v/>
      </c>
    </row>
    <row r="29" spans="1:7" ht="22" customHeight="1">
      <c r="A29" s="56">
        <v>22</v>
      </c>
      <c r="B29" s="57">
        <f>IF('👥 Participants'!$B$29="","",'👥 Participants'!$B$29)</f>
        <v/>
      </c>
      <c r="C29" s="61">
        <f>IF($B29="","",INDEX('👥 Participants'!$B$8:$B$31,MOD($A29-1+MOD(DrawSeed-1,MAX(1,COUNTA('👥 Participants'!$B$8:$B$31)-1)),COUNTA('👥 Participants'!$B$8:$B$31))+1))</f>
        <v/>
      </c>
      <c r="D29" s="57"/>
      <c r="E29" s="62">
        <f>IF($B29="","",IF($D29&lt;&gt;"",$D29,$C29))</f>
        <v/>
      </c>
      <c r="F29" s="63">
        <f>IF($E29="","",IF(TRIM(IF($E29=$B29,"Self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",""))="","✅ OK",TRIM(IF($E29=$B29,"Self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",""))))</f>
        <v/>
      </c>
      <c r="G29" s="64">
        <f>IF($B29="","",INDEX('👥 Participants'!$H$8:$H$31,MATCH($B29,'👥 Participants'!$B$8:$B$31,0)))</f>
        <v/>
      </c>
    </row>
    <row r="30" spans="1:7" ht="22" customHeight="1">
      <c r="A30" s="51">
        <v>23</v>
      </c>
      <c r="B30" s="52">
        <f>IF('👥 Participants'!$B$30="","",'👥 Participants'!$B$30)</f>
        <v/>
      </c>
      <c r="C30" s="61">
        <f>IF($B30="","",INDEX('👥 Participants'!$B$8:$B$31,MOD($A30-1+MOD(DrawSeed-1,MAX(1,COUNTA('👥 Participants'!$B$8:$B$31)-1)),COUNTA('👥 Participants'!$B$8:$B$31))+1))</f>
        <v/>
      </c>
      <c r="D30" s="52"/>
      <c r="E30" s="62">
        <f>IF($B30="","",IF($D30&lt;&gt;"",$D30,$C30))</f>
        <v/>
      </c>
      <c r="F30" s="63">
        <f>IF($E30="","",IF(TRIM(IF($E30=$B30,"Self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",""))="","✅ OK",TRIM(IF($E30=$B30,"Self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",""))))</f>
        <v/>
      </c>
      <c r="G30" s="64">
        <f>IF($B30="","",INDEX('👥 Participants'!$H$8:$H$31,MATCH($B30,'👥 Participants'!$B$8:$B$31,0)))</f>
        <v/>
      </c>
    </row>
    <row r="31" spans="1:7" ht="22" customHeight="1">
      <c r="A31" s="56">
        <v>24</v>
      </c>
      <c r="B31" s="57">
        <f>IF('👥 Participants'!$B$31="","",'👥 Participants'!$B$31)</f>
        <v/>
      </c>
      <c r="C31" s="61">
        <f>IF($B31="","",INDEX('👥 Participants'!$B$8:$B$31,MOD($A31-1+MOD(DrawSeed-1,MAX(1,COUNTA('👥 Participants'!$B$8:$B$31)-1)),COUNTA('👥 Participants'!$B$8:$B$31))+1))</f>
        <v/>
      </c>
      <c r="D31" s="57"/>
      <c r="E31" s="62">
        <f>IF($B31="","",IF($D31&lt;&gt;"",$D31,$C31))</f>
        <v/>
      </c>
      <c r="F31" s="63">
        <f>IF($E31="","",IF(TRIM(IF($E31=$B31,"Self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",""))="","✅ OK",TRIM(IF($E31=$B31,"Self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",""))))</f>
        <v/>
      </c>
      <c r="G31" s="64">
        <f>IF($B31="","",INDEX('👥 Participants'!$H$8:$H$31,MATCH($B31,'👥 Participants'!$B$8:$B$31,0)))</f>
        <v/>
      </c>
    </row>
    <row r="32" spans="1:7">
      <c r="A32" s="8"/>
      <c r="B32" s="8"/>
      <c r="C32" s="8"/>
      <c r="D32" s="8"/>
      <c r="E32" s="8"/>
      <c r="F32" s="8"/>
      <c r="G32" s="8"/>
    </row>
    <row r="33" spans="1:7" ht="22" customHeight="1">
      <c r="A33" s="8"/>
      <c r="B33" s="9" t="s">
        <v>169</v>
      </c>
      <c r="C33" s="9"/>
      <c r="D33" s="9"/>
      <c r="E33" s="9"/>
      <c r="F33" s="9"/>
      <c r="G33" s="9"/>
    </row>
    <row r="34" spans="1:7" ht="24" customHeight="1">
      <c r="A34" s="8"/>
      <c r="B34" s="10" t="s">
        <v>170</v>
      </c>
      <c r="C34" s="10"/>
      <c r="D34" s="65">
        <f>DrawSeed</f>
        <v>5</v>
      </c>
      <c r="E34" s="10" t="s">
        <v>171</v>
      </c>
      <c r="F34" s="10"/>
      <c r="G34" s="66" t="str">
        <f>DrawStatus</f>
        <v>Final — locked 🔒</v>
      </c>
    </row>
    <row r="35" spans="1:7">
      <c r="A35" s="8"/>
      <c r="B35" s="8"/>
      <c r="C35" s="8"/>
      <c r="D35" s="8"/>
      <c r="E35" s="8"/>
      <c r="F35" s="8"/>
      <c r="G35" s="8"/>
    </row>
    <row r="36" spans="1:7" ht="22" customHeight="1">
      <c r="A36" s="8"/>
      <c r="B36" s="9" t="s">
        <v>172</v>
      </c>
      <c r="C36" s="9"/>
      <c r="D36" s="9"/>
      <c r="E36" s="9"/>
      <c r="F36" s="9"/>
      <c r="G36" s="9"/>
    </row>
    <row r="37" spans="1:7" ht="26" customHeight="1">
      <c r="A37" s="8"/>
      <c r="B37" s="10" t="s">
        <v>173</v>
      </c>
      <c r="C37" s="10"/>
      <c r="D37" s="67"/>
      <c r="E37" s="67"/>
      <c r="F37" s="68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8"/>
    </row>
    <row r="38" spans="1:7">
      <c r="A38" s="8"/>
      <c r="B38" s="8"/>
      <c r="C38" s="8"/>
      <c r="D38" s="8"/>
      <c r="E38" s="8"/>
      <c r="F38" s="8"/>
      <c r="G38" s="8"/>
    </row>
    <row r="39" spans="1:7" ht="30" customHeight="1">
      <c r="A39" s="8"/>
      <c r="B39" s="20" t="s">
        <v>174</v>
      </c>
      <c r="C39" s="20"/>
      <c r="D39" s="20"/>
      <c r="E39" s="20"/>
      <c r="F39" s="20"/>
      <c r="G39" s="20"/>
    </row>
    <row r="40" spans="1:7">
      <c r="A40" s="8"/>
      <c r="B40" s="8"/>
      <c r="C40" s="8"/>
      <c r="D40" s="8"/>
      <c r="E40" s="8"/>
      <c r="F40" s="8"/>
      <c r="G40" s="8"/>
    </row>
    <row r="41" spans="1:7" ht="24" customHeight="1">
      <c r="A41" s="8"/>
      <c r="B41" s="21" t="s">
        <v>127</v>
      </c>
      <c r="C41" s="21"/>
      <c r="D41" s="22" t="s">
        <v>92</v>
      </c>
      <c r="E41" s="22"/>
      <c r="F41" s="23" t="s">
        <v>93</v>
      </c>
      <c r="G41" s="23"/>
    </row>
    <row r="42" spans="1:7" ht="24" customHeight="1">
      <c r="A42" s="8"/>
      <c r="B42" s="24" t="s">
        <v>175</v>
      </c>
      <c r="C42" s="24"/>
      <c r="D42" s="21" t="s">
        <v>95</v>
      </c>
      <c r="E42" s="21"/>
      <c r="F42" s="22" t="s">
        <v>96</v>
      </c>
      <c r="G42" s="22"/>
    </row>
    <row r="43" spans="1:7" ht="24" customHeight="1">
      <c r="B43" s="22" t="s">
        <v>97</v>
      </c>
      <c r="C43" s="22"/>
      <c r="D43" s="25" t="s">
        <v>98</v>
      </c>
      <c r="E43" s="25"/>
      <c r="F43" s="22" t="s">
        <v>99</v>
      </c>
      <c r="G43" s="22"/>
    </row>
    <row r="44" spans="1:7" ht="24" customHeight="1">
      <c r="B44" s="24" t="s">
        <v>100</v>
      </c>
      <c r="C44" s="24"/>
      <c r="D44" s="21" t="s">
        <v>101</v>
      </c>
      <c r="E44" s="21"/>
    </row>
  </sheetData>
  <mergeCells count="26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🚫 Exclusions &amp; Rules'!A1" display="Rules"/>
    <hyperlink ref="F42" location="'💰 Budget Tracker'!A1" display="Budget"/>
    <hyperlink ref="B43" location="'🎁 Wishlists'!A1" display="Wishlists"/>
    <hyperlink ref="D43" location="'🎲 White Elephant'!A1" display="White Elephant"/>
    <hyperlink ref="F43" location="'🔄 Game History'!A1" display="History"/>
    <hyperlink ref="B44" location="'🎟️ Santa Cards'!A1" display="Cards"/>
    <hyperlink ref="D4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53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32.7109375" customWidth="1"/>
  </cols>
  <sheetData>
    <row r="1" spans="1:13" ht="7" customHeight="1">
      <c r="A1" s="8"/>
      <c r="B1" s="8"/>
      <c r="C1" s="8"/>
      <c r="D1" s="8"/>
    </row>
    <row r="2" spans="1:13" ht="32" customHeight="1">
      <c r="A2" s="8"/>
      <c r="B2" s="8"/>
      <c r="C2" s="8"/>
      <c r="D2" s="8"/>
    </row>
    <row r="3" spans="1:13" ht="18" customHeight="1">
      <c r="A3" s="8"/>
      <c r="B3" s="8"/>
      <c r="C3" s="8"/>
      <c r="D3" s="8"/>
    </row>
    <row r="4" spans="1:13" ht="8" customHeight="1">
      <c r="A4" s="8"/>
      <c r="B4" s="8"/>
      <c r="C4" s="8"/>
      <c r="D4" s="8"/>
    </row>
    <row r="5" spans="1:13" ht="22" customHeight="1">
      <c r="A5" s="8"/>
      <c r="B5" s="47" t="str">
        <f>"🚫 Rules armed: "&amp;'_Data'!$AI$12</f>
        <v>Rules armed: 4</v>
      </c>
      <c r="C5" s="47"/>
      <c r="D5" s="47"/>
      <c r="E5" s="47"/>
      <c r="F5" s="60" t="str">
        <f>"⚠️ Draw violations: "&amp;'_Data'!$AI$19</f>
        <v>Draw violations: 0</v>
      </c>
      <c r="G5" s="60"/>
      <c r="H5" s="60"/>
      <c r="I5" s="60"/>
      <c r="J5" s="50" t="str">
        <f>"✍️ Custom pairs: "&amp;SUMPRODUCT(--($B$15:$B$30&lt;&gt;""))</f>
        <v>Custom pairs: 2</v>
      </c>
      <c r="K5" s="50"/>
      <c r="L5" s="50"/>
      <c r="M5" s="50"/>
    </row>
    <row r="6" spans="1:13" ht="8" customHeight="1">
      <c r="A6" s="8"/>
      <c r="B6" s="8"/>
      <c r="C6" s="8"/>
      <c r="D6" s="8"/>
    </row>
    <row r="7" spans="1:13" ht="22" customHeight="1">
      <c r="A7" s="8"/>
      <c r="B7" s="9" t="s">
        <v>178</v>
      </c>
      <c r="C7" s="9"/>
      <c r="D7" s="9"/>
    </row>
    <row r="8" spans="1:13" ht="22" customHeight="1">
      <c r="A8" s="8"/>
      <c r="B8" s="10" t="s">
        <v>179</v>
      </c>
      <c r="C8" s="10"/>
      <c r="D8" s="69" t="s">
        <v>78</v>
      </c>
    </row>
    <row r="9" spans="1:13" ht="22" customHeight="1">
      <c r="A9" s="8"/>
      <c r="B9" s="10" t="s">
        <v>180</v>
      </c>
      <c r="C9" s="10"/>
      <c r="D9" s="69" t="s">
        <v>79</v>
      </c>
    </row>
    <row r="10" spans="1:13" ht="22" customHeight="1">
      <c r="A10" s="8"/>
      <c r="B10" s="10" t="s">
        <v>181</v>
      </c>
      <c r="C10" s="10"/>
      <c r="D10" s="69" t="s">
        <v>78</v>
      </c>
    </row>
    <row r="11" spans="1:13">
      <c r="A11" s="8"/>
      <c r="B11" s="45" t="s">
        <v>182</v>
      </c>
      <c r="C11" s="45"/>
      <c r="D11" s="45"/>
    </row>
    <row r="12" spans="1:13">
      <c r="A12" s="8"/>
      <c r="B12" s="8"/>
      <c r="C12" s="8"/>
      <c r="D12" s="8"/>
    </row>
    <row r="13" spans="1:13" ht="22" customHeight="1">
      <c r="A13" s="8"/>
      <c r="B13" s="9" t="s">
        <v>183</v>
      </c>
      <c r="C13" s="9"/>
      <c r="D13" s="9"/>
    </row>
    <row r="14" spans="1:13" ht="24" customHeight="1">
      <c r="A14" s="17" t="s">
        <v>131</v>
      </c>
      <c r="B14" s="17" t="s">
        <v>184</v>
      </c>
      <c r="C14" s="17" t="s">
        <v>185</v>
      </c>
      <c r="D14" s="17" t="s">
        <v>186</v>
      </c>
    </row>
    <row r="15" spans="1:13" ht="20" customHeight="1">
      <c r="A15" s="56">
        <v>1</v>
      </c>
      <c r="B15" s="57" t="s">
        <v>142</v>
      </c>
      <c r="C15" s="57" t="s">
        <v>157</v>
      </c>
      <c r="D15" s="59" t="s">
        <v>187</v>
      </c>
    </row>
    <row r="16" spans="1:13" ht="20" customHeight="1">
      <c r="A16" s="51">
        <v>2</v>
      </c>
      <c r="B16" s="52" t="s">
        <v>160</v>
      </c>
      <c r="C16" s="52" t="s">
        <v>144</v>
      </c>
      <c r="D16" s="55" t="s">
        <v>188</v>
      </c>
    </row>
    <row r="17" spans="1:4" ht="20" customHeight="1">
      <c r="A17" s="56">
        <v>3</v>
      </c>
      <c r="B17" s="57"/>
      <c r="C17" s="57"/>
      <c r="D17" s="59"/>
    </row>
    <row r="18" spans="1:4" ht="20" customHeight="1">
      <c r="A18" s="51">
        <v>4</v>
      </c>
      <c r="B18" s="52"/>
      <c r="C18" s="52"/>
      <c r="D18" s="55"/>
    </row>
    <row r="19" spans="1:4" ht="20" customHeight="1">
      <c r="A19" s="56">
        <v>5</v>
      </c>
      <c r="B19" s="57"/>
      <c r="C19" s="57"/>
      <c r="D19" s="59"/>
    </row>
    <row r="20" spans="1:4" ht="20" customHeight="1">
      <c r="A20" s="51">
        <v>6</v>
      </c>
      <c r="B20" s="52"/>
      <c r="C20" s="52"/>
      <c r="D20" s="55"/>
    </row>
    <row r="21" spans="1:4" ht="20" customHeight="1">
      <c r="A21" s="56">
        <v>7</v>
      </c>
      <c r="B21" s="57"/>
      <c r="C21" s="57"/>
      <c r="D21" s="59"/>
    </row>
    <row r="22" spans="1:4" ht="20" customHeight="1">
      <c r="A22" s="51">
        <v>8</v>
      </c>
      <c r="B22" s="52"/>
      <c r="C22" s="52"/>
      <c r="D22" s="55"/>
    </row>
    <row r="23" spans="1:4" ht="20" customHeight="1">
      <c r="A23" s="56">
        <v>9</v>
      </c>
      <c r="B23" s="57"/>
      <c r="C23" s="57"/>
      <c r="D23" s="59"/>
    </row>
    <row r="24" spans="1:4" ht="20" customHeight="1">
      <c r="A24" s="51">
        <v>10</v>
      </c>
      <c r="B24" s="52"/>
      <c r="C24" s="52"/>
      <c r="D24" s="55"/>
    </row>
    <row r="25" spans="1:4" ht="20" customHeight="1">
      <c r="A25" s="56">
        <v>11</v>
      </c>
      <c r="B25" s="57"/>
      <c r="C25" s="57"/>
      <c r="D25" s="59"/>
    </row>
    <row r="26" spans="1:4" ht="20" customHeight="1">
      <c r="A26" s="51">
        <v>12</v>
      </c>
      <c r="B26" s="52"/>
      <c r="C26" s="52"/>
      <c r="D26" s="55"/>
    </row>
    <row r="27" spans="1:4" ht="20" customHeight="1">
      <c r="A27" s="56">
        <v>13</v>
      </c>
      <c r="B27" s="57"/>
      <c r="C27" s="57"/>
      <c r="D27" s="59"/>
    </row>
    <row r="28" spans="1:4" ht="20" customHeight="1">
      <c r="A28" s="51">
        <v>14</v>
      </c>
      <c r="B28" s="52"/>
      <c r="C28" s="52"/>
      <c r="D28" s="55"/>
    </row>
    <row r="29" spans="1:4" ht="20" customHeight="1">
      <c r="A29" s="56">
        <v>15</v>
      </c>
      <c r="B29" s="57"/>
      <c r="C29" s="57"/>
      <c r="D29" s="59"/>
    </row>
    <row r="30" spans="1:4" ht="20" customHeight="1">
      <c r="A30" s="51">
        <v>16</v>
      </c>
      <c r="B30" s="52"/>
      <c r="C30" s="52"/>
      <c r="D30" s="55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 ht="22" customHeight="1">
      <c r="A37" s="8"/>
      <c r="B37" s="9" t="s">
        <v>189</v>
      </c>
      <c r="C37" s="9"/>
      <c r="D37" s="9"/>
    </row>
    <row r="38" spans="1:4" ht="81" customHeight="1">
      <c r="B38" s="19" t="s">
        <v>190</v>
      </c>
      <c r="C38" s="19"/>
      <c r="D38" s="19"/>
    </row>
    <row r="41" spans="1:4" ht="30" customHeight="1">
      <c r="B41" s="20" t="s">
        <v>90</v>
      </c>
      <c r="C41" s="20"/>
      <c r="D41" s="20"/>
    </row>
    <row r="43" spans="1:4" ht="24" customHeight="1">
      <c r="B43" s="21" t="s">
        <v>127</v>
      </c>
      <c r="C43" s="21"/>
    </row>
    <row r="44" spans="1:4" ht="24" customHeight="1">
      <c r="B44" s="22" t="s">
        <v>92</v>
      </c>
      <c r="C44" s="22"/>
    </row>
    <row r="45" spans="1:4" ht="24" customHeight="1">
      <c r="B45" s="23" t="s">
        <v>93</v>
      </c>
      <c r="C45" s="23"/>
    </row>
    <row r="46" spans="1:4" ht="24" customHeight="1">
      <c r="B46" s="24" t="s">
        <v>94</v>
      </c>
      <c r="C46" s="24"/>
    </row>
    <row r="47" spans="1:4" ht="24" customHeight="1">
      <c r="B47" s="21" t="s">
        <v>191</v>
      </c>
      <c r="C47" s="21"/>
    </row>
    <row r="48" spans="1:4" ht="24" customHeight="1">
      <c r="B48" s="22" t="s">
        <v>96</v>
      </c>
      <c r="C48" s="22"/>
    </row>
    <row r="49" spans="2:3" ht="24" customHeight="1">
      <c r="B49" s="22" t="s">
        <v>97</v>
      </c>
      <c r="C49" s="22"/>
    </row>
    <row r="50" spans="2:3" ht="24" customHeight="1">
      <c r="B50" s="25" t="s">
        <v>98</v>
      </c>
      <c r="C50" s="25"/>
    </row>
    <row r="51" spans="2:3" ht="24" customHeight="1">
      <c r="B51" s="22" t="s">
        <v>99</v>
      </c>
      <c r="C51" s="22"/>
    </row>
    <row r="52" spans="2:3" ht="24" customHeight="1">
      <c r="B52" s="24" t="s">
        <v>100</v>
      </c>
      <c r="C52" s="24"/>
    </row>
    <row r="53" spans="2:3" ht="24" customHeight="1">
      <c r="B53" s="21" t="s">
        <v>101</v>
      </c>
      <c r="C53" s="21"/>
    </row>
  </sheetData>
  <mergeCells count="26">
    <mergeCell ref="A2:B2"/>
    <mergeCell ref="A3:B3"/>
    <mergeCell ref="B3:D3"/>
    <mergeCell ref="B7:D7"/>
    <mergeCell ref="B8:C8"/>
    <mergeCell ref="B9:C9"/>
    <mergeCell ref="B10:C10"/>
    <mergeCell ref="B11:D11"/>
    <mergeCell ref="B13:D13"/>
    <mergeCell ref="B5:E5"/>
    <mergeCell ref="F5:I5"/>
    <mergeCell ref="J5:M5"/>
    <mergeCell ref="B37:D37"/>
    <mergeCell ref="B38:D38"/>
    <mergeCell ref="B41:D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dataValidations count="2">
    <dataValidation type="list" allowBlank="1" sqref="B15:B30">
      <formula1>ParticipantsList</formula1>
    </dataValidation>
    <dataValidation type="list" allowBlank="1" sqref="C15:C30">
      <formula1>ParticipantsList</formula1>
    </dataValidation>
  </dataValidations>
  <hyperlinks>
    <hyperlink ref="B3" location="'🏠 Dashboard'!A1" display="🏠  Dashboard"/>
    <hyperlink ref="B43" location="'⚙️ Settings &amp; Instructions'!A1" display="Settings"/>
    <hyperlink ref="B44" location="'🏠 Dashboard'!A1" display="Dashboard"/>
    <hyperlink ref="B45" location="'👥 Participants'!A1" display="People"/>
    <hyperlink ref="B46" location="'🎅 Secret Santa Draw'!A1" display="Draw"/>
    <hyperlink ref="B47" location="'🚫 Exclusions &amp; Rules'!A1" display="▶ Rules"/>
    <hyperlink ref="B48" location="'💰 Budget Tracker'!A1" display="Budget"/>
    <hyperlink ref="B49" location="'🎁 Wishlists'!A1" display="Wishlists"/>
    <hyperlink ref="B50" location="'🎲 White Elephant'!A1" display="White Elephant"/>
    <hyperlink ref="B51" location="'🔄 Game History'!A1" display="History"/>
    <hyperlink ref="B52" location="'🎟️ Santa Cards'!A1" display="Cards"/>
    <hyperlink ref="B53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9.7109375" customWidth="1"/>
    <col min="4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</row>
    <row r="2" spans="1:15" ht="32" customHeight="1">
      <c r="A2" s="8"/>
      <c r="B2" s="44" t="s">
        <v>192</v>
      </c>
      <c r="C2" s="44"/>
      <c r="D2" s="44"/>
      <c r="E2" s="44"/>
      <c r="F2" s="44"/>
      <c r="G2" s="8"/>
      <c r="H2" s="8"/>
      <c r="I2" s="8"/>
    </row>
    <row r="3" spans="1:15" ht="18" customHeight="1">
      <c r="A3" s="8"/>
      <c r="B3" s="45" t="s">
        <v>193</v>
      </c>
      <c r="C3" s="45"/>
      <c r="D3" s="45"/>
      <c r="E3" s="45"/>
      <c r="F3" s="45"/>
      <c r="G3" s="46" t="s">
        <v>31</v>
      </c>
      <c r="H3" s="46"/>
      <c r="I3" s="46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</row>
    <row r="5" spans="1:15" ht="22" customHeight="1">
      <c r="A5" s="8"/>
      <c r="B5" s="47" t="str">
        <f>"💸 Total spent: "&amp;Currency&amp;TEXT(SUM($E$8:$E$31),"#,##0.00")</f>
        <v>Total spent: $318.80</v>
      </c>
      <c r="C5" s="47"/>
      <c r="D5" s="47"/>
      <c r="E5" s="47"/>
      <c r="F5" s="70" t="str">
        <f>"📊 Average gift: "&amp;Currency&amp;TEXT('_Data'!$AI$11,"#,##0.00")</f>
        <v>Average gift: $31.88</v>
      </c>
      <c r="G5" s="70"/>
      <c r="H5" s="70"/>
      <c r="I5" s="70"/>
      <c r="J5" s="60" t="str">
        <f>"🚨 Over budget: "&amp;COUNTIF($F$8:$F$31,"🚨 Over budget")</f>
        <v>Over budget: 1</v>
      </c>
      <c r="K5" s="60"/>
      <c r="L5" s="60"/>
      <c r="M5" s="48" t="str">
        <f>"🧾 Receipts filed: "&amp;COUNTIF($G$8:$G$31,"✓")</f>
        <v>Receipts filed: 6</v>
      </c>
      <c r="N5" s="48"/>
      <c r="O5" s="48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</row>
    <row r="7" spans="1:15" ht="36" customHeight="1">
      <c r="A7" s="17" t="s">
        <v>131</v>
      </c>
      <c r="B7" s="17" t="s">
        <v>194</v>
      </c>
      <c r="C7" s="17" t="s">
        <v>195</v>
      </c>
      <c r="D7" s="17" t="s">
        <v>196</v>
      </c>
      <c r="E7" s="17" t="s">
        <v>197</v>
      </c>
      <c r="F7" s="17" t="s">
        <v>198</v>
      </c>
      <c r="G7" s="17" t="s">
        <v>199</v>
      </c>
      <c r="H7" s="17" t="s">
        <v>200</v>
      </c>
      <c r="I7" s="17" t="s">
        <v>139</v>
      </c>
    </row>
    <row r="8" spans="1:15" ht="20" customHeight="1">
      <c r="A8" s="51">
        <v>1</v>
      </c>
      <c r="B8" s="52" t="str">
        <f>IF('🎅 Secret Santa Draw'!$C$8="","",'🎅 Secret Santa Draw'!$C$8)</f>
        <v>Farid Khan</v>
      </c>
      <c r="C8" s="71">
        <f>BudgetMin</f>
        <v>20.0</v>
      </c>
      <c r="D8" s="71">
        <f>BudgetMax</f>
        <v>35.0</v>
      </c>
      <c r="E8" s="72">
        <v>32.5</v>
      </c>
      <c r="F8" s="73" t="str">
        <f>IF($E8="","",IF($E8&lt;$C8,"🔴 Under budget",IF($E8&gt;$D8,"🚨 Over budget","✅ Within budget")))</f>
        <v>✅ Within budget</v>
      </c>
      <c r="G8" s="74" t="s">
        <v>87</v>
      </c>
      <c r="H8" s="53" t="s">
        <v>201</v>
      </c>
      <c r="I8" s="55"/>
    </row>
    <row r="9" spans="1:15" ht="20" customHeight="1">
      <c r="A9" s="56">
        <v>2</v>
      </c>
      <c r="B9" s="57" t="str">
        <f>IF('🎅 Secret Santa Draw'!$C$9="","",'🎅 Secret Santa Draw'!$C$9)</f>
        <v>Grace Liu</v>
      </c>
      <c r="C9" s="71">
        <f>BudgetMin</f>
        <v>20.0</v>
      </c>
      <c r="D9" s="71">
        <f>BudgetMax</f>
        <v>35.0</v>
      </c>
      <c r="E9" s="75">
        <v>24</v>
      </c>
      <c r="F9" s="73" t="str">
        <f>IF($E9="","",IF($E9&lt;$C9,"🔴 Under budget",IF($E9&gt;$D9,"🚨 Over budget","✅ Within budget")))</f>
        <v>✅ Within budget</v>
      </c>
      <c r="G9" s="76"/>
      <c r="H9" s="58"/>
      <c r="I9" s="59"/>
    </row>
    <row r="10" spans="1:15" ht="20" customHeight="1">
      <c r="A10" s="51">
        <v>3</v>
      </c>
      <c r="B10" s="52" t="str">
        <f>IF('🎅 Secret Santa Draw'!$C$10="","",'🎅 Secret Santa Draw'!$C$10)</f>
        <v>Hugo Silva</v>
      </c>
      <c r="C10" s="71">
        <f>BudgetMin</f>
        <v>20.0</v>
      </c>
      <c r="D10" s="71">
        <f>BudgetMax</f>
        <v>35.0</v>
      </c>
      <c r="E10" s="72">
        <v>28.75</v>
      </c>
      <c r="F10" s="73" t="str">
        <f>IF($E10="","",IF($E10&lt;$C10,"🔴 Under budget",IF($E10&gt;$D10,"🚨 Over budget","✅ Within budget")))</f>
        <v>✅ Within budget</v>
      </c>
      <c r="G10" s="74" t="s">
        <v>87</v>
      </c>
      <c r="H10" s="53" t="s">
        <v>202</v>
      </c>
      <c r="I10" s="55"/>
    </row>
    <row r="11" spans="1:15" ht="20" customHeight="1">
      <c r="A11" s="56">
        <v>4</v>
      </c>
      <c r="B11" s="57" t="str">
        <f>IF('🎅 Secret Santa Draw'!$C$11="","",'🎅 Secret Santa Draw'!$C$11)</f>
        <v>Isla Moore</v>
      </c>
      <c r="C11" s="71">
        <f>BudgetMin</f>
        <v>20.0</v>
      </c>
      <c r="D11" s="71">
        <f>BudgetMax</f>
        <v>35.0</v>
      </c>
      <c r="E11" s="75">
        <v>31.2</v>
      </c>
      <c r="F11" s="73" t="str">
        <f>IF($E11="","",IF($E11&lt;$C11,"🔴 Under budget",IF($E11&gt;$D11,"🚨 Over budget","✅ Within budget")))</f>
        <v>✅ Within budget</v>
      </c>
      <c r="G11" s="76"/>
      <c r="H11" s="58"/>
      <c r="I11" s="59"/>
    </row>
    <row r="12" spans="1:15" ht="20" customHeight="1">
      <c r="A12" s="51">
        <v>5</v>
      </c>
      <c r="B12" s="52" t="str">
        <f>IF('🎅 Secret Santa Draw'!$C$12="","",'🎅 Secret Santa Draw'!$C$12)</f>
        <v>Jack Byrne</v>
      </c>
      <c r="C12" s="71">
        <f>BudgetMin</f>
        <v>20.0</v>
      </c>
      <c r="D12" s="71">
        <f>BudgetMax</f>
        <v>35.0</v>
      </c>
      <c r="E12" s="72">
        <v>18</v>
      </c>
      <c r="F12" s="73" t="str">
        <f>IF($E12="","",IF($E12&lt;$C12,"🔴 Under budget",IF($E12&gt;$D12,"🚨 Over budget","✅ Within budget")))</f>
        <v>🔴 Under budget</v>
      </c>
      <c r="G12" s="74"/>
      <c r="H12" s="53"/>
      <c r="I12" s="55"/>
    </row>
    <row r="13" spans="1:15" ht="20" customHeight="1">
      <c r="A13" s="56">
        <v>6</v>
      </c>
      <c r="B13" s="57" t="str">
        <f>IF('🎅 Secret Santa Draw'!$C$13="","",'🎅 Secret Santa Draw'!$C$13)</f>
        <v>Kia Osei</v>
      </c>
      <c r="C13" s="71">
        <f>BudgetMin</f>
        <v>20.0</v>
      </c>
      <c r="D13" s="71">
        <f>BudgetMax</f>
        <v>35.0</v>
      </c>
      <c r="E13" s="75">
        <v>26.4</v>
      </c>
      <c r="F13" s="73" t="str">
        <f>IF($E13="","",IF($E13&lt;$C13,"🔴 Under budget",IF($E13&gt;$D13,"🚨 Over budget","✅ Within budget")))</f>
        <v>✅ Within budget</v>
      </c>
      <c r="G13" s="76" t="s">
        <v>87</v>
      </c>
      <c r="H13" s="58" t="s">
        <v>203</v>
      </c>
      <c r="I13" s="59"/>
    </row>
    <row r="14" spans="1:15" ht="20" customHeight="1">
      <c r="A14" s="51">
        <v>7</v>
      </c>
      <c r="B14" s="52" t="str">
        <f>IF('🎅 Secret Santa Draw'!$C$14="","",'🎅 Secret Santa Draw'!$C$14)</f>
        <v>Leo Fontaine</v>
      </c>
      <c r="C14" s="71">
        <f>BudgetMin</f>
        <v>20.0</v>
      </c>
      <c r="D14" s="71">
        <f>BudgetMax</f>
        <v>35.0</v>
      </c>
      <c r="E14" s="72">
        <v>33.1</v>
      </c>
      <c r="F14" s="73" t="str">
        <f>IF($E14="","",IF($E14&lt;$C14,"🔴 Under budget",IF($E14&gt;$D14,"🚨 Over budget","✅ Within budget")))</f>
        <v>✅ Within budget</v>
      </c>
      <c r="G14" s="74"/>
      <c r="H14" s="53"/>
      <c r="I14" s="55"/>
    </row>
    <row r="15" spans="1:15" ht="20" customHeight="1">
      <c r="A15" s="56">
        <v>8</v>
      </c>
      <c r="B15" s="57" t="str">
        <f>IF('🎅 Secret Santa Draw'!$C$15="","",'🎅 Secret Santa Draw'!$C$15)</f>
        <v>Ava Novak</v>
      </c>
      <c r="C15" s="71">
        <f>BudgetMin</f>
        <v>20.0</v>
      </c>
      <c r="D15" s="71">
        <f>BudgetMax</f>
        <v>35.0</v>
      </c>
      <c r="E15" s="75">
        <v>42</v>
      </c>
      <c r="F15" s="73" t="str">
        <f>IF($E15="","",IF($E15&lt;$C15,"🔴 Under budget",IF($E15&gt;$D15,"🚨 Over budget","✅ Within budget")))</f>
        <v>🚨 Over budget</v>
      </c>
      <c r="G15" s="76" t="s">
        <v>87</v>
      </c>
      <c r="H15" s="58" t="s">
        <v>204</v>
      </c>
      <c r="I15" s="59"/>
    </row>
    <row r="16" spans="1:15" ht="20" customHeight="1">
      <c r="A16" s="51">
        <v>9</v>
      </c>
      <c r="B16" s="52" t="str">
        <f>IF('🎅 Secret Santa Draw'!$C$16="","",'🎅 Secret Santa Draw'!$C$16)</f>
        <v>Ben Carter</v>
      </c>
      <c r="C16" s="71">
        <f>BudgetMin</f>
        <v>20.0</v>
      </c>
      <c r="D16" s="71">
        <f>BudgetMax</f>
        <v>35.0</v>
      </c>
      <c r="E16" s="72"/>
      <c r="F16" s="73" t="str">
        <f>IF($E16="","",IF($E16&lt;$C16,"🔴 Under budget",IF($E16&gt;$D16,"🚨 Over budget","✅ Within budget")))</f>
        <v>🔴 Under budget</v>
      </c>
      <c r="G16" s="74"/>
      <c r="H16" s="53"/>
      <c r="I16" s="55"/>
    </row>
    <row r="17" spans="1:9" ht="20" customHeight="1">
      <c r="A17" s="56">
        <v>10</v>
      </c>
      <c r="B17" s="57" t="str">
        <f>IF('🎅 Secret Santa Draw'!$C$17="","",'🎅 Secret Santa Draw'!$C$17)</f>
        <v>Chloe Diaz</v>
      </c>
      <c r="C17" s="71">
        <f>BudgetMin</f>
        <v>20.0</v>
      </c>
      <c r="D17" s="71">
        <f>BudgetMax</f>
        <v>35.0</v>
      </c>
      <c r="E17" s="75">
        <v>29.95</v>
      </c>
      <c r="F17" s="73" t="str">
        <f>IF($E17="","",IF($E17&lt;$C17,"🔴 Under budget",IF($E17&gt;$D17,"🚨 Over budget","✅ Within budget")))</f>
        <v>✅ Within budget</v>
      </c>
      <c r="G17" s="76" t="s">
        <v>87</v>
      </c>
      <c r="H17" s="58" t="s">
        <v>205</v>
      </c>
      <c r="I17" s="59"/>
    </row>
    <row r="18" spans="1:9" ht="20" customHeight="1">
      <c r="A18" s="51">
        <v>11</v>
      </c>
      <c r="B18" s="52" t="str">
        <f>IF('🎅 Secret Santa Draw'!$C$18="","",'🎅 Secret Santa Draw'!$C$18)</f>
        <v>Dan Novak</v>
      </c>
      <c r="C18" s="71">
        <f>BudgetMin</f>
        <v>20.0</v>
      </c>
      <c r="D18" s="71">
        <f>BudgetMax</f>
        <v>35.0</v>
      </c>
      <c r="E18" s="72">
        <v>27.3</v>
      </c>
      <c r="F18" s="73" t="str">
        <f>IF($E18="","",IF($E18&lt;$C18,"🔴 Under budget",IF($E18&gt;$D18,"🚨 Over budget","✅ Within budget")))</f>
        <v>✅ Within budget</v>
      </c>
      <c r="G18" s="74"/>
      <c r="H18" s="53"/>
      <c r="I18" s="55"/>
    </row>
    <row r="19" spans="1:9" ht="20" customHeight="1">
      <c r="A19" s="56">
        <v>12</v>
      </c>
      <c r="B19" s="57" t="str">
        <f>IF('🎅 Secret Santa Draw'!$C$19="","",'🎅 Secret Santa Draw'!$C$19)</f>
        <v>Elena Petrov</v>
      </c>
      <c r="C19" s="71">
        <f>BudgetMin</f>
        <v>20.0</v>
      </c>
      <c r="D19" s="71">
        <f>BudgetMax</f>
        <v>35.0</v>
      </c>
      <c r="E19" s="75">
        <v>25.6</v>
      </c>
      <c r="F19" s="73" t="str">
        <f>IF($E19="","",IF($E19&lt;$C19,"🔴 Under budget",IF($E19&gt;$D19,"🚨 Over budget","✅ Within budget")))</f>
        <v>✅ Within budget</v>
      </c>
      <c r="G19" s="76" t="s">
        <v>87</v>
      </c>
      <c r="H19" s="58" t="s">
        <v>206</v>
      </c>
      <c r="I19" s="59"/>
    </row>
    <row r="20" spans="1:9" ht="20" customHeight="1">
      <c r="A20" s="51">
        <v>13</v>
      </c>
      <c r="B20" s="52">
        <f>IF('🎅 Secret Santa Draw'!$C$20="","",'🎅 Secret Santa Draw'!$C$20)</f>
        <v/>
      </c>
      <c r="C20" s="71">
        <f>BudgetMin</f>
        <v>20.0</v>
      </c>
      <c r="D20" s="71">
        <f>BudgetMax</f>
        <v>35.0</v>
      </c>
      <c r="E20" s="72"/>
      <c r="F20" s="73">
        <f>IF($E20="","",IF($E20&lt;$C20,"🔴 Under budget",IF($E20&gt;$D20,"🚨 Over budget","✅ Within budget")))</f>
        <v/>
      </c>
      <c r="G20" s="74"/>
      <c r="H20" s="53"/>
      <c r="I20" s="55"/>
    </row>
    <row r="21" spans="1:9" ht="20" customHeight="1">
      <c r="A21" s="56">
        <v>14</v>
      </c>
      <c r="B21" s="57">
        <f>IF('🎅 Secret Santa Draw'!$C$21="","",'🎅 Secret Santa Draw'!$C$21)</f>
        <v/>
      </c>
      <c r="C21" s="71">
        <f>BudgetMin</f>
        <v>20.0</v>
      </c>
      <c r="D21" s="71">
        <f>BudgetMax</f>
        <v>35.0</v>
      </c>
      <c r="E21" s="75"/>
      <c r="F21" s="73">
        <f>IF($E21="","",IF($E21&lt;$C21,"🔴 Under budget",IF($E21&gt;$D21,"🚨 Over budget","✅ Within budget")))</f>
        <v/>
      </c>
      <c r="G21" s="76"/>
      <c r="H21" s="58"/>
      <c r="I21" s="59"/>
    </row>
    <row r="22" spans="1:9" ht="20" customHeight="1">
      <c r="A22" s="51">
        <v>15</v>
      </c>
      <c r="B22" s="52">
        <f>IF('🎅 Secret Santa Draw'!$C$22="","",'🎅 Secret Santa Draw'!$C$22)</f>
        <v/>
      </c>
      <c r="C22" s="71">
        <f>BudgetMin</f>
        <v>20.0</v>
      </c>
      <c r="D22" s="71">
        <f>BudgetMax</f>
        <v>35.0</v>
      </c>
      <c r="E22" s="72"/>
      <c r="F22" s="73">
        <f>IF($E22="","",IF($E22&lt;$C22,"🔴 Under budget",IF($E22&gt;$D22,"🚨 Over budget","✅ Within budget")))</f>
        <v/>
      </c>
      <c r="G22" s="74"/>
      <c r="H22" s="53"/>
      <c r="I22" s="55"/>
    </row>
    <row r="23" spans="1:9" ht="20" customHeight="1">
      <c r="A23" s="56">
        <v>16</v>
      </c>
      <c r="B23" s="57">
        <f>IF('🎅 Secret Santa Draw'!$C$23="","",'🎅 Secret Santa Draw'!$C$23)</f>
        <v/>
      </c>
      <c r="C23" s="71">
        <f>BudgetMin</f>
        <v>20.0</v>
      </c>
      <c r="D23" s="71">
        <f>BudgetMax</f>
        <v>35.0</v>
      </c>
      <c r="E23" s="75"/>
      <c r="F23" s="73">
        <f>IF($E23="","",IF($E23&lt;$C23,"🔴 Under budget",IF($E23&gt;$D23,"🚨 Over budget","✅ Within budget")))</f>
        <v/>
      </c>
      <c r="G23" s="76"/>
      <c r="H23" s="58"/>
      <c r="I23" s="59"/>
    </row>
    <row r="24" spans="1:9" ht="20" customHeight="1">
      <c r="A24" s="51">
        <v>17</v>
      </c>
      <c r="B24" s="52">
        <f>IF('🎅 Secret Santa Draw'!$C$24="","",'🎅 Secret Santa Draw'!$C$24)</f>
        <v/>
      </c>
      <c r="C24" s="71">
        <f>BudgetMin</f>
        <v>20.0</v>
      </c>
      <c r="D24" s="71">
        <f>BudgetMax</f>
        <v>35.0</v>
      </c>
      <c r="E24" s="72"/>
      <c r="F24" s="73">
        <f>IF($E24="","",IF($E24&lt;$C24,"🔴 Under budget",IF($E24&gt;$D24,"🚨 Over budget","✅ Within budget")))</f>
        <v/>
      </c>
      <c r="G24" s="74"/>
      <c r="H24" s="53"/>
      <c r="I24" s="55"/>
    </row>
    <row r="25" spans="1:9" ht="20" customHeight="1">
      <c r="A25" s="56">
        <v>18</v>
      </c>
      <c r="B25" s="57">
        <f>IF('🎅 Secret Santa Draw'!$C$25="","",'🎅 Secret Santa Draw'!$C$25)</f>
        <v/>
      </c>
      <c r="C25" s="71">
        <f>BudgetMin</f>
        <v>20.0</v>
      </c>
      <c r="D25" s="71">
        <f>BudgetMax</f>
        <v>35.0</v>
      </c>
      <c r="E25" s="75"/>
      <c r="F25" s="73">
        <f>IF($E25="","",IF($E25&lt;$C25,"🔴 Under budget",IF($E25&gt;$D25,"🚨 Over budget","✅ Within budget")))</f>
        <v/>
      </c>
      <c r="G25" s="76"/>
      <c r="H25" s="58"/>
      <c r="I25" s="59"/>
    </row>
    <row r="26" spans="1:9" ht="20" customHeight="1">
      <c r="A26" s="51">
        <v>19</v>
      </c>
      <c r="B26" s="52">
        <f>IF('🎅 Secret Santa Draw'!$C$26="","",'🎅 Secret Santa Draw'!$C$26)</f>
        <v/>
      </c>
      <c r="C26" s="71">
        <f>BudgetMin</f>
        <v>20.0</v>
      </c>
      <c r="D26" s="71">
        <f>BudgetMax</f>
        <v>35.0</v>
      </c>
      <c r="E26" s="72"/>
      <c r="F26" s="73">
        <f>IF($E26="","",IF($E26&lt;$C26,"🔴 Under budget",IF($E26&gt;$D26,"🚨 Over budget","✅ Within budget")))</f>
        <v/>
      </c>
      <c r="G26" s="74"/>
      <c r="H26" s="53"/>
      <c r="I26" s="55"/>
    </row>
    <row r="27" spans="1:9" ht="20" customHeight="1">
      <c r="A27" s="56">
        <v>20</v>
      </c>
      <c r="B27" s="57">
        <f>IF('🎅 Secret Santa Draw'!$C$27="","",'🎅 Secret Santa Draw'!$C$27)</f>
        <v/>
      </c>
      <c r="C27" s="71">
        <f>BudgetMin</f>
        <v>20.0</v>
      </c>
      <c r="D27" s="71">
        <f>BudgetMax</f>
        <v>35.0</v>
      </c>
      <c r="E27" s="75"/>
      <c r="F27" s="73">
        <f>IF($E27="","",IF($E27&lt;$C27,"🔴 Under budget",IF($E27&gt;$D27,"🚨 Over budget","✅ Within budget")))</f>
        <v/>
      </c>
      <c r="G27" s="76"/>
      <c r="H27" s="58"/>
      <c r="I27" s="59"/>
    </row>
    <row r="28" spans="1:9" ht="20" customHeight="1">
      <c r="A28" s="51">
        <v>21</v>
      </c>
      <c r="B28" s="52">
        <f>IF('🎅 Secret Santa Draw'!$C$28="","",'🎅 Secret Santa Draw'!$C$28)</f>
        <v/>
      </c>
      <c r="C28" s="71">
        <f>BudgetMin</f>
        <v>20.0</v>
      </c>
      <c r="D28" s="71">
        <f>BudgetMax</f>
        <v>35.0</v>
      </c>
      <c r="E28" s="72"/>
      <c r="F28" s="73">
        <f>IF($E28="","",IF($E28&lt;$C28,"🔴 Under budget",IF($E28&gt;$D28,"🚨 Over budget","✅ Within budget")))</f>
        <v/>
      </c>
      <c r="G28" s="74"/>
      <c r="H28" s="53"/>
      <c r="I28" s="55"/>
    </row>
    <row r="29" spans="1:9" ht="20" customHeight="1">
      <c r="A29" s="56">
        <v>22</v>
      </c>
      <c r="B29" s="57">
        <f>IF('🎅 Secret Santa Draw'!$C$29="","",'🎅 Secret Santa Draw'!$C$29)</f>
        <v/>
      </c>
      <c r="C29" s="71">
        <f>BudgetMin</f>
        <v>20.0</v>
      </c>
      <c r="D29" s="71">
        <f>BudgetMax</f>
        <v>35.0</v>
      </c>
      <c r="E29" s="75"/>
      <c r="F29" s="73">
        <f>IF($E29="","",IF($E29&lt;$C29,"🔴 Under budget",IF($E29&gt;$D29,"🚨 Over budget","✅ Within budget")))</f>
        <v/>
      </c>
      <c r="G29" s="76"/>
      <c r="H29" s="58"/>
      <c r="I29" s="59"/>
    </row>
    <row r="30" spans="1:9" ht="20" customHeight="1">
      <c r="A30" s="51">
        <v>23</v>
      </c>
      <c r="B30" s="52">
        <f>IF('🎅 Secret Santa Draw'!$C$30="","",'🎅 Secret Santa Draw'!$C$30)</f>
        <v/>
      </c>
      <c r="C30" s="71">
        <f>BudgetMin</f>
        <v>20.0</v>
      </c>
      <c r="D30" s="71">
        <f>BudgetMax</f>
        <v>35.0</v>
      </c>
      <c r="E30" s="72"/>
      <c r="F30" s="73">
        <f>IF($E30="","",IF($E30&lt;$C30,"🔴 Under budget",IF($E30&gt;$D30,"🚨 Over budget","✅ Within budget")))</f>
        <v/>
      </c>
      <c r="G30" s="74"/>
      <c r="H30" s="53"/>
      <c r="I30" s="55"/>
    </row>
    <row r="31" spans="1:9" ht="20" customHeight="1">
      <c r="A31" s="56">
        <v>24</v>
      </c>
      <c r="B31" s="57">
        <f>IF('🎅 Secret Santa Draw'!$C$31="","",'🎅 Secret Santa Draw'!$C$31)</f>
        <v/>
      </c>
      <c r="C31" s="71">
        <f>BudgetMin</f>
        <v>20.0</v>
      </c>
      <c r="D31" s="71">
        <f>BudgetMax</f>
        <v>35.0</v>
      </c>
      <c r="E31" s="75"/>
      <c r="F31" s="73">
        <f>IF($E31="","",IF($E31&lt;$C31,"🔴 Under budget",IF($E31&gt;$D31,"🚨 Over budget","✅ Within budget")))</f>
        <v/>
      </c>
      <c r="G31" s="76"/>
      <c r="H31" s="58"/>
      <c r="I31" s="59"/>
    </row>
    <row r="32" spans="1:9" ht="24" customHeight="1">
      <c r="A32" s="8"/>
      <c r="B32" s="77" t="s">
        <v>207</v>
      </c>
      <c r="C32" s="78"/>
      <c r="D32" s="78"/>
      <c r="E32" s="79">
        <f>SUM(E8:E31)</f>
        <v>318.8</v>
      </c>
      <c r="F32" s="78"/>
      <c r="G32" s="78"/>
      <c r="H32" s="78"/>
      <c r="I32" s="78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 ht="30" customHeight="1">
      <c r="A34" s="8"/>
      <c r="B34" s="20" t="s">
        <v>90</v>
      </c>
      <c r="C34" s="20"/>
      <c r="D34" s="20"/>
      <c r="E34" s="20"/>
      <c r="F34" s="20"/>
      <c r="G34" s="20"/>
      <c r="H34" s="20"/>
      <c r="I34" s="20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 ht="24" customHeight="1">
      <c r="A36" s="8"/>
      <c r="B36" s="21" t="s">
        <v>127</v>
      </c>
      <c r="C36" s="21"/>
      <c r="D36" s="22" t="s">
        <v>92</v>
      </c>
      <c r="E36" s="22"/>
      <c r="F36" s="23" t="s">
        <v>93</v>
      </c>
      <c r="G36" s="23"/>
      <c r="H36" s="24" t="s">
        <v>94</v>
      </c>
      <c r="I36" s="24"/>
    </row>
    <row r="37" spans="1:9" ht="24" customHeight="1">
      <c r="A37" s="8"/>
      <c r="B37" s="21" t="s">
        <v>95</v>
      </c>
      <c r="C37" s="21"/>
      <c r="D37" s="22" t="s">
        <v>208</v>
      </c>
      <c r="E37" s="22"/>
      <c r="F37" s="22" t="s">
        <v>97</v>
      </c>
      <c r="G37" s="22"/>
      <c r="H37" s="25" t="s">
        <v>98</v>
      </c>
      <c r="I37" s="25"/>
    </row>
    <row r="38" spans="1:9" ht="24" customHeight="1">
      <c r="A38" s="8"/>
      <c r="B38" s="22" t="s">
        <v>99</v>
      </c>
      <c r="C38" s="22"/>
      <c r="D38" s="24" t="s">
        <v>100</v>
      </c>
      <c r="E38" s="24"/>
      <c r="F38" s="21" t="s">
        <v>101</v>
      </c>
      <c r="G38" s="21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 count="19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🚫 Exclusions &amp; Rules'!A1" display="Rules"/>
    <hyperlink ref="D37" location="'💰 Budget Tracker'!A1" display="▶ Budget"/>
    <hyperlink ref="F37" location="'🎁 Wishlists'!A1" display="Wishlists"/>
    <hyperlink ref="H37" location="'🎲 White Elephant'!A1" display="White Elephant"/>
    <hyperlink ref="B38" location="'🔄 Game History'!A1" display="History"/>
    <hyperlink ref="D38" location="'🎟️ Santa Cards'!A1" display="Cards"/>
    <hyperlink ref="F38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M58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30.7109375" customWidth="1"/>
    <col min="4" max="4" width="13.7109375" customWidth="1"/>
    <col min="5" max="5" width="22.7109375" customWidth="1"/>
    <col min="6" max="6" width="9.7109375" customWidth="1"/>
    <col min="7" max="7" width="20.7109375" customWidth="1"/>
  </cols>
  <sheetData>
    <row r="1" spans="1:13" ht="7" customHeight="1">
      <c r="A1" s="8"/>
      <c r="B1" s="8"/>
      <c r="C1" s="8"/>
      <c r="D1" s="8"/>
      <c r="E1" s="8"/>
      <c r="F1" s="8"/>
      <c r="G1" s="8"/>
    </row>
    <row r="2" spans="1:13" ht="32" customHeight="1">
      <c r="A2" s="8"/>
      <c r="B2" s="44" t="s">
        <v>209</v>
      </c>
      <c r="C2" s="44"/>
      <c r="D2" s="44"/>
      <c r="E2" s="8"/>
      <c r="F2" s="8"/>
      <c r="G2" s="8"/>
    </row>
    <row r="3" spans="1:13" ht="18" customHeight="1">
      <c r="A3" s="8"/>
      <c r="B3" s="45" t="s">
        <v>210</v>
      </c>
      <c r="C3" s="45"/>
      <c r="D3" s="45"/>
      <c r="E3" s="46" t="s">
        <v>31</v>
      </c>
      <c r="F3" s="46"/>
      <c r="G3" s="46"/>
    </row>
    <row r="4" spans="1:13" ht="8" customHeight="1">
      <c r="A4" s="8"/>
      <c r="B4" s="8"/>
      <c r="C4" s="8"/>
      <c r="D4" s="8"/>
      <c r="E4" s="8"/>
      <c r="F4" s="8"/>
      <c r="G4" s="8"/>
    </row>
    <row r="5" spans="1:13" ht="22" customHeight="1">
      <c r="A5" s="8"/>
      <c r="B5" s="47" t="str">
        <f>"🎁 Wishes logged: "&amp;SUMPRODUCT(--($C$8:$C$47&lt;&gt;""))</f>
        <v>Wishes logged: 16</v>
      </c>
      <c r="C5" s="47"/>
      <c r="D5" s="47"/>
      <c r="E5" s="47"/>
      <c r="F5" s="48" t="str">
        <f>"✅ Claimed: "&amp;COUNTIF($F$8:$F$47,"✓")</f>
        <v>Claimed: 4</v>
      </c>
      <c r="G5" s="48"/>
      <c r="H5" s="48"/>
      <c r="I5" s="48"/>
      <c r="J5" s="60" t="str">
        <f>"❤️ Must-love open: "&amp;SUMPRODUCT(($D$8:$D$47="Must-love")*($F$8:$F$47&lt;&gt;"✓"))</f>
        <v>Must-love open: 4</v>
      </c>
      <c r="K5" s="60"/>
      <c r="L5" s="60"/>
      <c r="M5" s="60"/>
    </row>
    <row r="6" spans="1:13" ht="8" customHeight="1">
      <c r="A6" s="8"/>
      <c r="B6" s="8"/>
      <c r="C6" s="8"/>
      <c r="D6" s="8"/>
      <c r="E6" s="8"/>
      <c r="F6" s="8"/>
      <c r="G6" s="8"/>
    </row>
    <row r="7" spans="1:13" ht="36" customHeight="1">
      <c r="A7" s="17" t="s">
        <v>131</v>
      </c>
      <c r="B7" s="17" t="s">
        <v>132</v>
      </c>
      <c r="C7" s="17" t="s">
        <v>211</v>
      </c>
      <c r="D7" s="17" t="s">
        <v>212</v>
      </c>
      <c r="E7" s="17" t="s">
        <v>213</v>
      </c>
      <c r="F7" s="17" t="s">
        <v>214</v>
      </c>
      <c r="G7" s="17" t="s">
        <v>139</v>
      </c>
    </row>
    <row r="8" spans="1:13" ht="20" customHeight="1">
      <c r="A8" s="51">
        <v>1</v>
      </c>
      <c r="B8" s="52" t="s">
        <v>140</v>
      </c>
      <c r="C8" s="55" t="s">
        <v>215</v>
      </c>
      <c r="D8" s="53" t="s">
        <v>81</v>
      </c>
      <c r="E8" s="80" t="s">
        <v>216</v>
      </c>
      <c r="F8" s="74" t="s">
        <v>87</v>
      </c>
      <c r="G8" s="55" t="s">
        <v>217</v>
      </c>
    </row>
    <row r="9" spans="1:13" ht="20" customHeight="1">
      <c r="A9" s="56">
        <v>2</v>
      </c>
      <c r="B9" s="57" t="s">
        <v>140</v>
      </c>
      <c r="C9" s="59" t="s">
        <v>218</v>
      </c>
      <c r="D9" s="58" t="s">
        <v>82</v>
      </c>
      <c r="E9" s="81"/>
      <c r="F9" s="76"/>
      <c r="G9" s="59"/>
    </row>
    <row r="10" spans="1:13" ht="20" customHeight="1">
      <c r="A10" s="51">
        <v>3</v>
      </c>
      <c r="B10" s="52" t="s">
        <v>144</v>
      </c>
      <c r="C10" s="55" t="s">
        <v>219</v>
      </c>
      <c r="D10" s="53" t="s">
        <v>81</v>
      </c>
      <c r="E10" s="80" t="s">
        <v>220</v>
      </c>
      <c r="F10" s="74" t="s">
        <v>87</v>
      </c>
      <c r="G10" s="55" t="s">
        <v>221</v>
      </c>
    </row>
    <row r="11" spans="1:13" ht="20" customHeight="1">
      <c r="A11" s="56">
        <v>4</v>
      </c>
      <c r="B11" s="57" t="s">
        <v>146</v>
      </c>
      <c r="C11" s="59" t="s">
        <v>222</v>
      </c>
      <c r="D11" s="58" t="s">
        <v>82</v>
      </c>
      <c r="E11" s="81"/>
      <c r="F11" s="76"/>
      <c r="G11" s="59"/>
    </row>
    <row r="12" spans="1:13" ht="20" customHeight="1">
      <c r="A12" s="51">
        <v>5</v>
      </c>
      <c r="B12" s="52" t="s">
        <v>146</v>
      </c>
      <c r="C12" s="55" t="s">
        <v>223</v>
      </c>
      <c r="D12" s="53" t="s">
        <v>83</v>
      </c>
      <c r="E12" s="80"/>
      <c r="F12" s="74"/>
      <c r="G12" s="55"/>
    </row>
    <row r="13" spans="1:13" ht="20" customHeight="1">
      <c r="A13" s="56">
        <v>6</v>
      </c>
      <c r="B13" s="57" t="s">
        <v>148</v>
      </c>
      <c r="C13" s="59" t="s">
        <v>224</v>
      </c>
      <c r="D13" s="58" t="s">
        <v>81</v>
      </c>
      <c r="E13" s="81" t="s">
        <v>225</v>
      </c>
      <c r="F13" s="76"/>
      <c r="G13" s="59" t="s">
        <v>226</v>
      </c>
    </row>
    <row r="14" spans="1:13" ht="20" customHeight="1">
      <c r="A14" s="51">
        <v>7</v>
      </c>
      <c r="B14" s="52" t="s">
        <v>149</v>
      </c>
      <c r="C14" s="55" t="s">
        <v>227</v>
      </c>
      <c r="D14" s="53" t="s">
        <v>81</v>
      </c>
      <c r="E14" s="80"/>
      <c r="F14" s="74"/>
      <c r="G14" s="55"/>
    </row>
    <row r="15" spans="1:13" ht="20" customHeight="1">
      <c r="A15" s="56">
        <v>8</v>
      </c>
      <c r="B15" s="57" t="s">
        <v>151</v>
      </c>
      <c r="C15" s="59" t="s">
        <v>228</v>
      </c>
      <c r="D15" s="58" t="s">
        <v>82</v>
      </c>
      <c r="E15" s="81"/>
      <c r="F15" s="76" t="s">
        <v>87</v>
      </c>
      <c r="G15" s="59"/>
    </row>
    <row r="16" spans="1:13" ht="20" customHeight="1">
      <c r="A16" s="51">
        <v>9</v>
      </c>
      <c r="B16" s="52" t="s">
        <v>147</v>
      </c>
      <c r="C16" s="55" t="s">
        <v>229</v>
      </c>
      <c r="D16" s="53" t="s">
        <v>83</v>
      </c>
      <c r="E16" s="80"/>
      <c r="F16" s="74"/>
      <c r="G16" s="55"/>
    </row>
    <row r="17" spans="1:7" ht="20" customHeight="1">
      <c r="A17" s="56">
        <v>10</v>
      </c>
      <c r="B17" s="57" t="s">
        <v>147</v>
      </c>
      <c r="C17" s="59" t="s">
        <v>230</v>
      </c>
      <c r="D17" s="58" t="s">
        <v>81</v>
      </c>
      <c r="E17" s="81" t="s">
        <v>231</v>
      </c>
      <c r="F17" s="76"/>
      <c r="G17" s="59"/>
    </row>
    <row r="18" spans="1:7" ht="20" customHeight="1">
      <c r="A18" s="51">
        <v>11</v>
      </c>
      <c r="B18" s="52" t="s">
        <v>154</v>
      </c>
      <c r="C18" s="55" t="s">
        <v>232</v>
      </c>
      <c r="D18" s="53" t="s">
        <v>82</v>
      </c>
      <c r="E18" s="80"/>
      <c r="F18" s="74"/>
      <c r="G18" s="55"/>
    </row>
    <row r="19" spans="1:7" ht="20" customHeight="1">
      <c r="A19" s="56">
        <v>12</v>
      </c>
      <c r="B19" s="57" t="s">
        <v>142</v>
      </c>
      <c r="C19" s="59" t="s">
        <v>233</v>
      </c>
      <c r="D19" s="58" t="s">
        <v>81</v>
      </c>
      <c r="E19" s="81"/>
      <c r="F19" s="76"/>
      <c r="G19" s="59" t="s">
        <v>234</v>
      </c>
    </row>
    <row r="20" spans="1:7" ht="20" customHeight="1">
      <c r="A20" s="51">
        <v>13</v>
      </c>
      <c r="B20" s="52" t="s">
        <v>160</v>
      </c>
      <c r="C20" s="55" t="s">
        <v>235</v>
      </c>
      <c r="D20" s="53" t="s">
        <v>82</v>
      </c>
      <c r="E20" s="80"/>
      <c r="F20" s="74" t="s">
        <v>87</v>
      </c>
      <c r="G20" s="55"/>
    </row>
    <row r="21" spans="1:7" ht="20" customHeight="1">
      <c r="A21" s="56">
        <v>14</v>
      </c>
      <c r="B21" s="57" t="s">
        <v>157</v>
      </c>
      <c r="C21" s="59" t="s">
        <v>236</v>
      </c>
      <c r="D21" s="58" t="s">
        <v>83</v>
      </c>
      <c r="E21" s="81"/>
      <c r="F21" s="76"/>
      <c r="G21" s="59"/>
    </row>
    <row r="22" spans="1:7" ht="20" customHeight="1">
      <c r="A22" s="51">
        <v>15</v>
      </c>
      <c r="B22" s="52" t="s">
        <v>157</v>
      </c>
      <c r="C22" s="55" t="s">
        <v>237</v>
      </c>
      <c r="D22" s="53" t="s">
        <v>82</v>
      </c>
      <c r="E22" s="80"/>
      <c r="F22" s="74"/>
      <c r="G22" s="55"/>
    </row>
    <row r="23" spans="1:7" ht="20" customHeight="1">
      <c r="A23" s="56">
        <v>16</v>
      </c>
      <c r="B23" s="57" t="s">
        <v>156</v>
      </c>
      <c r="C23" s="59" t="s">
        <v>238</v>
      </c>
      <c r="D23" s="58" t="s">
        <v>82</v>
      </c>
      <c r="E23" s="81"/>
      <c r="F23" s="76"/>
      <c r="G23" s="59"/>
    </row>
    <row r="24" spans="1:7" ht="20" customHeight="1">
      <c r="A24" s="51">
        <v>17</v>
      </c>
      <c r="B24" s="52"/>
      <c r="C24" s="55"/>
      <c r="D24" s="53"/>
      <c r="E24" s="80"/>
      <c r="F24" s="74"/>
      <c r="G24" s="55"/>
    </row>
    <row r="25" spans="1:7" ht="20" customHeight="1">
      <c r="A25" s="56">
        <v>18</v>
      </c>
      <c r="B25" s="57"/>
      <c r="C25" s="59"/>
      <c r="D25" s="58"/>
      <c r="E25" s="81"/>
      <c r="F25" s="76"/>
      <c r="G25" s="59"/>
    </row>
    <row r="26" spans="1:7" ht="20" customHeight="1">
      <c r="A26" s="51">
        <v>19</v>
      </c>
      <c r="B26" s="52"/>
      <c r="C26" s="55"/>
      <c r="D26" s="53"/>
      <c r="E26" s="80"/>
      <c r="F26" s="74"/>
      <c r="G26" s="55"/>
    </row>
    <row r="27" spans="1:7" ht="20" customHeight="1">
      <c r="A27" s="56">
        <v>20</v>
      </c>
      <c r="B27" s="57"/>
      <c r="C27" s="59"/>
      <c r="D27" s="58"/>
      <c r="E27" s="81"/>
      <c r="F27" s="76"/>
      <c r="G27" s="59"/>
    </row>
    <row r="28" spans="1:7" ht="20" customHeight="1">
      <c r="A28" s="51">
        <v>21</v>
      </c>
      <c r="B28" s="52"/>
      <c r="C28" s="55"/>
      <c r="D28" s="53"/>
      <c r="E28" s="80"/>
      <c r="F28" s="74"/>
      <c r="G28" s="55"/>
    </row>
    <row r="29" spans="1:7" ht="20" customHeight="1">
      <c r="A29" s="56">
        <v>22</v>
      </c>
      <c r="B29" s="57"/>
      <c r="C29" s="59"/>
      <c r="D29" s="58"/>
      <c r="E29" s="81"/>
      <c r="F29" s="76"/>
      <c r="G29" s="59"/>
    </row>
    <row r="30" spans="1:7" ht="20" customHeight="1">
      <c r="A30" s="51">
        <v>23</v>
      </c>
      <c r="B30" s="52"/>
      <c r="C30" s="55"/>
      <c r="D30" s="53"/>
      <c r="E30" s="80"/>
      <c r="F30" s="74"/>
      <c r="G30" s="55"/>
    </row>
    <row r="31" spans="1:7" ht="20" customHeight="1">
      <c r="A31" s="56">
        <v>24</v>
      </c>
      <c r="B31" s="57"/>
      <c r="C31" s="59"/>
      <c r="D31" s="58"/>
      <c r="E31" s="81"/>
      <c r="F31" s="76"/>
      <c r="G31" s="59"/>
    </row>
    <row r="32" spans="1:7" ht="20" customHeight="1">
      <c r="A32" s="51">
        <v>25</v>
      </c>
      <c r="B32" s="52"/>
      <c r="C32" s="55"/>
      <c r="D32" s="53"/>
      <c r="E32" s="80"/>
      <c r="F32" s="74"/>
      <c r="G32" s="55"/>
    </row>
    <row r="33" spans="1:7" ht="20" customHeight="1">
      <c r="A33" s="56">
        <v>26</v>
      </c>
      <c r="B33" s="57"/>
      <c r="C33" s="59"/>
      <c r="D33" s="58"/>
      <c r="E33" s="81"/>
      <c r="F33" s="76"/>
      <c r="G33" s="59"/>
    </row>
    <row r="34" spans="1:7" ht="20" customHeight="1">
      <c r="A34" s="51">
        <v>27</v>
      </c>
      <c r="B34" s="52"/>
      <c r="C34" s="55"/>
      <c r="D34" s="53"/>
      <c r="E34" s="80"/>
      <c r="F34" s="74"/>
      <c r="G34" s="55"/>
    </row>
    <row r="35" spans="1:7" ht="20" customHeight="1">
      <c r="A35" s="56">
        <v>28</v>
      </c>
      <c r="B35" s="57"/>
      <c r="C35" s="59"/>
      <c r="D35" s="58"/>
      <c r="E35" s="81"/>
      <c r="F35" s="76"/>
      <c r="G35" s="59"/>
    </row>
    <row r="36" spans="1:7" ht="20" customHeight="1">
      <c r="A36" s="51">
        <v>29</v>
      </c>
      <c r="B36" s="52"/>
      <c r="C36" s="55"/>
      <c r="D36" s="53"/>
      <c r="E36" s="80"/>
      <c r="F36" s="74"/>
      <c r="G36" s="55"/>
    </row>
    <row r="37" spans="1:7" ht="20" customHeight="1">
      <c r="A37" s="56">
        <v>30</v>
      </c>
      <c r="B37" s="57"/>
      <c r="C37" s="59"/>
      <c r="D37" s="58"/>
      <c r="E37" s="81"/>
      <c r="F37" s="76"/>
      <c r="G37" s="59"/>
    </row>
    <row r="38" spans="1:7" ht="20" customHeight="1">
      <c r="A38" s="51">
        <v>31</v>
      </c>
      <c r="B38" s="52"/>
      <c r="C38" s="55"/>
      <c r="D38" s="53"/>
      <c r="E38" s="80"/>
      <c r="F38" s="74"/>
      <c r="G38" s="55"/>
    </row>
    <row r="39" spans="1:7" ht="20" customHeight="1">
      <c r="A39" s="56">
        <v>32</v>
      </c>
      <c r="B39" s="57"/>
      <c r="C39" s="59"/>
      <c r="D39" s="58"/>
      <c r="E39" s="81"/>
      <c r="F39" s="76"/>
      <c r="G39" s="59"/>
    </row>
    <row r="40" spans="1:7" ht="20" customHeight="1">
      <c r="A40" s="51">
        <v>33</v>
      </c>
      <c r="B40" s="52"/>
      <c r="C40" s="55"/>
      <c r="D40" s="53"/>
      <c r="E40" s="80"/>
      <c r="F40" s="74"/>
      <c r="G40" s="55"/>
    </row>
    <row r="41" spans="1:7" ht="20" customHeight="1">
      <c r="A41" s="56">
        <v>34</v>
      </c>
      <c r="B41" s="57"/>
      <c r="C41" s="59"/>
      <c r="D41" s="58"/>
      <c r="E41" s="81"/>
      <c r="F41" s="76"/>
      <c r="G41" s="59"/>
    </row>
    <row r="42" spans="1:7" ht="20" customHeight="1">
      <c r="A42" s="51">
        <v>35</v>
      </c>
      <c r="B42" s="52"/>
      <c r="C42" s="55"/>
      <c r="D42" s="53"/>
      <c r="E42" s="80"/>
      <c r="F42" s="74"/>
      <c r="G42" s="55"/>
    </row>
    <row r="43" spans="1:7" ht="20" customHeight="1">
      <c r="A43" s="56">
        <v>36</v>
      </c>
      <c r="B43" s="57"/>
      <c r="C43" s="59"/>
      <c r="D43" s="58"/>
      <c r="E43" s="81"/>
      <c r="F43" s="76"/>
      <c r="G43" s="59"/>
    </row>
    <row r="44" spans="1:7" ht="20" customHeight="1">
      <c r="A44" s="51">
        <v>37</v>
      </c>
      <c r="B44" s="52"/>
      <c r="C44" s="55"/>
      <c r="D44" s="53"/>
      <c r="E44" s="80"/>
      <c r="F44" s="74"/>
      <c r="G44" s="55"/>
    </row>
    <row r="45" spans="1:7" ht="20" customHeight="1">
      <c r="A45" s="56">
        <v>38</v>
      </c>
      <c r="B45" s="57"/>
      <c r="C45" s="59"/>
      <c r="D45" s="58"/>
      <c r="E45" s="81"/>
      <c r="F45" s="76"/>
      <c r="G45" s="59"/>
    </row>
    <row r="46" spans="1:7" ht="20" customHeight="1">
      <c r="A46" s="51">
        <v>39</v>
      </c>
      <c r="B46" s="52"/>
      <c r="C46" s="55"/>
      <c r="D46" s="53"/>
      <c r="E46" s="80"/>
      <c r="F46" s="74"/>
      <c r="G46" s="55"/>
    </row>
    <row r="47" spans="1:7" ht="20" customHeight="1">
      <c r="A47" s="56">
        <v>40</v>
      </c>
      <c r="B47" s="57"/>
      <c r="C47" s="59"/>
      <c r="D47" s="58"/>
      <c r="E47" s="81"/>
      <c r="F47" s="76"/>
      <c r="G47" s="59"/>
    </row>
    <row r="48" spans="1:7">
      <c r="A48" s="8"/>
      <c r="B48" s="8"/>
      <c r="C48" s="8"/>
      <c r="D48" s="8"/>
      <c r="E48" s="8"/>
      <c r="F48" s="8"/>
      <c r="G48" s="8"/>
    </row>
    <row r="49" spans="1:7" ht="30" customHeight="1">
      <c r="A49" s="8"/>
      <c r="B49" s="20" t="s">
        <v>90</v>
      </c>
      <c r="C49" s="20"/>
      <c r="D49" s="20"/>
      <c r="E49" s="20"/>
      <c r="F49" s="20"/>
      <c r="G49" s="20"/>
    </row>
    <row r="50" spans="1:7">
      <c r="A50" s="8"/>
      <c r="B50" s="8"/>
      <c r="C50" s="8"/>
      <c r="D50" s="8"/>
      <c r="E50" s="8"/>
      <c r="F50" s="8"/>
      <c r="G50" s="8"/>
    </row>
    <row r="51" spans="1:7" ht="24" customHeight="1">
      <c r="A51" s="8"/>
      <c r="B51" s="21" t="s">
        <v>127</v>
      </c>
      <c r="C51" s="21"/>
      <c r="D51" s="22" t="s">
        <v>92</v>
      </c>
      <c r="E51" s="22"/>
      <c r="F51" s="23" t="s">
        <v>93</v>
      </c>
      <c r="G51" s="23"/>
    </row>
    <row r="52" spans="1:7" ht="24" customHeight="1">
      <c r="A52" s="8"/>
      <c r="B52" s="24" t="s">
        <v>94</v>
      </c>
      <c r="C52" s="24"/>
      <c r="D52" s="21" t="s">
        <v>95</v>
      </c>
      <c r="E52" s="21"/>
      <c r="F52" s="22" t="s">
        <v>96</v>
      </c>
      <c r="G52" s="22"/>
    </row>
    <row r="53" spans="1:7" ht="24" customHeight="1">
      <c r="A53" s="8"/>
      <c r="B53" s="22" t="s">
        <v>239</v>
      </c>
      <c r="C53" s="22"/>
      <c r="D53" s="25" t="s">
        <v>98</v>
      </c>
      <c r="E53" s="25"/>
      <c r="F53" s="22" t="s">
        <v>99</v>
      </c>
      <c r="G53" s="22"/>
    </row>
    <row r="54" spans="1:7" ht="24" customHeight="1">
      <c r="A54" s="8"/>
      <c r="B54" s="24" t="s">
        <v>100</v>
      </c>
      <c r="C54" s="24"/>
      <c r="D54" s="21" t="s">
        <v>101</v>
      </c>
      <c r="E54" s="21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</sheetData>
  <mergeCells count="18">
    <mergeCell ref="B2:D2"/>
    <mergeCell ref="B3:D3"/>
    <mergeCell ref="E3:G3"/>
    <mergeCell ref="B5:E5"/>
    <mergeCell ref="F5:I5"/>
    <mergeCell ref="J5:M5"/>
    <mergeCell ref="B49:G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</mergeCells>
  <conditionalFormatting sqref="D8:D47">
    <cfRule type="expression" dxfId="3" priority="2">
      <formula>$D8="Must-love"</formula>
    </cfRule>
    <cfRule type="expression" dxfId="2" priority="3">
      <formula>$D8="Nice to have"</formula>
    </cfRule>
    <cfRule type="expression" dxfId="8" priority="4">
      <formula>$D8="Just an idea"</formula>
    </cfRule>
  </conditionalFormatting>
  <conditionalFormatting sqref="F8:F47">
    <cfRule type="expression" dxfId="5" priority="1">
      <formula>$F8="✓"</formula>
    </cfRule>
  </conditionalFormatting>
  <dataValidations count="3">
    <dataValidation type="list" allowBlank="1" sqref="B8:B47">
      <formula1>ParticipantsList</formula1>
    </dataValidation>
    <dataValidation type="list" allowBlank="1" sqref="D8:D47">
      <formula1>Priorities</formula1>
    </dataValidation>
    <dataValidation type="list" allowBlank="1" showInputMessage="1" promptTitle="Tick it off" prompt="Pick ✓ from the dropdown to tick it off (leave blank for not yet)." sqref="F8:F47">
      <formula1>Tick</formula1>
    </dataValidation>
  </dataValidations>
  <hyperlinks>
    <hyperlink ref="E3" location="'🏠 Dashboard'!A1" display="🏠  Dashboard"/>
    <hyperlink ref="E8" r:id="rId1"/>
    <hyperlink ref="E10" r:id="rId2"/>
    <hyperlink ref="E13" r:id="rId3"/>
    <hyperlink ref="E17" r:id="rId4"/>
    <hyperlink ref="B51" location="'⚙️ Settings &amp; Instructions'!A1" display="Settings"/>
    <hyperlink ref="D51" location="'🏠 Dashboard'!A1" display="Dashboard"/>
    <hyperlink ref="F51" location="'👥 Participants'!A1" display="People"/>
    <hyperlink ref="B52" location="'🎅 Secret Santa Draw'!A1" display="Draw"/>
    <hyperlink ref="D52" location="'🚫 Exclusions &amp; Rules'!A1" display="Rules"/>
    <hyperlink ref="F52" location="'💰 Budget Tracker'!A1" display="Budget"/>
    <hyperlink ref="B53" location="'🎁 Wishlists'!A1" display="▶ Wishlists"/>
    <hyperlink ref="D53" location="'🎲 White Elephant'!A1" display="White Elephant"/>
    <hyperlink ref="F53" location="'🔄 Game History'!A1" display="History"/>
    <hyperlink ref="B54" location="'🎟️ Santa Cards'!A1" display="Cards"/>
    <hyperlink ref="D5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7.7109375" customWidth="1"/>
    <col min="5" max="5" width="26.7109375" customWidth="1"/>
    <col min="6" max="6" width="10.7109375" customWidth="1"/>
    <col min="7" max="7" width="8.7109375" customWidth="1"/>
    <col min="8" max="8" width="8.7109375" customWidth="1"/>
    <col min="9" max="9" width="13.7109375" customWidth="1"/>
    <col min="10" max="10" width="18.7109375" customWidth="1"/>
    <col min="11" max="11" width="16.7109375" customWidth="1"/>
    <col min="12" max="12" width="9.7109375" customWidth="1"/>
    <col min="13" max="14" width="10.7109375" hidden="1" customWidth="1"/>
    <col min="14" max="14" width="10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ht="32" customHeight="1">
      <c r="A2" s="8"/>
      <c r="B2" s="44" t="s">
        <v>240</v>
      </c>
      <c r="C2" s="44"/>
      <c r="D2" s="44"/>
      <c r="E2" s="44"/>
      <c r="F2" s="44"/>
      <c r="G2" s="44"/>
      <c r="H2" s="44"/>
      <c r="I2" s="44"/>
      <c r="J2" s="8"/>
      <c r="K2" s="8"/>
      <c r="L2" s="8"/>
    </row>
    <row r="3" spans="1:15" ht="18" customHeight="1">
      <c r="A3" s="8"/>
      <c r="B3" s="45" t="s">
        <v>241</v>
      </c>
      <c r="C3" s="45"/>
      <c r="D3" s="45"/>
      <c r="E3" s="45"/>
      <c r="F3" s="45"/>
      <c r="G3" s="45"/>
      <c r="H3" s="45"/>
      <c r="I3" s="45"/>
      <c r="J3" s="46" t="s">
        <v>31</v>
      </c>
      <c r="K3" s="46"/>
      <c r="L3" s="46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5" ht="22" customHeight="1">
      <c r="A5" s="8"/>
      <c r="B5" s="47" t="str">
        <f>"🎲 Players: "&amp;COUNTA($C$8:$C$31)</f>
        <v>Players: 10</v>
      </c>
      <c r="C5" s="47"/>
      <c r="D5" s="47"/>
      <c r="E5" s="48" t="str">
        <f>"🎁 In play: "&amp;'_Data'!$AI$14</f>
        <v>In play: 7</v>
      </c>
      <c r="F5" s="48"/>
      <c r="G5" s="48"/>
      <c r="H5" s="60" t="str">
        <f>"🔒 Locked: "&amp;'_Data'!$AI$15</f>
        <v>Locked: 1</v>
      </c>
      <c r="I5" s="60"/>
      <c r="J5" s="60"/>
      <c r="K5" s="50" t="str">
        <f>"👉 Now: seat "&amp;'_Data'!$AI$18&amp;" ("&amp;IFERROR(INDEX($C$8:$C$31,MATCH('_Data'!$AI$18,$B$8:$B$31,0)),"game over")&amp;")"</f>
        <v>Now: seat 5 (Elena Petrov)</v>
      </c>
      <c r="L5" s="50"/>
      <c r="M5" s="50"/>
      <c r="N5" s="50"/>
      <c r="O5" s="50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5" ht="36" customHeight="1">
      <c r="A7" s="17" t="s">
        <v>131</v>
      </c>
      <c r="B7" s="17" t="s">
        <v>242</v>
      </c>
      <c r="C7" s="17" t="s">
        <v>243</v>
      </c>
      <c r="D7" s="17" t="s">
        <v>244</v>
      </c>
      <c r="E7" s="17" t="s">
        <v>245</v>
      </c>
      <c r="F7" s="17" t="s">
        <v>246</v>
      </c>
      <c r="G7" s="17" t="s">
        <v>247</v>
      </c>
      <c r="H7" s="17" t="s">
        <v>196</v>
      </c>
      <c r="I7" s="17" t="s">
        <v>137</v>
      </c>
      <c r="J7" s="17" t="s">
        <v>248</v>
      </c>
      <c r="K7" s="17" t="s">
        <v>249</v>
      </c>
      <c r="L7" s="17" t="s">
        <v>250</v>
      </c>
    </row>
    <row r="8" spans="1:15" ht="22" customHeight="1">
      <c r="A8" s="51">
        <v>1</v>
      </c>
      <c r="B8" s="82">
        <f>IF($C8="","",1+SUMPRODUCT(--($M$8:$M$31&gt;$M8)))</f>
        <v>9</v>
      </c>
      <c r="C8" s="52" t="s">
        <v>140</v>
      </c>
      <c r="D8" s="82">
        <f>IF($C8="","",1+SUMPRODUCT(--($N$8:$N$31&gt;$N8)))</f>
        <v>9</v>
      </c>
      <c r="E8" s="55" t="s">
        <v>251</v>
      </c>
      <c r="F8" s="72">
        <v>12</v>
      </c>
      <c r="G8" s="82">
        <f>IF($D8="","",COUNTIFS('🔄 Game History'!$E$8:$E$67,$D8,'🔄 Game History'!$D$8:$D$67,"Steal"))</f>
        <v>1</v>
      </c>
      <c r="H8" s="82">
        <f>IF($C8="","",MaxSteals)</f>
        <v>2</v>
      </c>
      <c r="I8" s="83" t="str">
        <f>IF($D8="","",IF($G8&gt;=$H8,"🔒 Final",IF(COUNTIFS('🔄 Game History'!$E$8:$E$67,$D8)=0,"🎁 Available",IF(INDEX('🔄 Game History'!$D$8:$D$67,SUMPRODUCT(('🔄 Game History'!$E$8:$E$67=$D8)*('🔄 Game History'!$G$8:$G$67=SUMPRODUCT(MAX(('🔄 Game History'!$E$8:$E$67=$D8)*'🔄 Game History'!$G$8:$G$67)))*(ROW('🔄 Game History'!$E$8:$E$67)-7)))="Steal","🔄 Stolen","🤲 Held"))))</f>
        <v>🔄 Stolen</v>
      </c>
      <c r="J8" s="84" t="str">
        <f>IF($D8="","",IF(COUNTIFS('🔄 Game History'!$E$8:$E$67,$D8)=0,"",INDEX('🔄 Game History'!$C$8:$C$67,SUMPRODUCT(('🔄 Game History'!$E$8:$E$67=$D8)*('🔄 Game History'!$G$8:$G$67=SUMPRODUCT(MAX(('🔄 Game History'!$E$8:$E$67=$D8)*'🔄 Game History'!$G$8:$G$67)))*(ROW('🔄 Game History'!$E$8:$E$67)-7)))))</f>
        <v>Ben Carter</v>
      </c>
      <c r="K8" s="84" t="str">
        <f>IF($I8="🔄 Stolen",IFERROR(INDEX('🔄 Game History'!$F$8:$F$67,SUMPRODUCT(('🔄 Game History'!$E$8:$E$67=$D8)*('🔄 Game History'!$G$8:$G$67=SUMPRODUCT(MAX(('🔄 Game History'!$E$8:$E$67=$D8)*'🔄 Game History'!$G$8:$G$67)))*(ROW('🔄 Game History'!$E$8:$E$67)-7))),""),"")</f>
        <v>Jack Byrne</v>
      </c>
      <c r="L8" s="85">
        <f>IF($C8="","",IF(COUNTA($J$8:$J$31)=COUNTA($C$8:$C$31),IFERROR(INDEX($D$8:$D$31,MATCH($C8,$J$8:$J$31,0)),""),"-"))</f>
        <v/>
      </c>
    </row>
    <row r="9" spans="1:15" ht="22" customHeight="1">
      <c r="A9" s="56">
        <v>2</v>
      </c>
      <c r="B9" s="82">
        <f>IF($C9="","",1+SUMPRODUCT(--($M$8:$M$31&gt;$M9)))</f>
        <v>7</v>
      </c>
      <c r="C9" s="57" t="s">
        <v>144</v>
      </c>
      <c r="D9" s="82">
        <f>IF($C9="","",1+SUMPRODUCT(--($N$8:$N$31&gt;$N9)))</f>
        <v>5</v>
      </c>
      <c r="E9" s="59" t="s">
        <v>252</v>
      </c>
      <c r="F9" s="75">
        <v>15.5</v>
      </c>
      <c r="G9" s="82">
        <f>IF($D9="","",COUNTIFS('🔄 Game History'!$E$8:$E$67,$D9,'🔄 Game History'!$D$8:$D$67,"Steal"))</f>
        <v>0</v>
      </c>
      <c r="H9" s="82">
        <f>IF($C9="","",MaxSteals)</f>
        <v>2</v>
      </c>
      <c r="I9" s="83" t="str">
        <f>IF($D9="","",IF($G9&gt;=$H9,"🔒 Final",IF(COUNTIFS('🔄 Game History'!$E$8:$E$67,$D9)=0,"🎁 Available",IF(INDEX('🔄 Game History'!$D$8:$D$67,SUMPRODUCT(('🔄 Game History'!$E$8:$E$67=$D9)*('🔄 Game History'!$G$8:$G$67=SUMPRODUCT(MAX(('🔄 Game History'!$E$8:$E$67=$D9)*'🔄 Game History'!$G$8:$G$67)))*(ROW('🔄 Game History'!$E$8:$E$67)-7)))="Steal","🔄 Stolen","🤲 Held"))))</f>
        <v>🤲 Held</v>
      </c>
      <c r="J9" s="84" t="str">
        <f>IF($D9="","",IF(COUNTIFS('🔄 Game History'!$E$8:$E$67,$D9)=0,"",INDEX('🔄 Game History'!$C$8:$C$67,SUMPRODUCT(('🔄 Game History'!$E$8:$E$67=$D9)*('🔄 Game History'!$G$8:$G$67=SUMPRODUCT(MAX(('🔄 Game History'!$E$8:$E$67=$D9)*'🔄 Game History'!$G$8:$G$67)))*(ROW('🔄 Game History'!$E$8:$E$67)-7)))))</f>
        <v>Dan Novak</v>
      </c>
      <c r="K9" s="84">
        <f>IF($I9="🔄 Stolen",IFERROR(INDEX('🔄 Game History'!$F$8:$F$67,SUMPRODUCT(('🔄 Game History'!$E$8:$E$67=$D9)*('🔄 Game History'!$G$8:$G$67=SUMPRODUCT(MAX(('🔄 Game History'!$E$8:$E$67=$D9)*'🔄 Game History'!$G$8:$G$67)))*(ROW('🔄 Game History'!$E$8:$E$67)-7))),""),"")</f>
        <v/>
      </c>
      <c r="L9" s="85">
        <f>IF($C9="","",IF(COUNTA($J$8:$J$31)=COUNTA($C$8:$C$31),IFERROR(INDEX($D$8:$D$31,MATCH($C9,$J$8:$J$31,0)),""),"-"))</f>
        <v/>
      </c>
    </row>
    <row r="10" spans="1:15" ht="22" customHeight="1">
      <c r="A10" s="51">
        <v>3</v>
      </c>
      <c r="B10" s="82">
        <f>IF($C10="","",1+SUMPRODUCT(--($M$8:$M$31&gt;$M10)))</f>
        <v>5</v>
      </c>
      <c r="C10" s="52" t="s">
        <v>146</v>
      </c>
      <c r="D10" s="82">
        <f>IF($C10="","",1+SUMPRODUCT(--($N$8:$N$31&gt;$N10)))</f>
        <v>2</v>
      </c>
      <c r="E10" s="55" t="s">
        <v>253</v>
      </c>
      <c r="F10" s="72">
        <v>20</v>
      </c>
      <c r="G10" s="82">
        <f>IF($D10="","",COUNTIFS('🔄 Game History'!$E$8:$E$67,$D10,'🔄 Game History'!$D$8:$D$67,"Steal"))</f>
        <v>0</v>
      </c>
      <c r="H10" s="82">
        <f>IF($C10="","",MaxSteals)</f>
        <v>2</v>
      </c>
      <c r="I10" s="83" t="str">
        <f>IF($D10="","",IF($G10&gt;=$H10,"🔒 Final",IF(COUNTIFS('🔄 Game History'!$E$8:$E$67,$D10)=0,"🎁 Available",IF(INDEX('🔄 Game History'!$D$8:$D$67,SUMPRODUCT(('🔄 Game History'!$E$8:$E$67=$D10)*('🔄 Game History'!$G$8:$G$67=SUMPRODUCT(MAX(('🔄 Game History'!$E$8:$E$67=$D10)*'🔄 Game History'!$G$8:$G$67)))*(ROW('🔄 Game History'!$E$8:$E$67)-7)))="Steal","🔄 Stolen","🤲 Held"))))</f>
        <v>🤲 Held</v>
      </c>
      <c r="J10" s="84" t="str">
        <f>IF($D10="","",IF(COUNTIFS('🔄 Game History'!$E$8:$E$67,$D10)=0,"",INDEX('🔄 Game History'!$C$8:$C$67,SUMPRODUCT(('🔄 Game History'!$E$8:$E$67=$D10)*('🔄 Game History'!$G$8:$G$67=SUMPRODUCT(MAX(('🔄 Game History'!$E$8:$E$67=$D10)*'🔄 Game History'!$G$8:$G$67)))*(ROW('🔄 Game History'!$E$8:$E$67)-7)))))</f>
        <v>Kia Osei</v>
      </c>
      <c r="K10" s="84">
        <f>IF($I10="🔄 Stolen",IFERROR(INDEX('🔄 Game History'!$F$8:$F$67,SUMPRODUCT(('🔄 Game History'!$E$8:$E$67=$D10)*('🔄 Game History'!$G$8:$G$67=SUMPRODUCT(MAX(('🔄 Game History'!$E$8:$E$67=$D10)*'🔄 Game History'!$G$8:$G$67)))*(ROW('🔄 Game History'!$E$8:$E$67)-7))),""),"")</f>
        <v/>
      </c>
      <c r="L10" s="85">
        <f>IF($C10="","",IF(COUNTA($J$8:$J$31)=COUNTA($C$8:$C$31),IFERROR(INDEX($D$8:$D$31,MATCH($C10,$J$8:$J$31,0)),""),"-"))</f>
        <v/>
      </c>
    </row>
    <row r="11" spans="1:15" ht="22" customHeight="1">
      <c r="A11" s="56">
        <v>4</v>
      </c>
      <c r="B11" s="82">
        <f>IF($C11="","",1+SUMPRODUCT(--($M$8:$M$31&gt;$M11)))</f>
        <v>3</v>
      </c>
      <c r="C11" s="57" t="s">
        <v>148</v>
      </c>
      <c r="D11" s="82">
        <f>IF($C11="","",1+SUMPRODUCT(--($N$8:$N$31&gt;$N11)))</f>
        <v>8</v>
      </c>
      <c r="E11" s="59" t="s">
        <v>254</v>
      </c>
      <c r="F11" s="75">
        <v>18.25</v>
      </c>
      <c r="G11" s="82">
        <f>IF($D11="","",COUNTIFS('🔄 Game History'!$E$8:$E$67,$D11,'🔄 Game History'!$D$8:$D$67,"Steal"))</f>
        <v>0</v>
      </c>
      <c r="H11" s="82">
        <f>IF($C11="","",MaxSteals)</f>
        <v>2</v>
      </c>
      <c r="I11" s="83" t="str">
        <f>IF($D11="","",IF($G11&gt;=$H11,"🔒 Final",IF(COUNTIFS('🔄 Game History'!$E$8:$E$67,$D11)=0,"🎁 Available",IF(INDEX('🔄 Game History'!$D$8:$D$67,SUMPRODUCT(('🔄 Game History'!$E$8:$E$67=$D11)*('🔄 Game History'!$G$8:$G$67=SUMPRODUCT(MAX(('🔄 Game History'!$E$8:$E$67=$D11)*'🔄 Game History'!$G$8:$G$67)))*(ROW('🔄 Game History'!$E$8:$E$67)-7)))="Steal","🔄 Stolen","🤲 Held"))))</f>
        <v>🎁 Available</v>
      </c>
      <c r="J11" s="84">
        <f>IF($D11="","",IF(COUNTIFS('🔄 Game History'!$E$8:$E$67,$D11)=0,"",INDEX('🔄 Game History'!$C$8:$C$67,SUMPRODUCT(('🔄 Game History'!$E$8:$E$67=$D11)*('🔄 Game History'!$G$8:$G$67=SUMPRODUCT(MAX(('🔄 Game History'!$E$8:$E$67=$D11)*'🔄 Game History'!$G$8:$G$67)))*(ROW('🔄 Game History'!$E$8:$E$67)-7)))))</f>
        <v/>
      </c>
      <c r="K11" s="84">
        <f>IF($I11="🔄 Stolen",IFERROR(INDEX('🔄 Game History'!$F$8:$F$67,SUMPRODUCT(('🔄 Game History'!$E$8:$E$67=$D11)*('🔄 Game History'!$G$8:$G$67=SUMPRODUCT(MAX(('🔄 Game History'!$E$8:$E$67=$D11)*'🔄 Game History'!$G$8:$G$67)))*(ROW('🔄 Game History'!$E$8:$E$67)-7))),""),"")</f>
        <v/>
      </c>
      <c r="L11" s="85">
        <f>IF($C11="","",IF(COUNTA($J$8:$J$31)=COUNTA($C$8:$C$31),IFERROR(INDEX($D$8:$D$31,MATCH($C11,$J$8:$J$31,0)),""),"-"))</f>
        <v/>
      </c>
    </row>
    <row r="12" spans="1:15" ht="22" customHeight="1">
      <c r="A12" s="51">
        <v>5</v>
      </c>
      <c r="B12" s="82">
        <f>IF($C12="","",1+SUMPRODUCT(--($M$8:$M$31&gt;$M12)))</f>
        <v>2</v>
      </c>
      <c r="C12" s="52" t="s">
        <v>149</v>
      </c>
      <c r="D12" s="82">
        <f>IF($C12="","",1+SUMPRODUCT(--($N$8:$N$31&gt;$N12)))</f>
        <v>4</v>
      </c>
      <c r="E12" s="55" t="s">
        <v>255</v>
      </c>
      <c r="F12" s="72">
        <v>22</v>
      </c>
      <c r="G12" s="82">
        <f>IF($D12="","",COUNTIFS('🔄 Game History'!$E$8:$E$67,$D12,'🔄 Game History'!$D$8:$D$67,"Steal"))</f>
        <v>2</v>
      </c>
      <c r="H12" s="82">
        <f>IF($C12="","",MaxSteals)</f>
        <v>2</v>
      </c>
      <c r="I12" s="83" t="str">
        <f>IF($D12="","",IF($G12&gt;=$H12,"🔒 Final",IF(COUNTIFS('🔄 Game History'!$E$8:$E$67,$D12)=0,"🎁 Available",IF(INDEX('🔄 Game History'!$D$8:$D$67,SUMPRODUCT(('🔄 Game History'!$E$8:$E$67=$D12)*('🔄 Game History'!$G$8:$G$67=SUMPRODUCT(MAX(('🔄 Game History'!$E$8:$E$67=$D12)*'🔄 Game History'!$G$8:$G$67)))*(ROW('🔄 Game History'!$E$8:$E$67)-7)))="Steal","🔄 Stolen","🤲 Held"))))</f>
        <v>🔒 Final</v>
      </c>
      <c r="J12" s="84" t="str">
        <f>IF($D12="","",IF(COUNTIFS('🔄 Game History'!$E$8:$E$67,$D12)=0,"",INDEX('🔄 Game History'!$C$8:$C$67,SUMPRODUCT(('🔄 Game History'!$E$8:$E$67=$D12)*('🔄 Game History'!$G$8:$G$67=SUMPRODUCT(MAX(('🔄 Game History'!$E$8:$E$67=$D12)*'🔄 Game History'!$G$8:$G$67)))*(ROW('🔄 Game History'!$E$8:$E$67)-7)))))</f>
        <v>Chloe Diaz</v>
      </c>
      <c r="K12" s="84">
        <f>IF($I12="🔄 Stolen",IFERROR(INDEX('🔄 Game History'!$F$8:$F$67,SUMPRODUCT(('🔄 Game History'!$E$8:$E$67=$D12)*('🔄 Game History'!$G$8:$G$67=SUMPRODUCT(MAX(('🔄 Game History'!$E$8:$E$67=$D12)*'🔄 Game History'!$G$8:$G$67)))*(ROW('🔄 Game History'!$E$8:$E$67)-7))),""),"")</f>
        <v/>
      </c>
      <c r="L12" s="85">
        <f>IF($C12="","",IF(COUNTA($J$8:$J$31)=COUNTA($C$8:$C$31),IFERROR(INDEX($D$8:$D$31,MATCH($C12,$J$8:$J$31,0)),""),"-"))</f>
        <v/>
      </c>
    </row>
    <row r="13" spans="1:15" ht="22" customHeight="1">
      <c r="A13" s="56">
        <v>6</v>
      </c>
      <c r="B13" s="82">
        <f>IF($C13="","",1+SUMPRODUCT(--($M$8:$M$31&gt;$M13)))</f>
        <v>1</v>
      </c>
      <c r="C13" s="57" t="s">
        <v>151</v>
      </c>
      <c r="D13" s="82">
        <f>IF($C13="","",1+SUMPRODUCT(--($N$8:$N$31&gt;$N13)))</f>
        <v>1</v>
      </c>
      <c r="E13" s="59" t="s">
        <v>256</v>
      </c>
      <c r="F13" s="75">
        <v>14.75</v>
      </c>
      <c r="G13" s="82">
        <f>IF($D13="","",COUNTIFS('🔄 Game History'!$E$8:$E$67,$D13,'🔄 Game History'!$D$8:$D$67,"Steal"))</f>
        <v>1</v>
      </c>
      <c r="H13" s="82">
        <f>IF($C13="","",MaxSteals)</f>
        <v>2</v>
      </c>
      <c r="I13" s="83" t="str">
        <f>IF($D13="","",IF($G13&gt;=$H13,"🔒 Final",IF(COUNTIFS('🔄 Game History'!$E$8:$E$67,$D13)=0,"🎁 Available",IF(INDEX('🔄 Game History'!$D$8:$D$67,SUMPRODUCT(('🔄 Game History'!$E$8:$E$67=$D13)*('🔄 Game History'!$G$8:$G$67=SUMPRODUCT(MAX(('🔄 Game History'!$E$8:$E$67=$D13)*'🔄 Game History'!$G$8:$G$67)))*(ROW('🔄 Game History'!$E$8:$E$67)-7)))="Steal","🔄 Stolen","🤲 Held"))))</f>
        <v>🔄 Stolen</v>
      </c>
      <c r="J13" s="84" t="str">
        <f>IF($D13="","",IF(COUNTIFS('🔄 Game History'!$E$8:$E$67,$D13)=0,"",INDEX('🔄 Game History'!$C$8:$C$67,SUMPRODUCT(('🔄 Game History'!$E$8:$E$67=$D13)*('🔄 Game History'!$G$8:$G$67=SUMPRODUCT(MAX(('🔄 Game History'!$E$8:$E$67=$D13)*'🔄 Game History'!$G$8:$G$67)))*(ROW('🔄 Game History'!$E$8:$E$67)-7)))))</f>
        <v>Ava Novak</v>
      </c>
      <c r="K13" s="84" t="str">
        <f>IF($I13="🔄 Stolen",IFERROR(INDEX('🔄 Game History'!$F$8:$F$67,SUMPRODUCT(('🔄 Game History'!$E$8:$E$67=$D13)*('🔄 Game History'!$G$8:$G$67=SUMPRODUCT(MAX(('🔄 Game History'!$E$8:$E$67=$D13)*'🔄 Game History'!$G$8:$G$67)))*(ROW('🔄 Game History'!$E$8:$E$67)-7))),""),"")</f>
        <v>Hugo Silva</v>
      </c>
      <c r="L13" s="85">
        <f>IF($C13="","",IF(COUNTA($J$8:$J$31)=COUNTA($C$8:$C$31),IFERROR(INDEX($D$8:$D$31,MATCH($C13,$J$8:$J$31,0)),""),"-"))</f>
        <v/>
      </c>
    </row>
    <row r="14" spans="1:15" ht="22" customHeight="1">
      <c r="A14" s="51">
        <v>7</v>
      </c>
      <c r="B14" s="82">
        <f>IF($C14="","",1+SUMPRODUCT(--($M$8:$M$31&gt;$M14)))</f>
        <v>10</v>
      </c>
      <c r="C14" s="52" t="s">
        <v>147</v>
      </c>
      <c r="D14" s="82">
        <f>IF($C14="","",1+SUMPRODUCT(--($N$8:$N$31&gt;$N14)))</f>
        <v>7</v>
      </c>
      <c r="E14" s="55" t="s">
        <v>257</v>
      </c>
      <c r="F14" s="72">
        <v>16.4</v>
      </c>
      <c r="G14" s="82">
        <f>IF($D14="","",COUNTIFS('🔄 Game History'!$E$8:$E$67,$D14,'🔄 Game History'!$D$8:$D$67,"Steal"))</f>
        <v>0</v>
      </c>
      <c r="H14" s="82">
        <f>IF($C14="","",MaxSteals)</f>
        <v>2</v>
      </c>
      <c r="I14" s="83" t="str">
        <f>IF($D14="","",IF($G14&gt;=$H14,"🔒 Final",IF(COUNTIFS('🔄 Game History'!$E$8:$E$67,$D14)=0,"🎁 Available",IF(INDEX('🔄 Game History'!$D$8:$D$67,SUMPRODUCT(('🔄 Game History'!$E$8:$E$67=$D14)*('🔄 Game History'!$G$8:$G$67=SUMPRODUCT(MAX(('🔄 Game History'!$E$8:$E$67=$D14)*'🔄 Game History'!$G$8:$G$67)))*(ROW('🔄 Game History'!$E$8:$E$67)-7)))="Steal","🔄 Stolen","🤲 Held"))))</f>
        <v>🤲 Held</v>
      </c>
      <c r="J14" s="84" t="str">
        <f>IF($D14="","",IF(COUNTIFS('🔄 Game History'!$E$8:$E$67,$D14)=0,"",INDEX('🔄 Game History'!$C$8:$C$67,SUMPRODUCT(('🔄 Game History'!$E$8:$E$67=$D14)*('🔄 Game History'!$G$8:$G$67=SUMPRODUCT(MAX(('🔄 Game History'!$E$8:$E$67=$D14)*'🔄 Game History'!$G$8:$G$67)))*(ROW('🔄 Game History'!$E$8:$E$67)-7)))))</f>
        <v>Elena Petrov</v>
      </c>
      <c r="K14" s="84">
        <f>IF($I14="🔄 Stolen",IFERROR(INDEX('🔄 Game History'!$F$8:$F$67,SUMPRODUCT(('🔄 Game History'!$E$8:$E$67=$D14)*('🔄 Game History'!$G$8:$G$67=SUMPRODUCT(MAX(('🔄 Game History'!$E$8:$E$67=$D14)*'🔄 Game History'!$G$8:$G$67)))*(ROW('🔄 Game History'!$E$8:$E$67)-7))),""),"")</f>
        <v/>
      </c>
      <c r="L14" s="85">
        <f>IF($C14="","",IF(COUNTA($J$8:$J$31)=COUNTA($C$8:$C$31),IFERROR(INDEX($D$8:$D$31,MATCH($C14,$J$8:$J$31,0)),""),"-"))</f>
        <v/>
      </c>
    </row>
    <row r="15" spans="1:15" ht="22" customHeight="1">
      <c r="A15" s="56">
        <v>8</v>
      </c>
      <c r="B15" s="82">
        <f>IF($C15="","",1+SUMPRODUCT(--($M$8:$M$31&gt;$M15)))</f>
        <v>8</v>
      </c>
      <c r="C15" s="57" t="s">
        <v>154</v>
      </c>
      <c r="D15" s="82">
        <f>IF($C15="","",1+SUMPRODUCT(--($N$8:$N$31&gt;$N15)))</f>
        <v>3</v>
      </c>
      <c r="E15" s="59" t="s">
        <v>258</v>
      </c>
      <c r="F15" s="75">
        <v>19.9</v>
      </c>
      <c r="G15" s="82">
        <f>IF($D15="","",COUNTIFS('🔄 Game History'!$E$8:$E$67,$D15,'🔄 Game History'!$D$8:$D$67,"Steal"))</f>
        <v>0</v>
      </c>
      <c r="H15" s="82">
        <f>IF($C15="","",MaxSteals)</f>
        <v>2</v>
      </c>
      <c r="I15" s="83" t="str">
        <f>IF($D15="","",IF($G15&gt;=$H15,"🔒 Final",IF(COUNTIFS('🔄 Game History'!$E$8:$E$67,$D15)=0,"🎁 Available",IF(INDEX('🔄 Game History'!$D$8:$D$67,SUMPRODUCT(('🔄 Game History'!$E$8:$E$67=$D15)*('🔄 Game History'!$G$8:$G$67=SUMPRODUCT(MAX(('🔄 Game History'!$E$8:$E$67=$D15)*'🔄 Game History'!$G$8:$G$67)))*(ROW('🔄 Game History'!$E$8:$E$67)-7)))="Steal","🔄 Stolen","🤲 Held"))))</f>
        <v>🤲 Held</v>
      </c>
      <c r="J15" s="84" t="str">
        <f>IF($D15="","",IF(COUNTIFS('🔄 Game History'!$E$8:$E$67,$D15)=0,"",INDEX('🔄 Game History'!$C$8:$C$67,SUMPRODUCT(('🔄 Game History'!$E$8:$E$67=$D15)*('🔄 Game History'!$G$8:$G$67=SUMPRODUCT(MAX(('🔄 Game History'!$E$8:$E$67=$D15)*'🔄 Game History'!$G$8:$G$67)))*(ROW('🔄 Game History'!$E$8:$E$67)-7)))))</f>
        <v>Farid Khan</v>
      </c>
      <c r="K15" s="84">
        <f>IF($I15="🔄 Stolen",IFERROR(INDEX('🔄 Game History'!$F$8:$F$67,SUMPRODUCT(('🔄 Game History'!$E$8:$E$67=$D15)*('🔄 Game History'!$G$8:$G$67=SUMPRODUCT(MAX(('🔄 Game History'!$E$8:$E$67=$D15)*'🔄 Game History'!$G$8:$G$67)))*(ROW('🔄 Game History'!$E$8:$E$67)-7))),""),"")</f>
        <v/>
      </c>
      <c r="L15" s="85">
        <f>IF($C15="","",IF(COUNTA($J$8:$J$31)=COUNTA($C$8:$C$31),IFERROR(INDEX($D$8:$D$31,MATCH($C15,$J$8:$J$31,0)),""),"-"))</f>
        <v/>
      </c>
    </row>
    <row r="16" spans="1:15" ht="22" customHeight="1">
      <c r="A16" s="51">
        <v>9</v>
      </c>
      <c r="B16" s="82">
        <f>IF($C16="","",1+SUMPRODUCT(--($M$8:$M$31&gt;$M16)))</f>
        <v>6</v>
      </c>
      <c r="C16" s="52" t="s">
        <v>142</v>
      </c>
      <c r="D16" s="82">
        <f>IF($C16="","",1+SUMPRODUCT(--($N$8:$N$31&gt;$N16)))</f>
        <v>10</v>
      </c>
      <c r="E16" s="55" t="s">
        <v>259</v>
      </c>
      <c r="F16" s="72">
        <v>11.3</v>
      </c>
      <c r="G16" s="82">
        <f>IF($D16="","",COUNTIFS('🔄 Game History'!$E$8:$E$67,$D16,'🔄 Game History'!$D$8:$D$67,"Steal"))</f>
        <v>0</v>
      </c>
      <c r="H16" s="82">
        <f>IF($C16="","",MaxSteals)</f>
        <v>2</v>
      </c>
      <c r="I16" s="83" t="str">
        <f>IF($D16="","",IF($G16&gt;=$H16,"🔒 Final",IF(COUNTIFS('🔄 Game History'!$E$8:$E$67,$D16)=0,"🎁 Available",IF(INDEX('🔄 Game History'!$D$8:$D$67,SUMPRODUCT(('🔄 Game History'!$E$8:$E$67=$D16)*('🔄 Game History'!$G$8:$G$67=SUMPRODUCT(MAX(('🔄 Game History'!$E$8:$E$67=$D16)*'🔄 Game History'!$G$8:$G$67)))*(ROW('🔄 Game History'!$E$8:$E$67)-7)))="Steal","🔄 Stolen","🤲 Held"))))</f>
        <v>🎁 Available</v>
      </c>
      <c r="J16" s="84">
        <f>IF($D16="","",IF(COUNTIFS('🔄 Game History'!$E$8:$E$67,$D16)=0,"",INDEX('🔄 Game History'!$C$8:$C$67,SUMPRODUCT(('🔄 Game History'!$E$8:$E$67=$D16)*('🔄 Game History'!$G$8:$G$67=SUMPRODUCT(MAX(('🔄 Game History'!$E$8:$E$67=$D16)*'🔄 Game History'!$G$8:$G$67)))*(ROW('🔄 Game History'!$E$8:$E$67)-7)))))</f>
        <v/>
      </c>
      <c r="K16" s="84">
        <f>IF($I16="🔄 Stolen",IFERROR(INDEX('🔄 Game History'!$F$8:$F$67,SUMPRODUCT(('🔄 Game History'!$E$8:$E$67=$D16)*('🔄 Game History'!$G$8:$G$67=SUMPRODUCT(MAX(('🔄 Game History'!$E$8:$E$67=$D16)*'🔄 Game History'!$G$8:$G$67)))*(ROW('🔄 Game History'!$E$8:$E$67)-7))),""),"")</f>
        <v/>
      </c>
      <c r="L16" s="85">
        <f>IF($C16="","",IF(COUNTA($J$8:$J$31)=COUNTA($C$8:$C$31),IFERROR(INDEX($D$8:$D$31,MATCH($C16,$J$8:$J$31,0)),""),"-"))</f>
        <v/>
      </c>
    </row>
    <row r="17" spans="1:12" ht="22" customHeight="1">
      <c r="A17" s="56">
        <v>10</v>
      </c>
      <c r="B17" s="82">
        <f>IF($C17="","",1+SUMPRODUCT(--($M$8:$M$31&gt;$M17)))</f>
        <v>4</v>
      </c>
      <c r="C17" s="57" t="s">
        <v>160</v>
      </c>
      <c r="D17" s="82">
        <f>IF($C17="","",1+SUMPRODUCT(--($N$8:$N$31&gt;$N17)))</f>
        <v>6</v>
      </c>
      <c r="E17" s="59" t="s">
        <v>260</v>
      </c>
      <c r="F17" s="75">
        <v>24.5</v>
      </c>
      <c r="G17" s="82">
        <f>IF($D17="","",COUNTIFS('🔄 Game History'!$E$8:$E$67,$D17,'🔄 Game History'!$D$8:$D$67,"Steal"))</f>
        <v>0</v>
      </c>
      <c r="H17" s="82">
        <f>IF($C17="","",MaxSteals)</f>
        <v>2</v>
      </c>
      <c r="I17" s="83" t="str">
        <f>IF($D17="","",IF($G17&gt;=$H17,"🔒 Final",IF(COUNTIFS('🔄 Game History'!$E$8:$E$67,$D17)=0,"🎁 Available",IF(INDEX('🔄 Game History'!$D$8:$D$67,SUMPRODUCT(('🔄 Game History'!$E$8:$E$67=$D17)*('🔄 Game History'!$G$8:$G$67=SUMPRODUCT(MAX(('🔄 Game History'!$E$8:$E$67=$D17)*'🔄 Game History'!$G$8:$G$67)))*(ROW('🔄 Game History'!$E$8:$E$67)-7)))="Steal","🔄 Stolen","🤲 Held"))))</f>
        <v>🤲 Held</v>
      </c>
      <c r="J17" s="84" t="str">
        <f>IF($D17="","",IF(COUNTIFS('🔄 Game History'!$E$8:$E$67,$D17)=0,"",INDEX('🔄 Game History'!$C$8:$C$67,SUMPRODUCT(('🔄 Game History'!$E$8:$E$67=$D17)*('🔄 Game History'!$G$8:$G$67=SUMPRODUCT(MAX(('🔄 Game History'!$E$8:$E$67=$D17)*'🔄 Game History'!$G$8:$G$67)))*(ROW('🔄 Game History'!$E$8:$E$67)-7)))))</f>
        <v>Grace Liu</v>
      </c>
      <c r="K17" s="84">
        <f>IF($I17="🔄 Stolen",IFERROR(INDEX('🔄 Game History'!$F$8:$F$67,SUMPRODUCT(('🔄 Game History'!$E$8:$E$67=$D17)*('🔄 Game History'!$G$8:$G$67=SUMPRODUCT(MAX(('🔄 Game History'!$E$8:$E$67=$D17)*'🔄 Game History'!$G$8:$G$67)))*(ROW('🔄 Game History'!$E$8:$E$67)-7))),""),"")</f>
        <v/>
      </c>
      <c r="L17" s="85">
        <f>IF($C17="","",IF(COUNTA($J$8:$J$31)=COUNTA($C$8:$C$31),IFERROR(INDEX($D$8:$D$31,MATCH($C17,$J$8:$J$31,0)),""),"-"))</f>
        <v/>
      </c>
    </row>
    <row r="18" spans="1:12" ht="22" customHeight="1">
      <c r="A18" s="51">
        <v>11</v>
      </c>
      <c r="B18" s="82">
        <f>IF($C18="","",1+SUMPRODUCT(--($M$8:$M$31&gt;$M18)))</f>
        <v/>
      </c>
      <c r="C18" s="52"/>
      <c r="D18" s="82">
        <f>IF($C18="","",1+SUMPRODUCT(--($N$8:$N$31&gt;$N18)))</f>
        <v/>
      </c>
      <c r="E18" s="55"/>
      <c r="F18" s="72"/>
      <c r="G18" s="82">
        <f>IF($D18="","",COUNTIFS('🔄 Game History'!$E$8:$E$67,$D18,'🔄 Game History'!$D$8:$D$67,"Steal"))</f>
        <v/>
      </c>
      <c r="H18" s="82">
        <f>IF($C18="","",MaxSteals)</f>
        <v/>
      </c>
      <c r="I18" s="83">
        <f>IF($D18="","",IF($G18&gt;=$H18,"🔒 Final",IF(COUNTIFS('🔄 Game History'!$E$8:$E$67,$D18)=0,"🎁 Available",IF(INDEX('🔄 Game History'!$D$8:$D$67,SUMPRODUCT(('🔄 Game History'!$E$8:$E$67=$D18)*('🔄 Game History'!$G$8:$G$67=SUMPRODUCT(MAX(('🔄 Game History'!$E$8:$E$67=$D18)*'🔄 Game History'!$G$8:$G$67)))*(ROW('🔄 Game History'!$E$8:$E$67)-7)))="Steal","🔄 Stolen","🤲 Held"))))</f>
        <v/>
      </c>
      <c r="J18" s="84">
        <f>IF($D18="","",IF(COUNTIFS('🔄 Game History'!$E$8:$E$67,$D18)=0,"",INDEX('🔄 Game History'!$C$8:$C$67,SUMPRODUCT(('🔄 Game History'!$E$8:$E$67=$D18)*('🔄 Game History'!$G$8:$G$67=SUMPRODUCT(MAX(('🔄 Game History'!$E$8:$E$67=$D18)*'🔄 Game History'!$G$8:$G$67)))*(ROW('🔄 Game History'!$E$8:$E$67)-7)))))</f>
        <v/>
      </c>
      <c r="K18" s="84">
        <f>IF($I18="🔄 Stolen",IFERROR(INDEX('🔄 Game History'!$F$8:$F$67,SUMPRODUCT(('🔄 Game History'!$E$8:$E$67=$D18)*('🔄 Game History'!$G$8:$G$67=SUMPRODUCT(MAX(('🔄 Game History'!$E$8:$E$67=$D18)*'🔄 Game History'!$G$8:$G$67)))*(ROW('🔄 Game History'!$E$8:$E$67)-7))),""),"")</f>
        <v/>
      </c>
      <c r="L18" s="85">
        <f>IF($C18="","",IF(COUNTA($J$8:$J$31)=COUNTA($C$8:$C$31),IFERROR(INDEX($D$8:$D$31,MATCH($C18,$J$8:$J$31,0)),""),"-"))</f>
        <v/>
      </c>
    </row>
    <row r="19" spans="1:12" ht="22" customHeight="1">
      <c r="A19" s="56">
        <v>12</v>
      </c>
      <c r="B19" s="82">
        <f>IF($C19="","",1+SUMPRODUCT(--($M$8:$M$31&gt;$M19)))</f>
        <v/>
      </c>
      <c r="C19" s="57"/>
      <c r="D19" s="82">
        <f>IF($C19="","",1+SUMPRODUCT(--($N$8:$N$31&gt;$N19)))</f>
        <v/>
      </c>
      <c r="E19" s="59"/>
      <c r="F19" s="75"/>
      <c r="G19" s="82">
        <f>IF($D19="","",COUNTIFS('🔄 Game History'!$E$8:$E$67,$D19,'🔄 Game History'!$D$8:$D$67,"Steal"))</f>
        <v/>
      </c>
      <c r="H19" s="82">
        <f>IF($C19="","",MaxSteals)</f>
        <v/>
      </c>
      <c r="I19" s="83">
        <f>IF($D19="","",IF($G19&gt;=$H19,"🔒 Final",IF(COUNTIFS('🔄 Game History'!$E$8:$E$67,$D19)=0,"🎁 Available",IF(INDEX('🔄 Game History'!$D$8:$D$67,SUMPRODUCT(('🔄 Game History'!$E$8:$E$67=$D19)*('🔄 Game History'!$G$8:$G$67=SUMPRODUCT(MAX(('🔄 Game History'!$E$8:$E$67=$D19)*'🔄 Game History'!$G$8:$G$67)))*(ROW('🔄 Game History'!$E$8:$E$67)-7)))="Steal","🔄 Stolen","🤲 Held"))))</f>
        <v/>
      </c>
      <c r="J19" s="84">
        <f>IF($D19="","",IF(COUNTIFS('🔄 Game History'!$E$8:$E$67,$D19)=0,"",INDEX('🔄 Game History'!$C$8:$C$67,SUMPRODUCT(('🔄 Game History'!$E$8:$E$67=$D19)*('🔄 Game History'!$G$8:$G$67=SUMPRODUCT(MAX(('🔄 Game History'!$E$8:$E$67=$D19)*'🔄 Game History'!$G$8:$G$67)))*(ROW('🔄 Game History'!$E$8:$E$67)-7)))))</f>
        <v/>
      </c>
      <c r="K19" s="84">
        <f>IF($I19="🔄 Stolen",IFERROR(INDEX('🔄 Game History'!$F$8:$F$67,SUMPRODUCT(('🔄 Game History'!$E$8:$E$67=$D19)*('🔄 Game History'!$G$8:$G$67=SUMPRODUCT(MAX(('🔄 Game History'!$E$8:$E$67=$D19)*'🔄 Game History'!$G$8:$G$67)))*(ROW('🔄 Game History'!$E$8:$E$67)-7))),""),"")</f>
        <v/>
      </c>
      <c r="L19" s="85">
        <f>IF($C19="","",IF(COUNTA($J$8:$J$31)=COUNTA($C$8:$C$31),IFERROR(INDEX($D$8:$D$31,MATCH($C19,$J$8:$J$31,0)),""),"-"))</f>
        <v/>
      </c>
    </row>
    <row r="20" spans="1:12" ht="22" customHeight="1">
      <c r="A20" s="51">
        <v>13</v>
      </c>
      <c r="B20" s="82">
        <f>IF($C20="","",1+SUMPRODUCT(--($M$8:$M$31&gt;$M20)))</f>
        <v/>
      </c>
      <c r="C20" s="52"/>
      <c r="D20" s="82">
        <f>IF($C20="","",1+SUMPRODUCT(--($N$8:$N$31&gt;$N20)))</f>
        <v/>
      </c>
      <c r="E20" s="55"/>
      <c r="F20" s="72"/>
      <c r="G20" s="82">
        <f>IF($D20="","",COUNTIFS('🔄 Game History'!$E$8:$E$67,$D20,'🔄 Game History'!$D$8:$D$67,"Steal"))</f>
        <v/>
      </c>
      <c r="H20" s="82">
        <f>IF($C20="","",MaxSteals)</f>
        <v/>
      </c>
      <c r="I20" s="83">
        <f>IF($D20="","",IF($G20&gt;=$H20,"🔒 Final",IF(COUNTIFS('🔄 Game History'!$E$8:$E$67,$D20)=0,"🎁 Available",IF(INDEX('🔄 Game History'!$D$8:$D$67,SUMPRODUCT(('🔄 Game History'!$E$8:$E$67=$D20)*('🔄 Game History'!$G$8:$G$67=SUMPRODUCT(MAX(('🔄 Game History'!$E$8:$E$67=$D20)*'🔄 Game History'!$G$8:$G$67)))*(ROW('🔄 Game History'!$E$8:$E$67)-7)))="Steal","🔄 Stolen","🤲 Held"))))</f>
        <v/>
      </c>
      <c r="J20" s="84">
        <f>IF($D20="","",IF(COUNTIFS('🔄 Game History'!$E$8:$E$67,$D20)=0,"",INDEX('🔄 Game History'!$C$8:$C$67,SUMPRODUCT(('🔄 Game History'!$E$8:$E$67=$D20)*('🔄 Game History'!$G$8:$G$67=SUMPRODUCT(MAX(('🔄 Game History'!$E$8:$E$67=$D20)*'🔄 Game History'!$G$8:$G$67)))*(ROW('🔄 Game History'!$E$8:$E$67)-7)))))</f>
        <v/>
      </c>
      <c r="K20" s="84">
        <f>IF($I20="🔄 Stolen",IFERROR(INDEX('🔄 Game History'!$F$8:$F$67,SUMPRODUCT(('🔄 Game History'!$E$8:$E$67=$D20)*('🔄 Game History'!$G$8:$G$67=SUMPRODUCT(MAX(('🔄 Game History'!$E$8:$E$67=$D20)*'🔄 Game History'!$G$8:$G$67)))*(ROW('🔄 Game History'!$E$8:$E$67)-7))),""),"")</f>
        <v/>
      </c>
      <c r="L20" s="85">
        <f>IF($C20="","",IF(COUNTA($J$8:$J$31)=COUNTA($C$8:$C$31),IFERROR(INDEX($D$8:$D$31,MATCH($C20,$J$8:$J$31,0)),""),"-"))</f>
        <v/>
      </c>
    </row>
    <row r="21" spans="1:12" ht="22" customHeight="1">
      <c r="A21" s="56">
        <v>14</v>
      </c>
      <c r="B21" s="82">
        <f>IF($C21="","",1+SUMPRODUCT(--($M$8:$M$31&gt;$M21)))</f>
        <v/>
      </c>
      <c r="C21" s="57"/>
      <c r="D21" s="82">
        <f>IF($C21="","",1+SUMPRODUCT(--($N$8:$N$31&gt;$N21)))</f>
        <v/>
      </c>
      <c r="E21" s="59"/>
      <c r="F21" s="75"/>
      <c r="G21" s="82">
        <f>IF($D21="","",COUNTIFS('🔄 Game History'!$E$8:$E$67,$D21,'🔄 Game History'!$D$8:$D$67,"Steal"))</f>
        <v/>
      </c>
      <c r="H21" s="82">
        <f>IF($C21="","",MaxSteals)</f>
        <v/>
      </c>
      <c r="I21" s="83">
        <f>IF($D21="","",IF($G21&gt;=$H21,"🔒 Final",IF(COUNTIFS('🔄 Game History'!$E$8:$E$67,$D21)=0,"🎁 Available",IF(INDEX('🔄 Game History'!$D$8:$D$67,SUMPRODUCT(('🔄 Game History'!$E$8:$E$67=$D21)*('🔄 Game History'!$G$8:$G$67=SUMPRODUCT(MAX(('🔄 Game History'!$E$8:$E$67=$D21)*'🔄 Game History'!$G$8:$G$67)))*(ROW('🔄 Game History'!$E$8:$E$67)-7)))="Steal","🔄 Stolen","🤲 Held"))))</f>
        <v/>
      </c>
      <c r="J21" s="84">
        <f>IF($D21="","",IF(COUNTIFS('🔄 Game History'!$E$8:$E$67,$D21)=0,"",INDEX('🔄 Game History'!$C$8:$C$67,SUMPRODUCT(('🔄 Game History'!$E$8:$E$67=$D21)*('🔄 Game History'!$G$8:$G$67=SUMPRODUCT(MAX(('🔄 Game History'!$E$8:$E$67=$D21)*'🔄 Game History'!$G$8:$G$67)))*(ROW('🔄 Game History'!$E$8:$E$67)-7)))))</f>
        <v/>
      </c>
      <c r="K21" s="84">
        <f>IF($I21="🔄 Stolen",IFERROR(INDEX('🔄 Game History'!$F$8:$F$67,SUMPRODUCT(('🔄 Game History'!$E$8:$E$67=$D21)*('🔄 Game History'!$G$8:$G$67=SUMPRODUCT(MAX(('🔄 Game History'!$E$8:$E$67=$D21)*'🔄 Game History'!$G$8:$G$67)))*(ROW('🔄 Game History'!$E$8:$E$67)-7))),""),"")</f>
        <v/>
      </c>
      <c r="L21" s="85">
        <f>IF($C21="","",IF(COUNTA($J$8:$J$31)=COUNTA($C$8:$C$31),IFERROR(INDEX($D$8:$D$31,MATCH($C21,$J$8:$J$31,0)),""),"-"))</f>
        <v/>
      </c>
    </row>
    <row r="22" spans="1:12" ht="22" customHeight="1">
      <c r="A22" s="51">
        <v>15</v>
      </c>
      <c r="B22" s="82">
        <f>IF($C22="","",1+SUMPRODUCT(--($M$8:$M$31&gt;$M22)))</f>
        <v/>
      </c>
      <c r="C22" s="52"/>
      <c r="D22" s="82">
        <f>IF($C22="","",1+SUMPRODUCT(--($N$8:$N$31&gt;$N22)))</f>
        <v/>
      </c>
      <c r="E22" s="55"/>
      <c r="F22" s="72"/>
      <c r="G22" s="82">
        <f>IF($D22="","",COUNTIFS('🔄 Game History'!$E$8:$E$67,$D22,'🔄 Game History'!$D$8:$D$67,"Steal"))</f>
        <v/>
      </c>
      <c r="H22" s="82">
        <f>IF($C22="","",MaxSteals)</f>
        <v/>
      </c>
      <c r="I22" s="83">
        <f>IF($D22="","",IF($G22&gt;=$H22,"🔒 Final",IF(COUNTIFS('🔄 Game History'!$E$8:$E$67,$D22)=0,"🎁 Available",IF(INDEX('🔄 Game History'!$D$8:$D$67,SUMPRODUCT(('🔄 Game History'!$E$8:$E$67=$D22)*('🔄 Game History'!$G$8:$G$67=SUMPRODUCT(MAX(('🔄 Game History'!$E$8:$E$67=$D22)*'🔄 Game History'!$G$8:$G$67)))*(ROW('🔄 Game History'!$E$8:$E$67)-7)))="Steal","🔄 Stolen","🤲 Held"))))</f>
        <v/>
      </c>
      <c r="J22" s="84">
        <f>IF($D22="","",IF(COUNTIFS('🔄 Game History'!$E$8:$E$67,$D22)=0,"",INDEX('🔄 Game History'!$C$8:$C$67,SUMPRODUCT(('🔄 Game History'!$E$8:$E$67=$D22)*('🔄 Game History'!$G$8:$G$67=SUMPRODUCT(MAX(('🔄 Game History'!$E$8:$E$67=$D22)*'🔄 Game History'!$G$8:$G$67)))*(ROW('🔄 Game History'!$E$8:$E$67)-7)))))</f>
        <v/>
      </c>
      <c r="K22" s="84">
        <f>IF($I22="🔄 Stolen",IFERROR(INDEX('🔄 Game History'!$F$8:$F$67,SUMPRODUCT(('🔄 Game History'!$E$8:$E$67=$D22)*('🔄 Game History'!$G$8:$G$67=SUMPRODUCT(MAX(('🔄 Game History'!$E$8:$E$67=$D22)*'🔄 Game History'!$G$8:$G$67)))*(ROW('🔄 Game History'!$E$8:$E$67)-7))),""),"")</f>
        <v/>
      </c>
      <c r="L22" s="85">
        <f>IF($C22="","",IF(COUNTA($J$8:$J$31)=COUNTA($C$8:$C$31),IFERROR(INDEX($D$8:$D$31,MATCH($C22,$J$8:$J$31,0)),""),"-"))</f>
        <v/>
      </c>
    </row>
    <row r="23" spans="1:12" ht="22" customHeight="1">
      <c r="A23" s="56">
        <v>16</v>
      </c>
      <c r="B23" s="82">
        <f>IF($C23="","",1+SUMPRODUCT(--($M$8:$M$31&gt;$M23)))</f>
        <v/>
      </c>
      <c r="C23" s="57"/>
      <c r="D23" s="82">
        <f>IF($C23="","",1+SUMPRODUCT(--($N$8:$N$31&gt;$N23)))</f>
        <v/>
      </c>
      <c r="E23" s="59"/>
      <c r="F23" s="75"/>
      <c r="G23" s="82">
        <f>IF($D23="","",COUNTIFS('🔄 Game History'!$E$8:$E$67,$D23,'🔄 Game History'!$D$8:$D$67,"Steal"))</f>
        <v/>
      </c>
      <c r="H23" s="82">
        <f>IF($C23="","",MaxSteals)</f>
        <v/>
      </c>
      <c r="I23" s="83">
        <f>IF($D23="","",IF($G23&gt;=$H23,"🔒 Final",IF(COUNTIFS('🔄 Game History'!$E$8:$E$67,$D23)=0,"🎁 Available",IF(INDEX('🔄 Game History'!$D$8:$D$67,SUMPRODUCT(('🔄 Game History'!$E$8:$E$67=$D23)*('🔄 Game History'!$G$8:$G$67=SUMPRODUCT(MAX(('🔄 Game History'!$E$8:$E$67=$D23)*'🔄 Game History'!$G$8:$G$67)))*(ROW('🔄 Game History'!$E$8:$E$67)-7)))="Steal","🔄 Stolen","🤲 Held"))))</f>
        <v/>
      </c>
      <c r="J23" s="84">
        <f>IF($D23="","",IF(COUNTIFS('🔄 Game History'!$E$8:$E$67,$D23)=0,"",INDEX('🔄 Game History'!$C$8:$C$67,SUMPRODUCT(('🔄 Game History'!$E$8:$E$67=$D23)*('🔄 Game History'!$G$8:$G$67=SUMPRODUCT(MAX(('🔄 Game History'!$E$8:$E$67=$D23)*'🔄 Game History'!$G$8:$G$67)))*(ROW('🔄 Game History'!$E$8:$E$67)-7)))))</f>
        <v/>
      </c>
      <c r="K23" s="84">
        <f>IF($I23="🔄 Stolen",IFERROR(INDEX('🔄 Game History'!$F$8:$F$67,SUMPRODUCT(('🔄 Game History'!$E$8:$E$67=$D23)*('🔄 Game History'!$G$8:$G$67=SUMPRODUCT(MAX(('🔄 Game History'!$E$8:$E$67=$D23)*'🔄 Game History'!$G$8:$G$67)))*(ROW('🔄 Game History'!$E$8:$E$67)-7))),""),"")</f>
        <v/>
      </c>
      <c r="L23" s="85">
        <f>IF($C23="","",IF(COUNTA($J$8:$J$31)=COUNTA($C$8:$C$31),IFERROR(INDEX($D$8:$D$31,MATCH($C23,$J$8:$J$31,0)),""),"-"))</f>
        <v/>
      </c>
    </row>
    <row r="24" spans="1:12" ht="22" customHeight="1">
      <c r="A24" s="51">
        <v>17</v>
      </c>
      <c r="B24" s="82">
        <f>IF($C24="","",1+SUMPRODUCT(--($M$8:$M$31&gt;$M24)))</f>
        <v/>
      </c>
      <c r="C24" s="52"/>
      <c r="D24" s="82">
        <f>IF($C24="","",1+SUMPRODUCT(--($N$8:$N$31&gt;$N24)))</f>
        <v/>
      </c>
      <c r="E24" s="55"/>
      <c r="F24" s="72"/>
      <c r="G24" s="82">
        <f>IF($D24="","",COUNTIFS('🔄 Game History'!$E$8:$E$67,$D24,'🔄 Game History'!$D$8:$D$67,"Steal"))</f>
        <v/>
      </c>
      <c r="H24" s="82">
        <f>IF($C24="","",MaxSteals)</f>
        <v/>
      </c>
      <c r="I24" s="83">
        <f>IF($D24="","",IF($G24&gt;=$H24,"🔒 Final",IF(COUNTIFS('🔄 Game History'!$E$8:$E$67,$D24)=0,"🎁 Available",IF(INDEX('🔄 Game History'!$D$8:$D$67,SUMPRODUCT(('🔄 Game History'!$E$8:$E$67=$D24)*('🔄 Game History'!$G$8:$G$67=SUMPRODUCT(MAX(('🔄 Game History'!$E$8:$E$67=$D24)*'🔄 Game History'!$G$8:$G$67)))*(ROW('🔄 Game History'!$E$8:$E$67)-7)))="Steal","🔄 Stolen","🤲 Held"))))</f>
        <v/>
      </c>
      <c r="J24" s="84">
        <f>IF($D24="","",IF(COUNTIFS('🔄 Game History'!$E$8:$E$67,$D24)=0,"",INDEX('🔄 Game History'!$C$8:$C$67,SUMPRODUCT(('🔄 Game History'!$E$8:$E$67=$D24)*('🔄 Game History'!$G$8:$G$67=SUMPRODUCT(MAX(('🔄 Game History'!$E$8:$E$67=$D24)*'🔄 Game History'!$G$8:$G$67)))*(ROW('🔄 Game History'!$E$8:$E$67)-7)))))</f>
        <v/>
      </c>
      <c r="K24" s="84">
        <f>IF($I24="🔄 Stolen",IFERROR(INDEX('🔄 Game History'!$F$8:$F$67,SUMPRODUCT(('🔄 Game History'!$E$8:$E$67=$D24)*('🔄 Game History'!$G$8:$G$67=SUMPRODUCT(MAX(('🔄 Game History'!$E$8:$E$67=$D24)*'🔄 Game History'!$G$8:$G$67)))*(ROW('🔄 Game History'!$E$8:$E$67)-7))),""),"")</f>
        <v/>
      </c>
      <c r="L24" s="85">
        <f>IF($C24="","",IF(COUNTA($J$8:$J$31)=COUNTA($C$8:$C$31),IFERROR(INDEX($D$8:$D$31,MATCH($C24,$J$8:$J$31,0)),""),"-"))</f>
        <v/>
      </c>
    </row>
    <row r="25" spans="1:12" ht="22" customHeight="1">
      <c r="A25" s="56">
        <v>18</v>
      </c>
      <c r="B25" s="82">
        <f>IF($C25="","",1+SUMPRODUCT(--($M$8:$M$31&gt;$M25)))</f>
        <v/>
      </c>
      <c r="C25" s="57"/>
      <c r="D25" s="82">
        <f>IF($C25="","",1+SUMPRODUCT(--($N$8:$N$31&gt;$N25)))</f>
        <v/>
      </c>
      <c r="E25" s="59"/>
      <c r="F25" s="75"/>
      <c r="G25" s="82">
        <f>IF($D25="","",COUNTIFS('🔄 Game History'!$E$8:$E$67,$D25,'🔄 Game History'!$D$8:$D$67,"Steal"))</f>
        <v/>
      </c>
      <c r="H25" s="82">
        <f>IF($C25="","",MaxSteals)</f>
        <v/>
      </c>
      <c r="I25" s="83">
        <f>IF($D25="","",IF($G25&gt;=$H25,"🔒 Final",IF(COUNTIFS('🔄 Game History'!$E$8:$E$67,$D25)=0,"🎁 Available",IF(INDEX('🔄 Game History'!$D$8:$D$67,SUMPRODUCT(('🔄 Game History'!$E$8:$E$67=$D25)*('🔄 Game History'!$G$8:$G$67=SUMPRODUCT(MAX(('🔄 Game History'!$E$8:$E$67=$D25)*'🔄 Game History'!$G$8:$G$67)))*(ROW('🔄 Game History'!$E$8:$E$67)-7)))="Steal","🔄 Stolen","🤲 Held"))))</f>
        <v/>
      </c>
      <c r="J25" s="84">
        <f>IF($D25="","",IF(COUNTIFS('🔄 Game History'!$E$8:$E$67,$D25)=0,"",INDEX('🔄 Game History'!$C$8:$C$67,SUMPRODUCT(('🔄 Game History'!$E$8:$E$67=$D25)*('🔄 Game History'!$G$8:$G$67=SUMPRODUCT(MAX(('🔄 Game History'!$E$8:$E$67=$D25)*'🔄 Game History'!$G$8:$G$67)))*(ROW('🔄 Game History'!$E$8:$E$67)-7)))))</f>
        <v/>
      </c>
      <c r="K25" s="84">
        <f>IF($I25="🔄 Stolen",IFERROR(INDEX('🔄 Game History'!$F$8:$F$67,SUMPRODUCT(('🔄 Game History'!$E$8:$E$67=$D25)*('🔄 Game History'!$G$8:$G$67=SUMPRODUCT(MAX(('🔄 Game History'!$E$8:$E$67=$D25)*'🔄 Game History'!$G$8:$G$67)))*(ROW('🔄 Game History'!$E$8:$E$67)-7))),""),"")</f>
        <v/>
      </c>
      <c r="L25" s="85">
        <f>IF($C25="","",IF(COUNTA($J$8:$J$31)=COUNTA($C$8:$C$31),IFERROR(INDEX($D$8:$D$31,MATCH($C25,$J$8:$J$31,0)),""),"-"))</f>
        <v/>
      </c>
    </row>
    <row r="26" spans="1:12" ht="22" customHeight="1">
      <c r="A26" s="51">
        <v>19</v>
      </c>
      <c r="B26" s="82">
        <f>IF($C26="","",1+SUMPRODUCT(--($M$8:$M$31&gt;$M26)))</f>
        <v/>
      </c>
      <c r="C26" s="52"/>
      <c r="D26" s="82">
        <f>IF($C26="","",1+SUMPRODUCT(--($N$8:$N$31&gt;$N26)))</f>
        <v/>
      </c>
      <c r="E26" s="55"/>
      <c r="F26" s="72"/>
      <c r="G26" s="82">
        <f>IF($D26="","",COUNTIFS('🔄 Game History'!$E$8:$E$67,$D26,'🔄 Game History'!$D$8:$D$67,"Steal"))</f>
        <v/>
      </c>
      <c r="H26" s="82">
        <f>IF($C26="","",MaxSteals)</f>
        <v/>
      </c>
      <c r="I26" s="83">
        <f>IF($D26="","",IF($G26&gt;=$H26,"🔒 Final",IF(COUNTIFS('🔄 Game History'!$E$8:$E$67,$D26)=0,"🎁 Available",IF(INDEX('🔄 Game History'!$D$8:$D$67,SUMPRODUCT(('🔄 Game History'!$E$8:$E$67=$D26)*('🔄 Game History'!$G$8:$G$67=SUMPRODUCT(MAX(('🔄 Game History'!$E$8:$E$67=$D26)*'🔄 Game History'!$G$8:$G$67)))*(ROW('🔄 Game History'!$E$8:$E$67)-7)))="Steal","🔄 Stolen","🤲 Held"))))</f>
        <v/>
      </c>
      <c r="J26" s="84">
        <f>IF($D26="","",IF(COUNTIFS('🔄 Game History'!$E$8:$E$67,$D26)=0,"",INDEX('🔄 Game History'!$C$8:$C$67,SUMPRODUCT(('🔄 Game History'!$E$8:$E$67=$D26)*('🔄 Game History'!$G$8:$G$67=SUMPRODUCT(MAX(('🔄 Game History'!$E$8:$E$67=$D26)*'🔄 Game History'!$G$8:$G$67)))*(ROW('🔄 Game History'!$E$8:$E$67)-7)))))</f>
        <v/>
      </c>
      <c r="K26" s="84">
        <f>IF($I26="🔄 Stolen",IFERROR(INDEX('🔄 Game History'!$F$8:$F$67,SUMPRODUCT(('🔄 Game History'!$E$8:$E$67=$D26)*('🔄 Game History'!$G$8:$G$67=SUMPRODUCT(MAX(('🔄 Game History'!$E$8:$E$67=$D26)*'🔄 Game History'!$G$8:$G$67)))*(ROW('🔄 Game History'!$E$8:$E$67)-7))),""),"")</f>
        <v/>
      </c>
      <c r="L26" s="85">
        <f>IF($C26="","",IF(COUNTA($J$8:$J$31)=COUNTA($C$8:$C$31),IFERROR(INDEX($D$8:$D$31,MATCH($C26,$J$8:$J$31,0)),""),"-"))</f>
        <v/>
      </c>
    </row>
    <row r="27" spans="1:12" ht="22" customHeight="1">
      <c r="A27" s="56">
        <v>20</v>
      </c>
      <c r="B27" s="82">
        <f>IF($C27="","",1+SUMPRODUCT(--($M$8:$M$31&gt;$M27)))</f>
        <v/>
      </c>
      <c r="C27" s="57"/>
      <c r="D27" s="82">
        <f>IF($C27="","",1+SUMPRODUCT(--($N$8:$N$31&gt;$N27)))</f>
        <v/>
      </c>
      <c r="E27" s="59"/>
      <c r="F27" s="75"/>
      <c r="G27" s="82">
        <f>IF($D27="","",COUNTIFS('🔄 Game History'!$E$8:$E$67,$D27,'🔄 Game History'!$D$8:$D$67,"Steal"))</f>
        <v/>
      </c>
      <c r="H27" s="82">
        <f>IF($C27="","",MaxSteals)</f>
        <v/>
      </c>
      <c r="I27" s="83">
        <f>IF($D27="","",IF($G27&gt;=$H27,"🔒 Final",IF(COUNTIFS('🔄 Game History'!$E$8:$E$67,$D27)=0,"🎁 Available",IF(INDEX('🔄 Game History'!$D$8:$D$67,SUMPRODUCT(('🔄 Game History'!$E$8:$E$67=$D27)*('🔄 Game History'!$G$8:$G$67=SUMPRODUCT(MAX(('🔄 Game History'!$E$8:$E$67=$D27)*'🔄 Game History'!$G$8:$G$67)))*(ROW('🔄 Game History'!$E$8:$E$67)-7)))="Steal","🔄 Stolen","🤲 Held"))))</f>
        <v/>
      </c>
      <c r="J27" s="84">
        <f>IF($D27="","",IF(COUNTIFS('🔄 Game History'!$E$8:$E$67,$D27)=0,"",INDEX('🔄 Game History'!$C$8:$C$67,SUMPRODUCT(('🔄 Game History'!$E$8:$E$67=$D27)*('🔄 Game History'!$G$8:$G$67=SUMPRODUCT(MAX(('🔄 Game History'!$E$8:$E$67=$D27)*'🔄 Game History'!$G$8:$G$67)))*(ROW('🔄 Game History'!$E$8:$E$67)-7)))))</f>
        <v/>
      </c>
      <c r="K27" s="84">
        <f>IF($I27="🔄 Stolen",IFERROR(INDEX('🔄 Game History'!$F$8:$F$67,SUMPRODUCT(('🔄 Game History'!$E$8:$E$67=$D27)*('🔄 Game History'!$G$8:$G$67=SUMPRODUCT(MAX(('🔄 Game History'!$E$8:$E$67=$D27)*'🔄 Game History'!$G$8:$G$67)))*(ROW('🔄 Game History'!$E$8:$E$67)-7))),""),"")</f>
        <v/>
      </c>
      <c r="L27" s="85">
        <f>IF($C27="","",IF(COUNTA($J$8:$J$31)=COUNTA($C$8:$C$31),IFERROR(INDEX($D$8:$D$31,MATCH($C27,$J$8:$J$31,0)),""),"-"))</f>
        <v/>
      </c>
    </row>
    <row r="28" spans="1:12" ht="22" customHeight="1">
      <c r="A28" s="51">
        <v>21</v>
      </c>
      <c r="B28" s="82">
        <f>IF($C28="","",1+SUMPRODUCT(--($M$8:$M$31&gt;$M28)))</f>
        <v/>
      </c>
      <c r="C28" s="52"/>
      <c r="D28" s="82">
        <f>IF($C28="","",1+SUMPRODUCT(--($N$8:$N$31&gt;$N28)))</f>
        <v/>
      </c>
      <c r="E28" s="55"/>
      <c r="F28" s="72"/>
      <c r="G28" s="82">
        <f>IF($D28="","",COUNTIFS('🔄 Game History'!$E$8:$E$67,$D28,'🔄 Game History'!$D$8:$D$67,"Steal"))</f>
        <v/>
      </c>
      <c r="H28" s="82">
        <f>IF($C28="","",MaxSteals)</f>
        <v/>
      </c>
      <c r="I28" s="83">
        <f>IF($D28="","",IF($G28&gt;=$H28,"🔒 Final",IF(COUNTIFS('🔄 Game History'!$E$8:$E$67,$D28)=0,"🎁 Available",IF(INDEX('🔄 Game History'!$D$8:$D$67,SUMPRODUCT(('🔄 Game History'!$E$8:$E$67=$D28)*('🔄 Game History'!$G$8:$G$67=SUMPRODUCT(MAX(('🔄 Game History'!$E$8:$E$67=$D28)*'🔄 Game History'!$G$8:$G$67)))*(ROW('🔄 Game History'!$E$8:$E$67)-7)))="Steal","🔄 Stolen","🤲 Held"))))</f>
        <v/>
      </c>
      <c r="J28" s="84">
        <f>IF($D28="","",IF(COUNTIFS('🔄 Game History'!$E$8:$E$67,$D28)=0,"",INDEX('🔄 Game History'!$C$8:$C$67,SUMPRODUCT(('🔄 Game History'!$E$8:$E$67=$D28)*('🔄 Game History'!$G$8:$G$67=SUMPRODUCT(MAX(('🔄 Game History'!$E$8:$E$67=$D28)*'🔄 Game History'!$G$8:$G$67)))*(ROW('🔄 Game History'!$E$8:$E$67)-7)))))</f>
        <v/>
      </c>
      <c r="K28" s="84">
        <f>IF($I28="🔄 Stolen",IFERROR(INDEX('🔄 Game History'!$F$8:$F$67,SUMPRODUCT(('🔄 Game History'!$E$8:$E$67=$D28)*('🔄 Game History'!$G$8:$G$67=SUMPRODUCT(MAX(('🔄 Game History'!$E$8:$E$67=$D28)*'🔄 Game History'!$G$8:$G$67)))*(ROW('🔄 Game History'!$E$8:$E$67)-7))),""),"")</f>
        <v/>
      </c>
      <c r="L28" s="85">
        <f>IF($C28="","",IF(COUNTA($J$8:$J$31)=COUNTA($C$8:$C$31),IFERROR(INDEX($D$8:$D$31,MATCH($C28,$J$8:$J$31,0)),""),"-"))</f>
        <v/>
      </c>
    </row>
    <row r="29" spans="1:12" ht="22" customHeight="1">
      <c r="A29" s="56">
        <v>22</v>
      </c>
      <c r="B29" s="82">
        <f>IF($C29="","",1+SUMPRODUCT(--($M$8:$M$31&gt;$M29)))</f>
        <v/>
      </c>
      <c r="C29" s="57"/>
      <c r="D29" s="82">
        <f>IF($C29="","",1+SUMPRODUCT(--($N$8:$N$31&gt;$N29)))</f>
        <v/>
      </c>
      <c r="E29" s="59"/>
      <c r="F29" s="75"/>
      <c r="G29" s="82">
        <f>IF($D29="","",COUNTIFS('🔄 Game History'!$E$8:$E$67,$D29,'🔄 Game History'!$D$8:$D$67,"Steal"))</f>
        <v/>
      </c>
      <c r="H29" s="82">
        <f>IF($C29="","",MaxSteals)</f>
        <v/>
      </c>
      <c r="I29" s="83">
        <f>IF($D29="","",IF($G29&gt;=$H29,"🔒 Final",IF(COUNTIFS('🔄 Game History'!$E$8:$E$67,$D29)=0,"🎁 Available",IF(INDEX('🔄 Game History'!$D$8:$D$67,SUMPRODUCT(('🔄 Game History'!$E$8:$E$67=$D29)*('🔄 Game History'!$G$8:$G$67=SUMPRODUCT(MAX(('🔄 Game History'!$E$8:$E$67=$D29)*'🔄 Game History'!$G$8:$G$67)))*(ROW('🔄 Game History'!$E$8:$E$67)-7)))="Steal","🔄 Stolen","🤲 Held"))))</f>
        <v/>
      </c>
      <c r="J29" s="84">
        <f>IF($D29="","",IF(COUNTIFS('🔄 Game History'!$E$8:$E$67,$D29)=0,"",INDEX('🔄 Game History'!$C$8:$C$67,SUMPRODUCT(('🔄 Game History'!$E$8:$E$67=$D29)*('🔄 Game History'!$G$8:$G$67=SUMPRODUCT(MAX(('🔄 Game History'!$E$8:$E$67=$D29)*'🔄 Game History'!$G$8:$G$67)))*(ROW('🔄 Game History'!$E$8:$E$67)-7)))))</f>
        <v/>
      </c>
      <c r="K29" s="84">
        <f>IF($I29="🔄 Stolen",IFERROR(INDEX('🔄 Game History'!$F$8:$F$67,SUMPRODUCT(('🔄 Game History'!$E$8:$E$67=$D29)*('🔄 Game History'!$G$8:$G$67=SUMPRODUCT(MAX(('🔄 Game History'!$E$8:$E$67=$D29)*'🔄 Game History'!$G$8:$G$67)))*(ROW('🔄 Game History'!$E$8:$E$67)-7))),""),"")</f>
        <v/>
      </c>
      <c r="L29" s="85">
        <f>IF($C29="","",IF(COUNTA($J$8:$J$31)=COUNTA($C$8:$C$31),IFERROR(INDEX($D$8:$D$31,MATCH($C29,$J$8:$J$31,0)),""),"-"))</f>
        <v/>
      </c>
    </row>
    <row r="30" spans="1:12" ht="22" customHeight="1">
      <c r="A30" s="51">
        <v>23</v>
      </c>
      <c r="B30" s="82">
        <f>IF($C30="","",1+SUMPRODUCT(--($M$8:$M$31&gt;$M30)))</f>
        <v/>
      </c>
      <c r="C30" s="52"/>
      <c r="D30" s="82">
        <f>IF($C30="","",1+SUMPRODUCT(--($N$8:$N$31&gt;$N30)))</f>
        <v/>
      </c>
      <c r="E30" s="55"/>
      <c r="F30" s="72"/>
      <c r="G30" s="82">
        <f>IF($D30="","",COUNTIFS('🔄 Game History'!$E$8:$E$67,$D30,'🔄 Game History'!$D$8:$D$67,"Steal"))</f>
        <v/>
      </c>
      <c r="H30" s="82">
        <f>IF($C30="","",MaxSteals)</f>
        <v/>
      </c>
      <c r="I30" s="83">
        <f>IF($D30="","",IF($G30&gt;=$H30,"🔒 Final",IF(COUNTIFS('🔄 Game History'!$E$8:$E$67,$D30)=0,"🎁 Available",IF(INDEX('🔄 Game History'!$D$8:$D$67,SUMPRODUCT(('🔄 Game History'!$E$8:$E$67=$D30)*('🔄 Game History'!$G$8:$G$67=SUMPRODUCT(MAX(('🔄 Game History'!$E$8:$E$67=$D30)*'🔄 Game History'!$G$8:$G$67)))*(ROW('🔄 Game History'!$E$8:$E$67)-7)))="Steal","🔄 Stolen","🤲 Held"))))</f>
        <v/>
      </c>
      <c r="J30" s="84">
        <f>IF($D30="","",IF(COUNTIFS('🔄 Game History'!$E$8:$E$67,$D30)=0,"",INDEX('🔄 Game History'!$C$8:$C$67,SUMPRODUCT(('🔄 Game History'!$E$8:$E$67=$D30)*('🔄 Game History'!$G$8:$G$67=SUMPRODUCT(MAX(('🔄 Game History'!$E$8:$E$67=$D30)*'🔄 Game History'!$G$8:$G$67)))*(ROW('🔄 Game History'!$E$8:$E$67)-7)))))</f>
        <v/>
      </c>
      <c r="K30" s="84">
        <f>IF($I30="🔄 Stolen",IFERROR(INDEX('🔄 Game History'!$F$8:$F$67,SUMPRODUCT(('🔄 Game History'!$E$8:$E$67=$D30)*('🔄 Game History'!$G$8:$G$67=SUMPRODUCT(MAX(('🔄 Game History'!$E$8:$E$67=$D30)*'🔄 Game History'!$G$8:$G$67)))*(ROW('🔄 Game History'!$E$8:$E$67)-7))),""),"")</f>
        <v/>
      </c>
      <c r="L30" s="85">
        <f>IF($C30="","",IF(COUNTA($J$8:$J$31)=COUNTA($C$8:$C$31),IFERROR(INDEX($D$8:$D$31,MATCH($C30,$J$8:$J$31,0)),""),"-"))</f>
        <v/>
      </c>
    </row>
    <row r="31" spans="1:12" ht="22" customHeight="1">
      <c r="A31" s="56">
        <v>24</v>
      </c>
      <c r="B31" s="82">
        <f>IF($C31="","",1+SUMPRODUCT(--($M$8:$M$31&gt;$M31)))</f>
        <v/>
      </c>
      <c r="C31" s="57"/>
      <c r="D31" s="82">
        <f>IF($C31="","",1+SUMPRODUCT(--($N$8:$N$31&gt;$N31)))</f>
        <v/>
      </c>
      <c r="E31" s="59"/>
      <c r="F31" s="75"/>
      <c r="G31" s="82">
        <f>IF($D31="","",COUNTIFS('🔄 Game History'!$E$8:$E$67,$D31,'🔄 Game History'!$D$8:$D$67,"Steal"))</f>
        <v/>
      </c>
      <c r="H31" s="82">
        <f>IF($C31="","",MaxSteals)</f>
        <v/>
      </c>
      <c r="I31" s="83">
        <f>IF($D31="","",IF($G31&gt;=$H31,"🔒 Final",IF(COUNTIFS('🔄 Game History'!$E$8:$E$67,$D31)=0,"🎁 Available",IF(INDEX('🔄 Game History'!$D$8:$D$67,SUMPRODUCT(('🔄 Game History'!$E$8:$E$67=$D31)*('🔄 Game History'!$G$8:$G$67=SUMPRODUCT(MAX(('🔄 Game History'!$E$8:$E$67=$D31)*'🔄 Game History'!$G$8:$G$67)))*(ROW('🔄 Game History'!$E$8:$E$67)-7)))="Steal","🔄 Stolen","🤲 Held"))))</f>
        <v/>
      </c>
      <c r="J31" s="84">
        <f>IF($D31="","",IF(COUNTIFS('🔄 Game History'!$E$8:$E$67,$D31)=0,"",INDEX('🔄 Game History'!$C$8:$C$67,SUMPRODUCT(('🔄 Game History'!$E$8:$E$67=$D31)*('🔄 Game History'!$G$8:$G$67=SUMPRODUCT(MAX(('🔄 Game History'!$E$8:$E$67=$D31)*'🔄 Game History'!$G$8:$G$67)))*(ROW('🔄 Game History'!$E$8:$E$67)-7)))))</f>
        <v/>
      </c>
      <c r="K31" s="84">
        <f>IF($I31="🔄 Stolen",IFERROR(INDEX('🔄 Game History'!$F$8:$F$67,SUMPRODUCT(('🔄 Game History'!$E$8:$E$67=$D31)*('🔄 Game History'!$G$8:$G$67=SUMPRODUCT(MAX(('🔄 Game History'!$E$8:$E$67=$D31)*'🔄 Game History'!$G$8:$G$67)))*(ROW('🔄 Game History'!$E$8:$E$67)-7))),""),"")</f>
        <v/>
      </c>
      <c r="L31" s="85">
        <f>IF($C31="","",IF(COUNTA($J$8:$J$31)=COUNTA($C$8:$C$31),IFERROR(INDEX($D$8:$D$31,MATCH($C31,$J$8:$J$31,0)),""),"-"))</f>
        <v/>
      </c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30" customHeight="1">
      <c r="A33" s="8"/>
      <c r="B33" s="20" t="s">
        <v>261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24" customHeight="1">
      <c r="A35" s="8"/>
      <c r="B35" s="21" t="s">
        <v>127</v>
      </c>
      <c r="C35" s="21"/>
      <c r="D35" s="22" t="s">
        <v>92</v>
      </c>
      <c r="E35" s="22"/>
      <c r="F35" s="23" t="s">
        <v>93</v>
      </c>
      <c r="G35" s="23"/>
      <c r="H35" s="24" t="s">
        <v>94</v>
      </c>
      <c r="I35" s="24"/>
      <c r="J35" s="21" t="s">
        <v>95</v>
      </c>
      <c r="K35" s="21"/>
      <c r="L35" s="8"/>
    </row>
    <row r="36" spans="1:12" ht="24" customHeight="1">
      <c r="A36" s="8"/>
      <c r="B36" s="22" t="s">
        <v>96</v>
      </c>
      <c r="C36" s="22"/>
      <c r="D36" s="22" t="s">
        <v>97</v>
      </c>
      <c r="E36" s="22"/>
      <c r="F36" s="25" t="s">
        <v>262</v>
      </c>
      <c r="G36" s="25"/>
      <c r="H36" s="22" t="s">
        <v>99</v>
      </c>
      <c r="I36" s="22"/>
      <c r="J36" s="24" t="s">
        <v>100</v>
      </c>
      <c r="K36" s="24"/>
      <c r="L36" s="8"/>
    </row>
    <row r="37" spans="1:12" ht="24" customHeight="1">
      <c r="A37" s="8"/>
      <c r="B37" s="21" t="s">
        <v>101</v>
      </c>
      <c r="C37" s="21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</sheetData>
  <mergeCells count="19">
    <mergeCell ref="B2:I2"/>
    <mergeCell ref="B3:I3"/>
    <mergeCell ref="J3:L3"/>
    <mergeCell ref="B5:D5"/>
    <mergeCell ref="E5:G5"/>
    <mergeCell ref="H5:J5"/>
    <mergeCell ref="K5:O5"/>
    <mergeCell ref="B33:L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</mergeCells>
  <conditionalFormatting sqref="B8:L31">
    <cfRule type="expression" dxfId="9" priority="5">
      <formula>AND($C8&lt;&gt;"",$B8='_Data'!$AI$18)</formula>
    </cfRule>
  </conditionalFormatting>
  <conditionalFormatting sqref="I8:I31">
    <cfRule type="expression" dxfId="8" priority="1">
      <formula>$I8="🎁 Available"</formula>
    </cfRule>
    <cfRule type="expression" dxfId="3" priority="2">
      <formula>$I8="🤲 Held"</formula>
    </cfRule>
    <cfRule type="expression" dxfId="1" priority="3">
      <formula>$I8="🔄 Stolen"</formula>
    </cfRule>
    <cfRule type="expression" dxfId="0" priority="4">
      <formula>$I8="🔒 Final"</formula>
    </cfRule>
  </conditionalFormatting>
  <dataValidations count="2">
    <dataValidation type="list" allowBlank="1" sqref="C8:C31">
      <formula1>ParticipantsList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</dataValidations>
  <hyperlinks>
    <hyperlink ref="J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People"/>
    <hyperlink ref="H35" location="'🎅 Secret Santa Draw'!A1" display="Draw"/>
    <hyperlink ref="J35" location="'🚫 Exclusions &amp; Rules'!A1" display="Rules"/>
    <hyperlink ref="B36" location="'💰 Budget Tracker'!A1" display="Budget"/>
    <hyperlink ref="D36" location="'🎁 Wishlists'!A1" display="Wishlists"/>
    <hyperlink ref="F36" location="'🎲 White Elephant'!A1" display="▶ White Elephant"/>
    <hyperlink ref="H36" location="'🔄 Game History'!A1" display="History"/>
    <hyperlink ref="J36" location="'🎟️ Santa Cards'!A1" display="Cards"/>
    <hyperlink ref="B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O8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10.7109375" customWidth="1"/>
    <col min="5" max="5" width="9.7109375" customWidth="1"/>
    <col min="6" max="6" width="18.7109375" customWidth="1"/>
    <col min="7" max="7" width="8.7109375" hidden="1" customWidth="1"/>
  </cols>
  <sheetData>
    <row r="1" spans="1:15" ht="7" customHeight="1">
      <c r="A1" s="8"/>
      <c r="B1" s="8"/>
      <c r="C1" s="8"/>
      <c r="D1" s="8"/>
      <c r="E1" s="8"/>
      <c r="F1" s="8"/>
    </row>
    <row r="2" spans="1:15" ht="32" customHeight="1">
      <c r="A2" s="8"/>
      <c r="B2" s="44" t="s">
        <v>263</v>
      </c>
      <c r="C2" s="44"/>
      <c r="D2" s="8"/>
      <c r="E2" s="8"/>
      <c r="F2" s="8"/>
    </row>
    <row r="3" spans="1:15" ht="18" customHeight="1">
      <c r="A3" s="8"/>
      <c r="B3" s="45" t="s">
        <v>264</v>
      </c>
      <c r="C3" s="45"/>
      <c r="D3" s="46" t="s">
        <v>31</v>
      </c>
      <c r="E3" s="46"/>
      <c r="F3" s="46"/>
    </row>
    <row r="4" spans="1:15" ht="8" customHeight="1">
      <c r="A4" s="8"/>
      <c r="B4" s="8"/>
      <c r="C4" s="8"/>
      <c r="D4" s="8"/>
      <c r="E4" s="8"/>
      <c r="F4" s="8"/>
    </row>
    <row r="5" spans="1:15" ht="22" customHeight="1">
      <c r="A5" s="8"/>
      <c r="B5" s="47" t="str">
        <f>"🔄 Turns logged: "&amp;COUNT($B$8:$B$67)</f>
        <v>Turns logged: 14</v>
      </c>
      <c r="C5" s="47"/>
      <c r="D5" s="47"/>
      <c r="E5" s="47"/>
      <c r="F5" s="60" t="str">
        <f>"🤲 Steals: "&amp;COUNTIF($D$8:$D$67,"Steal")</f>
        <v>Steals: 4</v>
      </c>
      <c r="G5" s="60"/>
      <c r="H5" s="60"/>
      <c r="I5" s="60"/>
      <c r="J5" s="48" t="str">
        <f>"🎁 Picks: "&amp;COUNTIF($D$8:$D$67,"Pick")</f>
        <v>Picks: 8</v>
      </c>
      <c r="K5" s="48"/>
      <c r="L5" s="48"/>
      <c r="M5" s="70" t="str">
        <f>"⏭️ Passes: "&amp;COUNTIF($D$8:$D$67,"Pass")</f>
        <v>Passes: 2</v>
      </c>
      <c r="N5" s="70"/>
      <c r="O5" s="70"/>
    </row>
    <row r="6" spans="1:15" ht="8" customHeight="1">
      <c r="A6" s="8"/>
      <c r="B6" s="8"/>
      <c r="C6" s="8"/>
      <c r="D6" s="8"/>
      <c r="E6" s="8"/>
      <c r="F6" s="8"/>
    </row>
    <row r="7" spans="1:15" ht="36" customHeight="1">
      <c r="A7" s="17" t="s">
        <v>131</v>
      </c>
      <c r="B7" s="17" t="s">
        <v>265</v>
      </c>
      <c r="C7" s="17" t="s">
        <v>243</v>
      </c>
      <c r="D7" s="17" t="s">
        <v>266</v>
      </c>
      <c r="E7" s="17" t="s">
        <v>244</v>
      </c>
      <c r="F7" s="17" t="s">
        <v>267</v>
      </c>
    </row>
    <row r="8" spans="1:15" ht="20" customHeight="1">
      <c r="A8" s="51">
        <v>1</v>
      </c>
      <c r="B8" s="86">
        <v>1</v>
      </c>
      <c r="C8" s="52" t="s">
        <v>151</v>
      </c>
      <c r="D8" s="53" t="s">
        <v>74</v>
      </c>
      <c r="E8" s="86">
        <v>4</v>
      </c>
      <c r="F8" s="53"/>
      <c r="G8" s="87">
        <f>IF($B8="",0,$B8)</f>
        <v>1</v>
      </c>
    </row>
    <row r="9" spans="1:15" ht="20" customHeight="1">
      <c r="A9" s="56">
        <v>2</v>
      </c>
      <c r="B9" s="88">
        <v>2</v>
      </c>
      <c r="C9" s="57" t="s">
        <v>149</v>
      </c>
      <c r="D9" s="58" t="s">
        <v>74</v>
      </c>
      <c r="E9" s="88">
        <v>7</v>
      </c>
      <c r="F9" s="58"/>
      <c r="G9" s="87">
        <f>IF($B9="",0,$B9)</f>
        <v>2</v>
      </c>
    </row>
    <row r="10" spans="1:15" ht="20" customHeight="1">
      <c r="A10" s="51">
        <v>3</v>
      </c>
      <c r="B10" s="86">
        <v>3</v>
      </c>
      <c r="C10" s="52" t="s">
        <v>148</v>
      </c>
      <c r="D10" s="53" t="s">
        <v>75</v>
      </c>
      <c r="E10" s="86">
        <v>4</v>
      </c>
      <c r="F10" s="53" t="s">
        <v>151</v>
      </c>
      <c r="G10" s="87">
        <f>IF($B10="",0,$B10)</f>
        <v>3</v>
      </c>
    </row>
    <row r="11" spans="1:15" ht="20" customHeight="1">
      <c r="A11" s="56">
        <v>4</v>
      </c>
      <c r="B11" s="88">
        <v>4</v>
      </c>
      <c r="C11" s="57" t="s">
        <v>160</v>
      </c>
      <c r="D11" s="58" t="s">
        <v>74</v>
      </c>
      <c r="E11" s="88">
        <v>2</v>
      </c>
      <c r="F11" s="58"/>
      <c r="G11" s="87">
        <f>IF($B11="",0,$B11)</f>
        <v>4</v>
      </c>
    </row>
    <row r="12" spans="1:15" ht="20" customHeight="1">
      <c r="A12" s="51">
        <v>5</v>
      </c>
      <c r="B12" s="86">
        <v>5</v>
      </c>
      <c r="C12" s="52" t="s">
        <v>146</v>
      </c>
      <c r="D12" s="53" t="s">
        <v>75</v>
      </c>
      <c r="E12" s="86">
        <v>4</v>
      </c>
      <c r="F12" s="53" t="s">
        <v>148</v>
      </c>
      <c r="G12" s="87">
        <f>IF($B12="",0,$B12)</f>
        <v>5</v>
      </c>
    </row>
    <row r="13" spans="1:15" ht="20" customHeight="1">
      <c r="A13" s="56">
        <v>6</v>
      </c>
      <c r="B13" s="88">
        <v>6</v>
      </c>
      <c r="C13" s="57" t="s">
        <v>142</v>
      </c>
      <c r="D13" s="58" t="s">
        <v>74</v>
      </c>
      <c r="E13" s="88">
        <v>9</v>
      </c>
      <c r="F13" s="58"/>
      <c r="G13" s="87">
        <f>IF($B13="",0,$B13)</f>
        <v>6</v>
      </c>
    </row>
    <row r="14" spans="1:15" ht="20" customHeight="1">
      <c r="A14" s="51">
        <v>7</v>
      </c>
      <c r="B14" s="86">
        <v>7</v>
      </c>
      <c r="C14" s="52" t="s">
        <v>144</v>
      </c>
      <c r="D14" s="53" t="s">
        <v>75</v>
      </c>
      <c r="E14" s="86">
        <v>9</v>
      </c>
      <c r="F14" s="53" t="s">
        <v>142</v>
      </c>
      <c r="G14" s="87">
        <f>IF($B14="",0,$B14)</f>
        <v>7</v>
      </c>
    </row>
    <row r="15" spans="1:15" ht="20" customHeight="1">
      <c r="A15" s="56">
        <v>8</v>
      </c>
      <c r="B15" s="88">
        <v>8</v>
      </c>
      <c r="C15" s="57" t="s">
        <v>154</v>
      </c>
      <c r="D15" s="58" t="s">
        <v>74</v>
      </c>
      <c r="E15" s="88">
        <v>1</v>
      </c>
      <c r="F15" s="58"/>
      <c r="G15" s="87">
        <f>IF($B15="",0,$B15)</f>
        <v>8</v>
      </c>
    </row>
    <row r="16" spans="1:15" ht="20" customHeight="1">
      <c r="A16" s="51">
        <v>9</v>
      </c>
      <c r="B16" s="86">
        <v>9</v>
      </c>
      <c r="C16" s="52" t="s">
        <v>140</v>
      </c>
      <c r="D16" s="53" t="s">
        <v>75</v>
      </c>
      <c r="E16" s="86">
        <v>1</v>
      </c>
      <c r="F16" s="53" t="s">
        <v>154</v>
      </c>
      <c r="G16" s="87">
        <f>IF($B16="",0,$B16)</f>
        <v>9</v>
      </c>
    </row>
    <row r="17" spans="1:7" ht="20" customHeight="1">
      <c r="A17" s="56">
        <v>10</v>
      </c>
      <c r="B17" s="88">
        <v>10</v>
      </c>
      <c r="C17" s="57" t="s">
        <v>147</v>
      </c>
      <c r="D17" s="58" t="s">
        <v>74</v>
      </c>
      <c r="E17" s="88">
        <v>6</v>
      </c>
      <c r="F17" s="58"/>
      <c r="G17" s="87">
        <f>IF($B17="",0,$B17)</f>
        <v>10</v>
      </c>
    </row>
    <row r="18" spans="1:7" ht="20" customHeight="1">
      <c r="A18" s="51">
        <v>11</v>
      </c>
      <c r="B18" s="86">
        <v>11</v>
      </c>
      <c r="C18" s="52" t="s">
        <v>151</v>
      </c>
      <c r="D18" s="53" t="s">
        <v>74</v>
      </c>
      <c r="E18" s="86">
        <v>3</v>
      </c>
      <c r="F18" s="53"/>
      <c r="G18" s="87">
        <f>IF($B18="",0,$B18)</f>
        <v>11</v>
      </c>
    </row>
    <row r="19" spans="1:7" ht="20" customHeight="1">
      <c r="A19" s="56">
        <v>12</v>
      </c>
      <c r="B19" s="88">
        <v>12</v>
      </c>
      <c r="C19" s="57" t="s">
        <v>149</v>
      </c>
      <c r="D19" s="58" t="s">
        <v>76</v>
      </c>
      <c r="E19" s="88">
        <v>7</v>
      </c>
      <c r="F19" s="58"/>
      <c r="G19" s="87">
        <f>IF($B19="",0,$B19)</f>
        <v>12</v>
      </c>
    </row>
    <row r="20" spans="1:7" ht="20" customHeight="1">
      <c r="A20" s="51">
        <v>13</v>
      </c>
      <c r="B20" s="86">
        <v>13</v>
      </c>
      <c r="C20" s="52" t="s">
        <v>148</v>
      </c>
      <c r="D20" s="53" t="s">
        <v>74</v>
      </c>
      <c r="E20" s="86">
        <v>5</v>
      </c>
      <c r="F20" s="53"/>
      <c r="G20" s="87">
        <f>IF($B20="",0,$B20)</f>
        <v>13</v>
      </c>
    </row>
    <row r="21" spans="1:7" ht="20" customHeight="1">
      <c r="A21" s="56">
        <v>14</v>
      </c>
      <c r="B21" s="88">
        <v>14</v>
      </c>
      <c r="C21" s="57" t="s">
        <v>160</v>
      </c>
      <c r="D21" s="58" t="s">
        <v>76</v>
      </c>
      <c r="E21" s="88">
        <v>2</v>
      </c>
      <c r="F21" s="58"/>
      <c r="G21" s="87">
        <f>IF($B21="",0,$B21)</f>
        <v>14</v>
      </c>
    </row>
    <row r="22" spans="1:7" ht="20" customHeight="1">
      <c r="A22" s="51">
        <v>15</v>
      </c>
      <c r="B22" s="86"/>
      <c r="C22" s="52"/>
      <c r="D22" s="53"/>
      <c r="E22" s="86"/>
      <c r="F22" s="53"/>
      <c r="G22" s="87">
        <f>IF($B22="",0,$B22)</f>
        <v>0</v>
      </c>
    </row>
    <row r="23" spans="1:7" ht="20" customHeight="1">
      <c r="A23" s="56">
        <v>16</v>
      </c>
      <c r="B23" s="88"/>
      <c r="C23" s="57"/>
      <c r="D23" s="58"/>
      <c r="E23" s="88"/>
      <c r="F23" s="58"/>
      <c r="G23" s="87">
        <f>IF($B23="",0,$B23)</f>
        <v>0</v>
      </c>
    </row>
    <row r="24" spans="1:7" ht="20" customHeight="1">
      <c r="A24" s="51">
        <v>17</v>
      </c>
      <c r="B24" s="86"/>
      <c r="C24" s="52"/>
      <c r="D24" s="53"/>
      <c r="E24" s="86"/>
      <c r="F24" s="53"/>
      <c r="G24" s="87">
        <f>IF($B24="",0,$B24)</f>
        <v>0</v>
      </c>
    </row>
    <row r="25" spans="1:7" ht="20" customHeight="1">
      <c r="A25" s="56">
        <v>18</v>
      </c>
      <c r="B25" s="88"/>
      <c r="C25" s="57"/>
      <c r="D25" s="58"/>
      <c r="E25" s="88"/>
      <c r="F25" s="58"/>
      <c r="G25" s="87">
        <f>IF($B25="",0,$B25)</f>
        <v>0</v>
      </c>
    </row>
    <row r="26" spans="1:7" ht="20" customHeight="1">
      <c r="A26" s="51">
        <v>19</v>
      </c>
      <c r="B26" s="86"/>
      <c r="C26" s="52"/>
      <c r="D26" s="53"/>
      <c r="E26" s="86"/>
      <c r="F26" s="53"/>
      <c r="G26" s="87">
        <f>IF($B26="",0,$B26)</f>
        <v>0</v>
      </c>
    </row>
    <row r="27" spans="1:7" ht="20" customHeight="1">
      <c r="A27" s="56">
        <v>20</v>
      </c>
      <c r="B27" s="88"/>
      <c r="C27" s="57"/>
      <c r="D27" s="58"/>
      <c r="E27" s="88"/>
      <c r="F27" s="58"/>
      <c r="G27" s="87">
        <f>IF($B27="",0,$B27)</f>
        <v>0</v>
      </c>
    </row>
    <row r="28" spans="1:7" ht="20" customHeight="1">
      <c r="A28" s="51">
        <v>21</v>
      </c>
      <c r="B28" s="86"/>
      <c r="C28" s="52"/>
      <c r="D28" s="53"/>
      <c r="E28" s="86"/>
      <c r="F28" s="53"/>
      <c r="G28" s="87">
        <f>IF($B28="",0,$B28)</f>
        <v>0</v>
      </c>
    </row>
    <row r="29" spans="1:7" ht="20" customHeight="1">
      <c r="A29" s="56">
        <v>22</v>
      </c>
      <c r="B29" s="88"/>
      <c r="C29" s="57"/>
      <c r="D29" s="58"/>
      <c r="E29" s="88"/>
      <c r="F29" s="58"/>
      <c r="G29" s="87">
        <f>IF($B29="",0,$B29)</f>
        <v>0</v>
      </c>
    </row>
    <row r="30" spans="1:7" ht="20" customHeight="1">
      <c r="A30" s="51">
        <v>23</v>
      </c>
      <c r="B30" s="86"/>
      <c r="C30" s="52"/>
      <c r="D30" s="53"/>
      <c r="E30" s="86"/>
      <c r="F30" s="53"/>
      <c r="G30" s="87">
        <f>IF($B30="",0,$B30)</f>
        <v>0</v>
      </c>
    </row>
    <row r="31" spans="1:7" ht="20" customHeight="1">
      <c r="A31" s="56">
        <v>24</v>
      </c>
      <c r="B31" s="88"/>
      <c r="C31" s="57"/>
      <c r="D31" s="58"/>
      <c r="E31" s="88"/>
      <c r="F31" s="58"/>
      <c r="G31" s="87">
        <f>IF($B31="",0,$B31)</f>
        <v>0</v>
      </c>
    </row>
    <row r="32" spans="1:7" ht="20" customHeight="1">
      <c r="A32" s="51">
        <v>25</v>
      </c>
      <c r="B32" s="86"/>
      <c r="C32" s="52"/>
      <c r="D32" s="53"/>
      <c r="E32" s="86"/>
      <c r="F32" s="53"/>
      <c r="G32" s="87">
        <f>IF($B32="",0,$B32)</f>
        <v>0</v>
      </c>
    </row>
    <row r="33" spans="1:7" ht="20" customHeight="1">
      <c r="A33" s="56">
        <v>26</v>
      </c>
      <c r="B33" s="88"/>
      <c r="C33" s="57"/>
      <c r="D33" s="58"/>
      <c r="E33" s="88"/>
      <c r="F33" s="58"/>
      <c r="G33" s="87">
        <f>IF($B33="",0,$B33)</f>
        <v>0</v>
      </c>
    </row>
    <row r="34" spans="1:7" ht="20" customHeight="1">
      <c r="A34" s="51">
        <v>27</v>
      </c>
      <c r="B34" s="86"/>
      <c r="C34" s="52"/>
      <c r="D34" s="53"/>
      <c r="E34" s="86"/>
      <c r="F34" s="53"/>
      <c r="G34" s="87">
        <f>IF($B34="",0,$B34)</f>
        <v>0</v>
      </c>
    </row>
    <row r="35" spans="1:7" ht="20" customHeight="1">
      <c r="A35" s="56">
        <v>28</v>
      </c>
      <c r="B35" s="88"/>
      <c r="C35" s="57"/>
      <c r="D35" s="58"/>
      <c r="E35" s="88"/>
      <c r="F35" s="58"/>
      <c r="G35" s="87">
        <f>IF($B35="",0,$B35)</f>
        <v>0</v>
      </c>
    </row>
    <row r="36" spans="1:7" ht="20" customHeight="1">
      <c r="A36" s="51">
        <v>29</v>
      </c>
      <c r="B36" s="86"/>
      <c r="C36" s="52"/>
      <c r="D36" s="53"/>
      <c r="E36" s="86"/>
      <c r="F36" s="53"/>
      <c r="G36" s="87">
        <f>IF($B36="",0,$B36)</f>
        <v>0</v>
      </c>
    </row>
    <row r="37" spans="1:7" ht="20" customHeight="1">
      <c r="A37" s="56">
        <v>30</v>
      </c>
      <c r="B37" s="88"/>
      <c r="C37" s="57"/>
      <c r="D37" s="58"/>
      <c r="E37" s="88"/>
      <c r="F37" s="58"/>
      <c r="G37" s="87">
        <f>IF($B37="",0,$B37)</f>
        <v>0</v>
      </c>
    </row>
    <row r="38" spans="1:7" ht="20" customHeight="1">
      <c r="A38" s="51">
        <v>31</v>
      </c>
      <c r="B38" s="86"/>
      <c r="C38" s="52"/>
      <c r="D38" s="53"/>
      <c r="E38" s="86"/>
      <c r="F38" s="53"/>
      <c r="G38" s="87">
        <f>IF($B38="",0,$B38)</f>
        <v>0</v>
      </c>
    </row>
    <row r="39" spans="1:7" ht="20" customHeight="1">
      <c r="A39" s="56">
        <v>32</v>
      </c>
      <c r="B39" s="88"/>
      <c r="C39" s="57"/>
      <c r="D39" s="58"/>
      <c r="E39" s="88"/>
      <c r="F39" s="58"/>
      <c r="G39" s="87">
        <f>IF($B39="",0,$B39)</f>
        <v>0</v>
      </c>
    </row>
    <row r="40" spans="1:7" ht="20" customHeight="1">
      <c r="A40" s="51">
        <v>33</v>
      </c>
      <c r="B40" s="86"/>
      <c r="C40" s="52"/>
      <c r="D40" s="53"/>
      <c r="E40" s="86"/>
      <c r="F40" s="53"/>
      <c r="G40" s="87">
        <f>IF($B40="",0,$B40)</f>
        <v>0</v>
      </c>
    </row>
    <row r="41" spans="1:7" ht="20" customHeight="1">
      <c r="A41" s="56">
        <v>34</v>
      </c>
      <c r="B41" s="88"/>
      <c r="C41" s="57"/>
      <c r="D41" s="58"/>
      <c r="E41" s="88"/>
      <c r="F41" s="58"/>
      <c r="G41" s="87">
        <f>IF($B41="",0,$B41)</f>
        <v>0</v>
      </c>
    </row>
    <row r="42" spans="1:7" ht="20" customHeight="1">
      <c r="A42" s="51">
        <v>35</v>
      </c>
      <c r="B42" s="86"/>
      <c r="C42" s="52"/>
      <c r="D42" s="53"/>
      <c r="E42" s="86"/>
      <c r="F42" s="53"/>
      <c r="G42" s="87">
        <f>IF($B42="",0,$B42)</f>
        <v>0</v>
      </c>
    </row>
    <row r="43" spans="1:7" ht="20" customHeight="1">
      <c r="A43" s="56">
        <v>36</v>
      </c>
      <c r="B43" s="88"/>
      <c r="C43" s="57"/>
      <c r="D43" s="58"/>
      <c r="E43" s="88"/>
      <c r="F43" s="58"/>
      <c r="G43" s="87">
        <f>IF($B43="",0,$B43)</f>
        <v>0</v>
      </c>
    </row>
    <row r="44" spans="1:7" ht="20" customHeight="1">
      <c r="A44" s="51">
        <v>37</v>
      </c>
      <c r="B44" s="86"/>
      <c r="C44" s="52"/>
      <c r="D44" s="53"/>
      <c r="E44" s="86"/>
      <c r="F44" s="53"/>
      <c r="G44" s="87">
        <f>IF($B44="",0,$B44)</f>
        <v>0</v>
      </c>
    </row>
    <row r="45" spans="1:7" ht="20" customHeight="1">
      <c r="A45" s="56">
        <v>38</v>
      </c>
      <c r="B45" s="88"/>
      <c r="C45" s="57"/>
      <c r="D45" s="58"/>
      <c r="E45" s="88"/>
      <c r="F45" s="58"/>
      <c r="G45" s="87">
        <f>IF($B45="",0,$B45)</f>
        <v>0</v>
      </c>
    </row>
    <row r="46" spans="1:7" ht="20" customHeight="1">
      <c r="A46" s="51">
        <v>39</v>
      </c>
      <c r="B46" s="86"/>
      <c r="C46" s="52"/>
      <c r="D46" s="53"/>
      <c r="E46" s="86"/>
      <c r="F46" s="53"/>
      <c r="G46" s="87">
        <f>IF($B46="",0,$B46)</f>
        <v>0</v>
      </c>
    </row>
    <row r="47" spans="1:7" ht="20" customHeight="1">
      <c r="A47" s="56">
        <v>40</v>
      </c>
      <c r="B47" s="88"/>
      <c r="C47" s="57"/>
      <c r="D47" s="58"/>
      <c r="E47" s="88"/>
      <c r="F47" s="58"/>
      <c r="G47" s="87">
        <f>IF($B47="",0,$B47)</f>
        <v>0</v>
      </c>
    </row>
    <row r="48" spans="1:7" ht="20" customHeight="1">
      <c r="A48" s="51">
        <v>41</v>
      </c>
      <c r="B48" s="86"/>
      <c r="C48" s="52"/>
      <c r="D48" s="53"/>
      <c r="E48" s="86"/>
      <c r="F48" s="53"/>
      <c r="G48" s="87">
        <f>IF($B48="",0,$B48)</f>
        <v>0</v>
      </c>
    </row>
    <row r="49" spans="1:7" ht="20" customHeight="1">
      <c r="A49" s="56">
        <v>42</v>
      </c>
      <c r="B49" s="88"/>
      <c r="C49" s="57"/>
      <c r="D49" s="58"/>
      <c r="E49" s="88"/>
      <c r="F49" s="58"/>
      <c r="G49" s="87">
        <f>IF($B49="",0,$B49)</f>
        <v>0</v>
      </c>
    </row>
    <row r="50" spans="1:7" ht="20" customHeight="1">
      <c r="A50" s="51">
        <v>43</v>
      </c>
      <c r="B50" s="86"/>
      <c r="C50" s="52"/>
      <c r="D50" s="53"/>
      <c r="E50" s="86"/>
      <c r="F50" s="53"/>
      <c r="G50" s="87">
        <f>IF($B50="",0,$B50)</f>
        <v>0</v>
      </c>
    </row>
    <row r="51" spans="1:7" ht="20" customHeight="1">
      <c r="A51" s="56">
        <v>44</v>
      </c>
      <c r="B51" s="88"/>
      <c r="C51" s="57"/>
      <c r="D51" s="58"/>
      <c r="E51" s="88"/>
      <c r="F51" s="58"/>
      <c r="G51" s="87">
        <f>IF($B51="",0,$B51)</f>
        <v>0</v>
      </c>
    </row>
    <row r="52" spans="1:7" ht="20" customHeight="1">
      <c r="A52" s="51">
        <v>45</v>
      </c>
      <c r="B52" s="86"/>
      <c r="C52" s="52"/>
      <c r="D52" s="53"/>
      <c r="E52" s="86"/>
      <c r="F52" s="53"/>
      <c r="G52" s="87">
        <f>IF($B52="",0,$B52)</f>
        <v>0</v>
      </c>
    </row>
    <row r="53" spans="1:7" ht="20" customHeight="1">
      <c r="A53" s="56">
        <v>46</v>
      </c>
      <c r="B53" s="88"/>
      <c r="C53" s="57"/>
      <c r="D53" s="58"/>
      <c r="E53" s="88"/>
      <c r="F53" s="58"/>
      <c r="G53" s="87">
        <f>IF($B53="",0,$B53)</f>
        <v>0</v>
      </c>
    </row>
    <row r="54" spans="1:7" ht="20" customHeight="1">
      <c r="A54" s="51">
        <v>47</v>
      </c>
      <c r="B54" s="86"/>
      <c r="C54" s="52"/>
      <c r="D54" s="53"/>
      <c r="E54" s="86"/>
      <c r="F54" s="53"/>
      <c r="G54" s="87">
        <f>IF($B54="",0,$B54)</f>
        <v>0</v>
      </c>
    </row>
    <row r="55" spans="1:7" ht="20" customHeight="1">
      <c r="A55" s="56">
        <v>48</v>
      </c>
      <c r="B55" s="88"/>
      <c r="C55" s="57"/>
      <c r="D55" s="58"/>
      <c r="E55" s="88"/>
      <c r="F55" s="58"/>
      <c r="G55" s="87">
        <f>IF($B55="",0,$B55)</f>
        <v>0</v>
      </c>
    </row>
    <row r="56" spans="1:7" ht="20" customHeight="1">
      <c r="A56" s="51">
        <v>49</v>
      </c>
      <c r="B56" s="86"/>
      <c r="C56" s="52"/>
      <c r="D56" s="53"/>
      <c r="E56" s="86"/>
      <c r="F56" s="53"/>
      <c r="G56" s="87">
        <f>IF($B56="",0,$B56)</f>
        <v>0</v>
      </c>
    </row>
    <row r="57" spans="1:7" ht="20" customHeight="1">
      <c r="A57" s="56">
        <v>50</v>
      </c>
      <c r="B57" s="88"/>
      <c r="C57" s="57"/>
      <c r="D57" s="58"/>
      <c r="E57" s="88"/>
      <c r="F57" s="58"/>
      <c r="G57" s="87">
        <f>IF($B57="",0,$B57)</f>
        <v>0</v>
      </c>
    </row>
    <row r="58" spans="1:7" ht="20" customHeight="1">
      <c r="A58" s="51">
        <v>51</v>
      </c>
      <c r="B58" s="86"/>
      <c r="C58" s="52"/>
      <c r="D58" s="53"/>
      <c r="E58" s="86"/>
      <c r="F58" s="53"/>
      <c r="G58" s="87">
        <f>IF($B58="",0,$B58)</f>
        <v>0</v>
      </c>
    </row>
    <row r="59" spans="1:7" ht="20" customHeight="1">
      <c r="A59" s="56">
        <v>52</v>
      </c>
      <c r="B59" s="88"/>
      <c r="C59" s="57"/>
      <c r="D59" s="58"/>
      <c r="E59" s="88"/>
      <c r="F59" s="58"/>
      <c r="G59" s="87">
        <f>IF($B59="",0,$B59)</f>
        <v>0</v>
      </c>
    </row>
    <row r="60" spans="1:7" ht="20" customHeight="1">
      <c r="A60" s="51">
        <v>53</v>
      </c>
      <c r="B60" s="86"/>
      <c r="C60" s="52"/>
      <c r="D60" s="53"/>
      <c r="E60" s="86"/>
      <c r="F60" s="53"/>
      <c r="G60" s="87">
        <f>IF($B60="",0,$B60)</f>
        <v>0</v>
      </c>
    </row>
    <row r="61" spans="1:7" ht="20" customHeight="1">
      <c r="A61" s="56">
        <v>54</v>
      </c>
      <c r="B61" s="88"/>
      <c r="C61" s="57"/>
      <c r="D61" s="58"/>
      <c r="E61" s="88"/>
      <c r="F61" s="58"/>
      <c r="G61" s="87">
        <f>IF($B61="",0,$B61)</f>
        <v>0</v>
      </c>
    </row>
    <row r="62" spans="1:7" ht="20" customHeight="1">
      <c r="A62" s="51">
        <v>55</v>
      </c>
      <c r="B62" s="86"/>
      <c r="C62" s="52"/>
      <c r="D62" s="53"/>
      <c r="E62" s="86"/>
      <c r="F62" s="53"/>
      <c r="G62" s="87">
        <f>IF($B62="",0,$B62)</f>
        <v>0</v>
      </c>
    </row>
    <row r="63" spans="1:7" ht="20" customHeight="1">
      <c r="A63" s="56">
        <v>56</v>
      </c>
      <c r="B63" s="88"/>
      <c r="C63" s="57"/>
      <c r="D63" s="58"/>
      <c r="E63" s="88"/>
      <c r="F63" s="58"/>
      <c r="G63" s="87">
        <f>IF($B63="",0,$B63)</f>
        <v>0</v>
      </c>
    </row>
    <row r="64" spans="1:7" ht="20" customHeight="1">
      <c r="A64" s="51">
        <v>57</v>
      </c>
      <c r="B64" s="86"/>
      <c r="C64" s="52"/>
      <c r="D64" s="53"/>
      <c r="E64" s="86"/>
      <c r="F64" s="53"/>
      <c r="G64" s="87">
        <f>IF($B64="",0,$B64)</f>
        <v>0</v>
      </c>
    </row>
    <row r="65" spans="1:7" ht="20" customHeight="1">
      <c r="A65" s="56">
        <v>58</v>
      </c>
      <c r="B65" s="88"/>
      <c r="C65" s="57"/>
      <c r="D65" s="58"/>
      <c r="E65" s="88"/>
      <c r="F65" s="58"/>
      <c r="G65" s="87">
        <f>IF($B65="",0,$B65)</f>
        <v>0</v>
      </c>
    </row>
    <row r="66" spans="1:7" ht="20" customHeight="1">
      <c r="A66" s="51">
        <v>59</v>
      </c>
      <c r="B66" s="86"/>
      <c r="C66" s="52"/>
      <c r="D66" s="53"/>
      <c r="E66" s="86"/>
      <c r="F66" s="53"/>
      <c r="G66" s="87">
        <f>IF($B66="",0,$B66)</f>
        <v>0</v>
      </c>
    </row>
    <row r="67" spans="1:7" ht="20" customHeight="1">
      <c r="A67" s="56">
        <v>60</v>
      </c>
      <c r="B67" s="88"/>
      <c r="C67" s="57"/>
      <c r="D67" s="58"/>
      <c r="E67" s="88"/>
      <c r="F67" s="58"/>
      <c r="G67" s="87">
        <f>IF($B67="",0,$B67)</f>
        <v>0</v>
      </c>
    </row>
    <row r="68" spans="1:7">
      <c r="A68" s="8"/>
      <c r="B68" s="8"/>
      <c r="C68" s="8"/>
      <c r="D68" s="8"/>
      <c r="E68" s="8"/>
      <c r="F68" s="8"/>
    </row>
    <row r="69" spans="1:7">
      <c r="A69" s="8"/>
      <c r="B69" s="8"/>
      <c r="C69" s="8"/>
      <c r="D69" s="8"/>
      <c r="E69" s="8"/>
      <c r="F69" s="8"/>
    </row>
    <row r="70" spans="1:7" ht="22" customHeight="1">
      <c r="A70" s="8"/>
      <c r="B70" s="9" t="s">
        <v>268</v>
      </c>
      <c r="C70" s="9"/>
      <c r="D70" s="9"/>
      <c r="E70" s="9"/>
      <c r="F70" s="9"/>
    </row>
    <row r="71" spans="1:7" ht="95.6" customHeight="1">
      <c r="A71" s="8"/>
      <c r="B71" s="19" t="s">
        <v>269</v>
      </c>
      <c r="C71" s="19"/>
      <c r="D71" s="19"/>
      <c r="E71" s="19"/>
      <c r="F71" s="19"/>
    </row>
    <row r="72" spans="1:7">
      <c r="A72" s="8"/>
      <c r="B72" s="8"/>
      <c r="C72" s="8"/>
      <c r="D72" s="8"/>
      <c r="E72" s="8"/>
      <c r="F72" s="8"/>
    </row>
    <row r="73" spans="1:7">
      <c r="A73" s="8"/>
      <c r="B73" s="8"/>
      <c r="C73" s="8"/>
      <c r="D73" s="8"/>
      <c r="E73" s="8"/>
      <c r="F73" s="8"/>
    </row>
    <row r="74" spans="1:7">
      <c r="A74" s="8"/>
      <c r="B74" s="8"/>
      <c r="C74" s="8"/>
      <c r="D74" s="8"/>
      <c r="E74" s="8"/>
      <c r="F74" s="8"/>
    </row>
    <row r="75" spans="1:7" ht="30" customHeight="1">
      <c r="A75" s="8"/>
      <c r="B75" s="20" t="s">
        <v>90</v>
      </c>
      <c r="C75" s="20"/>
      <c r="D75" s="20"/>
      <c r="E75" s="20"/>
      <c r="F75" s="20"/>
    </row>
    <row r="76" spans="1:7">
      <c r="A76" s="8"/>
      <c r="B76" s="8"/>
      <c r="C76" s="8"/>
      <c r="D76" s="8"/>
      <c r="E76" s="8"/>
      <c r="F76" s="8"/>
    </row>
    <row r="77" spans="1:7" ht="24" customHeight="1">
      <c r="A77" s="8"/>
      <c r="B77" s="21" t="s">
        <v>127</v>
      </c>
      <c r="C77" s="21"/>
      <c r="D77" s="22" t="s">
        <v>92</v>
      </c>
      <c r="E77" s="22"/>
      <c r="F77" s="8"/>
    </row>
    <row r="78" spans="1:7" ht="24" customHeight="1">
      <c r="A78" s="8"/>
      <c r="B78" s="23" t="s">
        <v>93</v>
      </c>
      <c r="C78" s="23"/>
      <c r="D78" s="24" t="s">
        <v>94</v>
      </c>
      <c r="E78" s="24"/>
      <c r="F78" s="8"/>
    </row>
    <row r="79" spans="1:7" ht="24" customHeight="1">
      <c r="B79" s="21" t="s">
        <v>95</v>
      </c>
      <c r="C79" s="21"/>
      <c r="D79" s="22" t="s">
        <v>96</v>
      </c>
      <c r="E79" s="22"/>
    </row>
    <row r="80" spans="1:7" ht="24" customHeight="1">
      <c r="B80" s="22" t="s">
        <v>97</v>
      </c>
      <c r="C80" s="22"/>
      <c r="D80" s="25" t="s">
        <v>98</v>
      </c>
      <c r="E80" s="25"/>
    </row>
    <row r="81" spans="2:5" ht="24" customHeight="1">
      <c r="B81" s="22" t="s">
        <v>270</v>
      </c>
      <c r="C81" s="22"/>
      <c r="D81" s="24" t="s">
        <v>100</v>
      </c>
      <c r="E81" s="24"/>
    </row>
    <row r="82" spans="2:5" ht="24" customHeight="1">
      <c r="B82" s="21" t="s">
        <v>101</v>
      </c>
      <c r="C82" s="21"/>
    </row>
  </sheetData>
  <mergeCells count="21">
    <mergeCell ref="B2:C2"/>
    <mergeCell ref="B3:C3"/>
    <mergeCell ref="D3:F3"/>
    <mergeCell ref="B5:E5"/>
    <mergeCell ref="F5:I5"/>
    <mergeCell ref="J5:L5"/>
    <mergeCell ref="M5:O5"/>
    <mergeCell ref="B70:F70"/>
    <mergeCell ref="B71:F71"/>
    <mergeCell ref="B75:F75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</mergeCells>
  <conditionalFormatting sqref="D8:D67">
    <cfRule type="expression" dxfId="3" priority="1">
      <formula>$D8="Pick"</formula>
    </cfRule>
    <cfRule type="expression" dxfId="0" priority="2">
      <formula>$D8="Steal"</formula>
    </cfRule>
    <cfRule type="expression" dxfId="8" priority="3">
      <formula>$D8="Pass"</formula>
    </cfRule>
  </conditionalFormatting>
  <dataValidations count="5">
    <dataValidation type="whole" errorStyle="warning" allowBlank="1" showInputMessage="1" showErrorMessage="1" errorTitle="Whole numbers only" error="Please enter a whole number." sqref="B8:B67">
      <formula1>1</formula1>
      <formula2>200</formula2>
    </dataValidation>
    <dataValidation type="list" allowBlank="1" sqref="C8:C67">
      <formula1>ParticipantsList</formula1>
    </dataValidation>
    <dataValidation type="list" allowBlank="1" sqref="D8:D67">
      <formula1>Actions</formula1>
    </dataValidation>
    <dataValidation type="list" allowBlank="1" sqref="E8:E67">
      <formula1>GiftNums</formula1>
    </dataValidation>
    <dataValidation type="list" allowBlank="1" sqref="F8:F67">
      <formula1>ParticipantsList</formula1>
    </dataValidation>
  </dataValidations>
  <hyperlinks>
    <hyperlink ref="D3" location="'🏠 Dashboard'!A1" display="🏠  Dashboard"/>
    <hyperlink ref="B77" location="'⚙️ Settings &amp; Instructions'!A1" display="Settings"/>
    <hyperlink ref="D77" location="'🏠 Dashboard'!A1" display="Dashboard"/>
    <hyperlink ref="B78" location="'👥 Participants'!A1" display="People"/>
    <hyperlink ref="D78" location="'🎅 Secret Santa Draw'!A1" display="Draw"/>
    <hyperlink ref="B79" location="'🚫 Exclusions &amp; Rules'!A1" display="Rules"/>
    <hyperlink ref="D79" location="'💰 Budget Tracker'!A1" display="Budget"/>
    <hyperlink ref="B80" location="'🎁 Wishlists'!A1" display="Wishlists"/>
    <hyperlink ref="D80" location="'🎲 White Elephant'!A1" display="White Elephant"/>
    <hyperlink ref="B81" location="'🔄 Game History'!A1" display="▶ History"/>
    <hyperlink ref="D81" location="'🎟️ Santa Cards'!A1" display="Cards"/>
    <hyperlink ref="B8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</row>
    <row r="2" spans="1:10" ht="32" customHeight="1">
      <c r="A2" s="8"/>
      <c r="B2" s="8"/>
      <c r="C2" s="8"/>
      <c r="D2" s="8"/>
      <c r="E2" s="8"/>
      <c r="F2" s="8"/>
      <c r="G2" s="8"/>
      <c r="H2" s="8"/>
      <c r="I2" s="8"/>
    </row>
    <row r="3" spans="1:10" ht="18" customHeight="1">
      <c r="A3" s="8"/>
      <c r="B3" s="8"/>
      <c r="C3" s="8"/>
      <c r="D3" s="8"/>
      <c r="E3" s="8"/>
      <c r="F3" s="8"/>
      <c r="G3" s="8"/>
      <c r="H3" s="8"/>
      <c r="I3" s="8"/>
    </row>
    <row r="4" spans="1:10" ht="8" customHeight="1">
      <c r="A4" s="8"/>
      <c r="B4" s="8"/>
      <c r="C4" s="8"/>
      <c r="D4" s="8"/>
      <c r="E4" s="8"/>
      <c r="F4" s="8"/>
      <c r="G4" s="8"/>
      <c r="H4" s="8"/>
      <c r="I4" s="8"/>
    </row>
    <row r="5" spans="1:10" ht="22" customHeight="1">
      <c r="A5" s="8"/>
      <c r="B5" s="8"/>
      <c r="C5" s="8"/>
      <c r="D5" s="8"/>
      <c r="E5" s="8"/>
      <c r="F5" s="8"/>
      <c r="G5" s="8"/>
      <c r="H5" s="8"/>
      <c r="I5" s="8"/>
    </row>
    <row r="6" spans="1:10" ht="8" customHeight="1">
      <c r="A6" s="8"/>
      <c r="B6" s="8"/>
      <c r="C6" s="8"/>
      <c r="D6" s="8"/>
      <c r="E6" s="8"/>
      <c r="F6" s="8"/>
      <c r="G6" s="8"/>
      <c r="H6" s="8"/>
      <c r="I6" s="8"/>
    </row>
    <row r="7" spans="1:10">
      <c r="A7" s="8"/>
      <c r="B7" s="8"/>
      <c r="C7" s="8"/>
      <c r="D7" s="8"/>
      <c r="E7" s="8"/>
      <c r="F7" s="8"/>
      <c r="G7" s="8"/>
      <c r="H7" s="8"/>
      <c r="I7" s="8"/>
    </row>
    <row r="8" spans="1:10" ht="20" customHeight="1">
      <c r="A8" s="8"/>
      <c r="B8" s="89" t="s">
        <v>273</v>
      </c>
      <c r="C8" s="89"/>
      <c r="D8" s="89"/>
      <c r="E8" s="89"/>
      <c r="F8" s="8"/>
      <c r="G8" s="89" t="s">
        <v>275</v>
      </c>
      <c r="H8" s="89"/>
      <c r="I8" s="89"/>
      <c r="J8" s="89"/>
    </row>
    <row r="9" spans="1:10" ht="26" customHeight="1">
      <c r="A9" s="8"/>
      <c r="B9" s="90" t="str">
        <f>IFERROR(INDEX('👥 Participants'!$B$8:$B$31,1),"")</f>
        <v>Ava Novak</v>
      </c>
      <c r="C9" s="90"/>
      <c r="D9" s="90"/>
      <c r="E9" s="90"/>
      <c r="F9" s="8"/>
      <c r="G9" s="90" t="str">
        <f>IFERROR(INDEX('👥 Participants'!$B$8:$B$31,2),"")</f>
        <v>Ben Carter</v>
      </c>
      <c r="H9" s="90"/>
      <c r="I9" s="90"/>
      <c r="J9" s="90"/>
    </row>
    <row r="10" spans="1:10" ht="14" customHeight="1">
      <c r="A10" s="8"/>
      <c r="B10" s="91" t="s">
        <v>274</v>
      </c>
      <c r="C10" s="91"/>
      <c r="D10" s="91"/>
      <c r="E10" s="91"/>
      <c r="F10" s="8"/>
      <c r="G10" s="91" t="s">
        <v>274</v>
      </c>
      <c r="H10" s="91"/>
      <c r="I10" s="91"/>
      <c r="J10" s="91"/>
    </row>
    <row r="11" spans="1:10" ht="24" customHeight="1">
      <c r="A11" s="8"/>
      <c r="B11" s="92" t="str">
        <f>IFERROR(INDEX('🎅 Secret Santa Draw'!$E$8:$E$31,1),"")</f>
        <v>Farid Khan</v>
      </c>
      <c r="C11" s="92"/>
      <c r="D11" s="92"/>
      <c r="E11" s="92"/>
      <c r="F11" s="8"/>
      <c r="G11" s="92" t="str">
        <f>IFERROR(INDEX('🎅 Secret Santa Draw'!$E$8:$E$31,2),"")</f>
        <v>Grace Liu</v>
      </c>
      <c r="H11" s="92"/>
      <c r="I11" s="92"/>
      <c r="J11" s="92"/>
    </row>
    <row r="12" spans="1:10" ht="14" customHeight="1">
      <c r="A12" s="8"/>
      <c r="B12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12" s="93"/>
      <c r="D12" s="93"/>
      <c r="E12" s="93"/>
      <c r="F12" s="8"/>
      <c r="G12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12" s="93"/>
      <c r="I12" s="93"/>
      <c r="J12" s="93"/>
    </row>
    <row r="13" spans="1:10" ht="14" customHeight="1">
      <c r="A13" s="8"/>
      <c r="B13" s="93" t="str">
        <f>IF(COUNTA('👥 Participants'!$B$8:$B$31)=0,"",PartyName&amp;"  •  "&amp;PartyLocation)</f>
        <v>Novality Store Holiday Party  •  Novality Loft, 12 Market Street</v>
      </c>
      <c r="C13" s="93"/>
      <c r="D13" s="93"/>
      <c r="E13" s="93"/>
      <c r="F13" s="8"/>
      <c r="G13" s="93" t="str">
        <f>IF(COUNTA('👥 Participants'!$B$8:$B$31)=0,"",PartyName&amp;"  •  "&amp;PartyLocation)</f>
        <v>Novality Store Holiday Party  •  Novality Loft, 12 Market Street</v>
      </c>
      <c r="H13" s="93"/>
      <c r="I13" s="93"/>
      <c r="J13" s="93"/>
    </row>
    <row r="14" spans="1:10">
      <c r="A14" s="8"/>
      <c r="B14" s="8"/>
      <c r="C14" s="8"/>
      <c r="D14" s="8"/>
      <c r="E14" s="8"/>
      <c r="F14" s="8"/>
      <c r="G14" s="8"/>
      <c r="H14" s="8"/>
      <c r="I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</row>
    <row r="16" spans="1:10" ht="20" customHeight="1">
      <c r="A16" s="8"/>
      <c r="B16" s="89" t="s">
        <v>276</v>
      </c>
      <c r="C16" s="89"/>
      <c r="D16" s="89"/>
      <c r="E16" s="89"/>
      <c r="F16" s="8"/>
      <c r="G16" s="89" t="s">
        <v>277</v>
      </c>
      <c r="H16" s="89"/>
      <c r="I16" s="89"/>
      <c r="J16" s="89"/>
    </row>
    <row r="17" spans="1:10" ht="26" customHeight="1">
      <c r="A17" s="8"/>
      <c r="B17" s="90" t="str">
        <f>IFERROR(INDEX('👥 Participants'!$B$8:$B$31,3),"")</f>
        <v>Chloe Diaz</v>
      </c>
      <c r="C17" s="90"/>
      <c r="D17" s="90"/>
      <c r="E17" s="90"/>
      <c r="F17" s="8"/>
      <c r="G17" s="90" t="str">
        <f>IFERROR(INDEX('👥 Participants'!$B$8:$B$31,4),"")</f>
        <v>Dan Novak</v>
      </c>
      <c r="H17" s="90"/>
      <c r="I17" s="90"/>
      <c r="J17" s="90"/>
    </row>
    <row r="18" spans="1:10" ht="14" customHeight="1">
      <c r="A18" s="8"/>
      <c r="B18" s="91" t="s">
        <v>274</v>
      </c>
      <c r="C18" s="91"/>
      <c r="D18" s="91"/>
      <c r="E18" s="91"/>
      <c r="F18" s="8"/>
      <c r="G18" s="91" t="s">
        <v>274</v>
      </c>
      <c r="H18" s="91"/>
      <c r="I18" s="91"/>
      <c r="J18" s="91"/>
    </row>
    <row r="19" spans="1:10" ht="24" customHeight="1">
      <c r="A19" s="8"/>
      <c r="B19" s="92" t="str">
        <f>IFERROR(INDEX('🎅 Secret Santa Draw'!$E$8:$E$31,3),"")</f>
        <v>Hugo Silva</v>
      </c>
      <c r="C19" s="92"/>
      <c r="D19" s="92"/>
      <c r="E19" s="92"/>
      <c r="F19" s="8"/>
      <c r="G19" s="92" t="str">
        <f>IFERROR(INDEX('🎅 Secret Santa Draw'!$E$8:$E$31,4),"")</f>
        <v>Isla Moore</v>
      </c>
      <c r="H19" s="92"/>
      <c r="I19" s="92"/>
      <c r="J19" s="92"/>
    </row>
    <row r="20" spans="1:10" ht="14" customHeight="1">
      <c r="A20" s="8"/>
      <c r="B20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20" s="93"/>
      <c r="D20" s="93"/>
      <c r="E20" s="93"/>
      <c r="F20" s="8"/>
      <c r="G20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20" s="93"/>
      <c r="I20" s="93"/>
      <c r="J20" s="93"/>
    </row>
    <row r="21" spans="1:10" ht="14" customHeight="1">
      <c r="A21" s="8"/>
      <c r="B21" s="93" t="str">
        <f>IF(COUNTA('👥 Participants'!$B$8:$B$31)=0,"",PartyName&amp;"  •  "&amp;PartyLocation)</f>
        <v>Novality Store Holiday Party  •  Novality Loft, 12 Market Street</v>
      </c>
      <c r="C21" s="93"/>
      <c r="D21" s="93"/>
      <c r="E21" s="93"/>
      <c r="F21" s="8"/>
      <c r="G21" s="93" t="str">
        <f>IF(COUNTA('👥 Participants'!$B$8:$B$31)=0,"",PartyName&amp;"  •  "&amp;PartyLocation)</f>
        <v>Novality Store Holiday Party  •  Novality Loft, 12 Market Street</v>
      </c>
      <c r="H21" s="93"/>
      <c r="I21" s="93"/>
      <c r="J21" s="93"/>
    </row>
    <row r="22" spans="1:10">
      <c r="A22" s="8"/>
      <c r="B22" s="8"/>
      <c r="C22" s="8"/>
      <c r="D22" s="8"/>
      <c r="E22" s="8"/>
      <c r="F22" s="8"/>
      <c r="G22" s="8"/>
      <c r="H22" s="8"/>
      <c r="I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</row>
    <row r="24" spans="1:10" ht="20" customHeight="1">
      <c r="A24" s="8"/>
      <c r="B24" s="89" t="s">
        <v>278</v>
      </c>
      <c r="C24" s="89"/>
      <c r="D24" s="89"/>
      <c r="E24" s="89"/>
      <c r="F24" s="8"/>
      <c r="G24" s="89" t="s">
        <v>279</v>
      </c>
      <c r="H24" s="89"/>
      <c r="I24" s="89"/>
      <c r="J24" s="89"/>
    </row>
    <row r="25" spans="1:10" ht="26" customHeight="1">
      <c r="A25" s="8"/>
      <c r="B25" s="90" t="str">
        <f>IFERROR(INDEX('👥 Participants'!$B$8:$B$31,5),"")</f>
        <v>Elena Petrov</v>
      </c>
      <c r="C25" s="90"/>
      <c r="D25" s="90"/>
      <c r="E25" s="90"/>
      <c r="F25" s="8"/>
      <c r="G25" s="90" t="str">
        <f>IFERROR(INDEX('👥 Participants'!$B$8:$B$31,6),"")</f>
        <v>Farid Khan</v>
      </c>
      <c r="H25" s="90"/>
      <c r="I25" s="90"/>
      <c r="J25" s="90"/>
    </row>
    <row r="26" spans="1:10" ht="14" customHeight="1">
      <c r="A26" s="8"/>
      <c r="B26" s="91" t="s">
        <v>274</v>
      </c>
      <c r="C26" s="91"/>
      <c r="D26" s="91"/>
      <c r="E26" s="91"/>
      <c r="F26" s="8"/>
      <c r="G26" s="91" t="s">
        <v>274</v>
      </c>
      <c r="H26" s="91"/>
      <c r="I26" s="91"/>
      <c r="J26" s="91"/>
    </row>
    <row r="27" spans="1:10" ht="24" customHeight="1">
      <c r="A27" s="8"/>
      <c r="B27" s="92" t="str">
        <f>IFERROR(INDEX('🎅 Secret Santa Draw'!$E$8:$E$31,5),"")</f>
        <v>Jack Byrne</v>
      </c>
      <c r="C27" s="92"/>
      <c r="D27" s="92"/>
      <c r="E27" s="92"/>
      <c r="F27" s="8"/>
      <c r="G27" s="92" t="str">
        <f>IFERROR(INDEX('🎅 Secret Santa Draw'!$E$8:$E$31,6),"")</f>
        <v>Kia Osei</v>
      </c>
      <c r="H27" s="92"/>
      <c r="I27" s="92"/>
      <c r="J27" s="92"/>
    </row>
    <row r="28" spans="1:10" ht="14" customHeight="1">
      <c r="A28" s="8"/>
      <c r="B28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28" s="93"/>
      <c r="D28" s="93"/>
      <c r="E28" s="93"/>
      <c r="F28" s="8"/>
      <c r="G28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28" s="93"/>
      <c r="I28" s="93"/>
      <c r="J28" s="93"/>
    </row>
    <row r="29" spans="1:10" ht="14" customHeight="1">
      <c r="A29" s="8"/>
      <c r="B29" s="93" t="str">
        <f>IF(COUNTA('👥 Participants'!$B$8:$B$31)=0,"",PartyName&amp;"  •  "&amp;PartyLocation)</f>
        <v>Novality Store Holiday Party  •  Novality Loft, 12 Market Street</v>
      </c>
      <c r="C29" s="93"/>
      <c r="D29" s="93"/>
      <c r="E29" s="93"/>
      <c r="F29" s="8"/>
      <c r="G29" s="93" t="str">
        <f>IF(COUNTA('👥 Participants'!$B$8:$B$31)=0,"",PartyName&amp;"  •  "&amp;PartyLocation)</f>
        <v>Novality Store Holiday Party  •  Novality Loft, 12 Market Street</v>
      </c>
      <c r="H29" s="93"/>
      <c r="I29" s="93"/>
      <c r="J29" s="93"/>
    </row>
    <row r="30" spans="1:10">
      <c r="A30" s="8"/>
      <c r="B30" s="8"/>
      <c r="C30" s="8"/>
      <c r="D30" s="8"/>
      <c r="E30" s="8"/>
      <c r="F30" s="8"/>
      <c r="G30" s="8"/>
      <c r="H30" s="8"/>
      <c r="I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</row>
    <row r="32" spans="1:10" ht="20" customHeight="1">
      <c r="A32" s="8"/>
      <c r="B32" s="89" t="s">
        <v>280</v>
      </c>
      <c r="C32" s="89"/>
      <c r="D32" s="89"/>
      <c r="E32" s="89"/>
      <c r="F32" s="8"/>
      <c r="G32" s="89" t="s">
        <v>281</v>
      </c>
      <c r="H32" s="89"/>
      <c r="I32" s="89"/>
      <c r="J32" s="89"/>
    </row>
    <row r="33" spans="1:10" ht="26" customHeight="1">
      <c r="A33" s="8"/>
      <c r="B33" s="90" t="str">
        <f>IFERROR(INDEX('👥 Participants'!$B$8:$B$31,7),"")</f>
        <v>Grace Liu</v>
      </c>
      <c r="C33" s="90"/>
      <c r="D33" s="90"/>
      <c r="E33" s="90"/>
      <c r="F33" s="8"/>
      <c r="G33" s="90" t="str">
        <f>IFERROR(INDEX('👥 Participants'!$B$8:$B$31,8),"")</f>
        <v>Hugo Silva</v>
      </c>
      <c r="H33" s="90"/>
      <c r="I33" s="90"/>
      <c r="J33" s="90"/>
    </row>
    <row r="34" spans="1:10" ht="14" customHeight="1">
      <c r="A34" s="8"/>
      <c r="B34" s="91" t="s">
        <v>274</v>
      </c>
      <c r="C34" s="91"/>
      <c r="D34" s="91"/>
      <c r="E34" s="91"/>
      <c r="F34" s="8"/>
      <c r="G34" s="91" t="s">
        <v>274</v>
      </c>
      <c r="H34" s="91"/>
      <c r="I34" s="91"/>
      <c r="J34" s="91"/>
    </row>
    <row r="35" spans="1:10" ht="24" customHeight="1">
      <c r="A35" s="8"/>
      <c r="B35" s="92" t="str">
        <f>IFERROR(INDEX('🎅 Secret Santa Draw'!$E$8:$E$31,7),"")</f>
        <v>Leo Fontaine</v>
      </c>
      <c r="C35" s="92"/>
      <c r="D35" s="92"/>
      <c r="E35" s="92"/>
      <c r="F35" s="8"/>
      <c r="G35" s="92" t="str">
        <f>IFERROR(INDEX('🎅 Secret Santa Draw'!$E$8:$E$31,8),"")</f>
        <v>Ava Novak</v>
      </c>
      <c r="H35" s="92"/>
      <c r="I35" s="92"/>
      <c r="J35" s="92"/>
    </row>
    <row r="36" spans="1:10" ht="14" customHeight="1">
      <c r="A36" s="8"/>
      <c r="B36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36" s="93"/>
      <c r="D36" s="93"/>
      <c r="E36" s="93"/>
      <c r="F36" s="8"/>
      <c r="G36" s="93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36" s="93"/>
      <c r="I36" s="93"/>
      <c r="J36" s="93"/>
    </row>
    <row r="37" spans="1:10" ht="14" customHeight="1">
      <c r="A37" s="8"/>
      <c r="B37" s="93" t="str">
        <f>IF(COUNTA('👥 Participants'!$B$8:$B$31)=0,"",PartyName&amp;"  •  "&amp;PartyLocation)</f>
        <v>Novality Store Holiday Party  •  Novality Loft, 12 Market Street</v>
      </c>
      <c r="C37" s="93"/>
      <c r="D37" s="93"/>
      <c r="E37" s="93"/>
      <c r="F37" s="8"/>
      <c r="G37" s="93" t="str">
        <f>IF(COUNTA('👥 Participants'!$B$8:$B$31)=0,"",PartyName&amp;"  •  "&amp;PartyLocation)</f>
        <v>Novality Store Holiday Party  •  Novality Loft, 12 Market Street</v>
      </c>
      <c r="H37" s="93"/>
      <c r="I37" s="93"/>
      <c r="J37" s="93"/>
    </row>
    <row r="38" spans="1:10">
      <c r="A38" s="8"/>
      <c r="B38" s="8"/>
      <c r="C38" s="8"/>
      <c r="D38" s="8"/>
      <c r="E38" s="8"/>
      <c r="F38" s="8"/>
      <c r="G38" s="8"/>
      <c r="H38" s="8"/>
      <c r="I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</row>
    <row r="42" spans="1:10" ht="30" customHeight="1">
      <c r="A42" s="8"/>
      <c r="B42" s="20" t="s">
        <v>282</v>
      </c>
      <c r="C42" s="20"/>
      <c r="D42" s="20"/>
      <c r="E42" s="20"/>
      <c r="F42" s="20"/>
      <c r="G42" s="20"/>
      <c r="H42" s="20"/>
      <c r="I42" s="20"/>
    </row>
    <row r="43" spans="1:10">
      <c r="A43" s="8"/>
      <c r="B43" s="8"/>
      <c r="C43" s="8"/>
      <c r="D43" s="8"/>
      <c r="E43" s="8"/>
      <c r="F43" s="8"/>
      <c r="G43" s="8"/>
      <c r="H43" s="8"/>
      <c r="I43" s="8"/>
    </row>
    <row r="44" spans="1:10" ht="24" customHeight="1">
      <c r="A44" s="8"/>
      <c r="B44" s="21" t="s">
        <v>127</v>
      </c>
      <c r="C44" s="21"/>
      <c r="D44" s="22" t="s">
        <v>92</v>
      </c>
      <c r="E44" s="22"/>
      <c r="F44" s="23" t="s">
        <v>93</v>
      </c>
      <c r="G44" s="23"/>
      <c r="H44" s="24" t="s">
        <v>94</v>
      </c>
      <c r="I44" s="24"/>
    </row>
    <row r="45" spans="1:10" ht="24" customHeight="1">
      <c r="A45" s="8"/>
      <c r="B45" s="21" t="s">
        <v>95</v>
      </c>
      <c r="C45" s="21"/>
      <c r="D45" s="22" t="s">
        <v>96</v>
      </c>
      <c r="E45" s="22"/>
      <c r="F45" s="22" t="s">
        <v>97</v>
      </c>
      <c r="G45" s="22"/>
      <c r="H45" s="25" t="s">
        <v>98</v>
      </c>
      <c r="I45" s="25"/>
    </row>
    <row r="46" spans="1:10" ht="24" customHeight="1">
      <c r="A46" s="8"/>
      <c r="B46" s="22" t="s">
        <v>99</v>
      </c>
      <c r="C46" s="22"/>
      <c r="D46" s="24" t="s">
        <v>283</v>
      </c>
      <c r="E46" s="24"/>
      <c r="F46" s="21" t="s">
        <v>101</v>
      </c>
      <c r="G46" s="21"/>
      <c r="H46" s="8"/>
      <c r="I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</row>
    <row r="49" spans="1:9">
      <c r="A49" s="8"/>
      <c r="B49" s="8"/>
      <c r="C49" s="8"/>
      <c r="D49" s="8"/>
      <c r="E49" s="8"/>
      <c r="F49" s="8"/>
      <c r="G49" s="8"/>
      <c r="H49" s="8"/>
      <c r="I49" s="8"/>
    </row>
    <row r="50" spans="1:9">
      <c r="A50" s="8"/>
      <c r="B50" s="8"/>
      <c r="C50" s="8"/>
      <c r="D50" s="8"/>
      <c r="E50" s="8"/>
      <c r="F50" s="8"/>
      <c r="G50" s="8"/>
      <c r="H50" s="8"/>
      <c r="I50" s="8"/>
    </row>
    <row r="51" spans="1:9">
      <c r="A51" s="8"/>
      <c r="B51" s="8"/>
      <c r="C51" s="8"/>
      <c r="D51" s="8"/>
      <c r="E51" s="8"/>
      <c r="F51" s="8"/>
      <c r="G51" s="8"/>
      <c r="H51" s="8"/>
      <c r="I51" s="8"/>
    </row>
    <row r="52" spans="1:9">
      <c r="A52" s="8"/>
      <c r="B52" s="8"/>
      <c r="C52" s="8"/>
      <c r="D52" s="8"/>
      <c r="E52" s="8"/>
      <c r="F52" s="8"/>
      <c r="G52" s="8"/>
      <c r="H52" s="8"/>
      <c r="I52" s="8"/>
    </row>
    <row r="53" spans="1:9">
      <c r="A53" s="8"/>
      <c r="B53" s="8"/>
      <c r="C53" s="8"/>
      <c r="D53" s="8"/>
      <c r="E53" s="8"/>
      <c r="F53" s="8"/>
      <c r="G53" s="8"/>
      <c r="H53" s="8"/>
      <c r="I53" s="8"/>
    </row>
    <row r="54" spans="1:9">
      <c r="A54" s="8"/>
      <c r="B54" s="8"/>
      <c r="C54" s="8"/>
      <c r="D54" s="8"/>
      <c r="E54" s="8"/>
      <c r="F54" s="8"/>
      <c r="G54" s="8"/>
      <c r="H54" s="8"/>
      <c r="I54" s="8"/>
    </row>
    <row r="55" spans="1:9">
      <c r="A55" s="8"/>
      <c r="B55" s="8"/>
      <c r="C55" s="8"/>
      <c r="D55" s="8"/>
      <c r="E55" s="8"/>
      <c r="F55" s="8"/>
      <c r="G55" s="8"/>
      <c r="H55" s="8"/>
      <c r="I55" s="8"/>
    </row>
    <row r="56" spans="1:9">
      <c r="A56" s="8"/>
      <c r="B56" s="8"/>
      <c r="C56" s="8"/>
      <c r="D56" s="8"/>
      <c r="E56" s="8"/>
      <c r="F56" s="8"/>
      <c r="G56" s="8"/>
      <c r="H56" s="8"/>
      <c r="I56" s="8"/>
    </row>
    <row r="57" spans="1:9">
      <c r="A57" s="8"/>
      <c r="B57" s="8"/>
      <c r="C57" s="8"/>
      <c r="D57" s="8"/>
      <c r="E57" s="8"/>
      <c r="F57" s="8"/>
      <c r="G57" s="8"/>
      <c r="H57" s="8"/>
      <c r="I57" s="8"/>
    </row>
    <row r="58" spans="1:9">
      <c r="A58" s="8"/>
      <c r="B58" s="8"/>
      <c r="C58" s="8"/>
      <c r="D58" s="8"/>
      <c r="E58" s="8"/>
      <c r="F58" s="8"/>
      <c r="G58" s="8"/>
      <c r="H58" s="8"/>
      <c r="I58" s="8"/>
    </row>
    <row r="59" spans="1:9">
      <c r="A59" s="8"/>
      <c r="B59" s="8"/>
      <c r="C59" s="8"/>
      <c r="D59" s="8"/>
      <c r="E59" s="8"/>
      <c r="F59" s="8"/>
      <c r="G59" s="8"/>
      <c r="H59" s="8"/>
      <c r="I59" s="8"/>
    </row>
    <row r="60" spans="1:9">
      <c r="A60" s="8"/>
      <c r="B60" s="8"/>
      <c r="C60" s="8"/>
      <c r="D60" s="8"/>
      <c r="E60" s="8"/>
      <c r="F60" s="8"/>
      <c r="G60" s="8"/>
      <c r="H60" s="8"/>
      <c r="I60" s="8"/>
    </row>
    <row r="61" spans="1:9">
      <c r="A61" s="8"/>
      <c r="B61" s="8"/>
      <c r="C61" s="8"/>
      <c r="D61" s="8"/>
      <c r="E61" s="8"/>
      <c r="F61" s="8"/>
      <c r="G61" s="8"/>
      <c r="H61" s="8"/>
      <c r="I61" s="8"/>
    </row>
  </sheetData>
  <mergeCells count="63">
    <mergeCell ref="B2:F2"/>
    <mergeCell ref="B3:F3"/>
    <mergeCell ref="G3:I3"/>
    <mergeCell ref="B8:E8"/>
    <mergeCell ref="B9:E9"/>
    <mergeCell ref="B10:E10"/>
    <mergeCell ref="B11:E11"/>
    <mergeCell ref="B12:E12"/>
    <mergeCell ref="B13:E13"/>
    <mergeCell ref="G8:J8"/>
    <mergeCell ref="G9:J9"/>
    <mergeCell ref="G10:J10"/>
    <mergeCell ref="G11:J11"/>
    <mergeCell ref="G12:J12"/>
    <mergeCell ref="G13:J13"/>
    <mergeCell ref="B16:E16"/>
    <mergeCell ref="B17:E17"/>
    <mergeCell ref="B18:E18"/>
    <mergeCell ref="B19:E19"/>
    <mergeCell ref="B20:E20"/>
    <mergeCell ref="B21:E21"/>
    <mergeCell ref="G16:J16"/>
    <mergeCell ref="G17:J17"/>
    <mergeCell ref="G18:J18"/>
    <mergeCell ref="G19:J19"/>
    <mergeCell ref="G20:J20"/>
    <mergeCell ref="G21:J21"/>
    <mergeCell ref="B24:E24"/>
    <mergeCell ref="B25:E25"/>
    <mergeCell ref="B26:E26"/>
    <mergeCell ref="B27:E27"/>
    <mergeCell ref="B28:E28"/>
    <mergeCell ref="B29:E29"/>
    <mergeCell ref="G24:J24"/>
    <mergeCell ref="G25:J25"/>
    <mergeCell ref="G26:J26"/>
    <mergeCell ref="G27:J27"/>
    <mergeCell ref="G28:J28"/>
    <mergeCell ref="G29:J29"/>
    <mergeCell ref="B32:E32"/>
    <mergeCell ref="B33:E33"/>
    <mergeCell ref="B34:E34"/>
    <mergeCell ref="B35:E35"/>
    <mergeCell ref="B36:E36"/>
    <mergeCell ref="B37:E37"/>
    <mergeCell ref="G32:J32"/>
    <mergeCell ref="G33:J33"/>
    <mergeCell ref="G34:J34"/>
    <mergeCell ref="G35:J35"/>
    <mergeCell ref="G36:J36"/>
    <mergeCell ref="G37:J37"/>
    <mergeCell ref="B42:I42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</mergeCells>
  <hyperlinks>
    <hyperlink ref="G3" location="'🏠 Dashboard'!A1" display="🏠  Dashboard"/>
    <hyperlink ref="B44" location="'⚙️ Settings &amp; Instructions'!A1" display="Settings"/>
    <hyperlink ref="D44" location="'🏠 Dashboard'!A1" display="Dashboard"/>
    <hyperlink ref="F44" location="'👥 Participants'!A1" display="People"/>
    <hyperlink ref="H44" location="'🎅 Secret Santa Draw'!A1" display="Draw"/>
    <hyperlink ref="B45" location="'🚫 Exclusions &amp; Rules'!A1" display="Rules"/>
    <hyperlink ref="D45" location="'💰 Budget Tracker'!A1" display="Budget"/>
    <hyperlink ref="F45" location="'🎁 Wishlists'!A1" display="Wishlists"/>
    <hyperlink ref="H45" location="'🎲 White Elephant'!A1" display="White Elephant"/>
    <hyperlink ref="B46" location="'🔄 Game History'!A1" display="History"/>
    <hyperlink ref="D46" location="'🎟️ Santa Cards'!A1" display="▶ Cards"/>
    <hyperlink ref="F4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94"/>
      <c r="C2" s="94"/>
      <c r="D2" s="94"/>
      <c r="E2" s="94"/>
      <c r="F2" s="94"/>
      <c r="G2" s="94"/>
      <c r="H2" s="94"/>
      <c r="I2" s="94"/>
      <c r="J2" s="94"/>
    </row>
    <row r="3" spans="1:10" ht="20" customHeight="1">
      <c r="A3" s="8"/>
      <c r="B3" s="94"/>
      <c r="C3" s="94"/>
      <c r="D3" s="94"/>
      <c r="E3" s="94"/>
      <c r="F3" s="94"/>
      <c r="G3" s="94"/>
      <c r="H3" s="94"/>
      <c r="I3" s="94"/>
      <c r="J3" s="94"/>
    </row>
    <row r="4" spans="1:10" ht="20" customHeight="1">
      <c r="A4" s="8"/>
      <c r="B4" s="94"/>
      <c r="C4" s="94"/>
      <c r="D4" s="94"/>
      <c r="E4" s="94"/>
      <c r="F4" s="94"/>
      <c r="G4" s="94"/>
      <c r="H4" s="94"/>
      <c r="I4" s="94"/>
      <c r="J4" s="94"/>
    </row>
    <row r="5" spans="1:10" ht="20" customHeight="1">
      <c r="A5" s="8"/>
      <c r="B5" s="94"/>
      <c r="C5" s="95" t="s">
        <v>284</v>
      </c>
      <c r="D5" s="95"/>
      <c r="E5" s="95"/>
      <c r="F5" s="95"/>
      <c r="G5" s="95"/>
      <c r="H5" s="94"/>
      <c r="I5" s="94"/>
      <c r="J5" s="94"/>
    </row>
    <row r="6" spans="1:10" ht="20" customHeight="1">
      <c r="A6" s="8"/>
      <c r="B6" s="94"/>
      <c r="C6" s="96" t="s">
        <v>285</v>
      </c>
      <c r="D6" s="96"/>
      <c r="E6" s="96"/>
      <c r="F6" s="96"/>
      <c r="G6" s="96"/>
      <c r="H6" s="94"/>
      <c r="I6" s="94"/>
      <c r="J6" s="94"/>
    </row>
    <row r="7" spans="1:10" ht="20" customHeight="1">
      <c r="A7" s="8"/>
      <c r="B7" s="94"/>
      <c r="C7" s="94"/>
      <c r="D7" s="94"/>
      <c r="E7" s="94"/>
      <c r="F7" s="94"/>
      <c r="G7" s="94"/>
      <c r="H7" s="94"/>
      <c r="I7" s="94"/>
      <c r="J7" s="94"/>
    </row>
    <row r="8" spans="1:10" ht="20" customHeight="1">
      <c r="A8" s="8"/>
      <c r="B8" s="94"/>
      <c r="C8" s="94"/>
      <c r="D8" s="94"/>
      <c r="E8" s="94"/>
      <c r="F8" s="94"/>
      <c r="G8" s="94"/>
      <c r="H8" s="94"/>
      <c r="I8" s="94"/>
      <c r="J8" s="94"/>
    </row>
    <row r="9" spans="1:10" ht="20" customHeight="1">
      <c r="A9" s="8"/>
      <c r="B9" s="94"/>
      <c r="C9" s="94"/>
      <c r="D9" s="94"/>
      <c r="E9" s="94"/>
      <c r="F9" s="94"/>
      <c r="G9" s="94"/>
      <c r="H9" s="94"/>
      <c r="I9" s="94"/>
      <c r="J9" s="94"/>
    </row>
    <row r="10" spans="1:10" ht="20" customHeight="1">
      <c r="A10" s="8"/>
      <c r="B10" s="94"/>
      <c r="C10" s="94"/>
      <c r="D10" s="94"/>
      <c r="E10" s="94"/>
      <c r="F10" s="94"/>
      <c r="G10" s="94"/>
      <c r="H10" s="94"/>
      <c r="I10" s="94"/>
      <c r="J10" s="94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>
      <c r="A12" s="8"/>
      <c r="B12" s="8"/>
      <c r="C12" s="8"/>
      <c r="D12" s="8"/>
      <c r="E12" s="8"/>
      <c r="F12" s="8"/>
      <c r="G12" s="8"/>
      <c r="H12" s="46" t="s">
        <v>286</v>
      </c>
      <c r="I12" s="46"/>
      <c r="J12" s="46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24" customHeight="1">
      <c r="A14" s="8"/>
      <c r="B14" s="29" t="s">
        <v>287</v>
      </c>
      <c r="C14" s="29"/>
      <c r="D14" s="29"/>
      <c r="E14" s="29"/>
      <c r="F14" s="29"/>
      <c r="G14" s="29"/>
      <c r="H14" s="29"/>
      <c r="I14" s="29"/>
      <c r="J14" s="29"/>
    </row>
    <row r="15" spans="1:10" ht="16" customHeight="1">
      <c r="A15" s="8"/>
      <c r="B15" s="97" t="s">
        <v>288</v>
      </c>
      <c r="C15" s="98" t="s">
        <v>289</v>
      </c>
      <c r="D15" s="98"/>
      <c r="E15" s="99" t="s">
        <v>290</v>
      </c>
      <c r="F15" s="99"/>
      <c r="G15" s="99"/>
      <c r="H15" s="99"/>
      <c r="I15" s="99"/>
      <c r="J15" s="99"/>
    </row>
    <row r="16" spans="1:10" ht="16" customHeight="1">
      <c r="A16" s="8"/>
      <c r="B16" s="97"/>
      <c r="C16" s="8"/>
      <c r="D16" s="8"/>
      <c r="E16" s="99"/>
      <c r="F16" s="99"/>
      <c r="G16" s="99"/>
      <c r="H16" s="99"/>
      <c r="I16" s="99"/>
      <c r="J16" s="99"/>
    </row>
    <row r="17" spans="1:10" ht="16" customHeight="1">
      <c r="A17" s="8"/>
      <c r="B17" s="97" t="s">
        <v>291</v>
      </c>
      <c r="C17" s="98" t="s">
        <v>292</v>
      </c>
      <c r="D17" s="98"/>
      <c r="E17" s="99" t="s">
        <v>293</v>
      </c>
      <c r="F17" s="99"/>
      <c r="G17" s="99"/>
      <c r="H17" s="99"/>
      <c r="I17" s="99"/>
      <c r="J17" s="99"/>
    </row>
    <row r="18" spans="1:10" ht="16" customHeight="1">
      <c r="A18" s="8"/>
      <c r="B18" s="97"/>
      <c r="C18" s="8"/>
      <c r="D18" s="8"/>
      <c r="E18" s="99"/>
      <c r="F18" s="99"/>
      <c r="G18" s="99"/>
      <c r="H18" s="99"/>
      <c r="I18" s="99"/>
      <c r="J18" s="99"/>
    </row>
    <row r="19" spans="1:10" ht="16" customHeight="1">
      <c r="A19" s="8"/>
      <c r="B19" s="97" t="s">
        <v>294</v>
      </c>
      <c r="C19" s="98" t="s">
        <v>295</v>
      </c>
      <c r="D19" s="98"/>
      <c r="E19" s="99" t="s">
        <v>296</v>
      </c>
      <c r="F19" s="99"/>
      <c r="G19" s="99"/>
      <c r="H19" s="99"/>
      <c r="I19" s="99"/>
      <c r="J19" s="99"/>
    </row>
    <row r="20" spans="1:10" ht="16" customHeight="1">
      <c r="A20" s="8"/>
      <c r="B20" s="97"/>
      <c r="C20" s="8"/>
      <c r="D20" s="8"/>
      <c r="E20" s="99"/>
      <c r="F20" s="99"/>
      <c r="G20" s="99"/>
      <c r="H20" s="99"/>
      <c r="I20" s="99"/>
      <c r="J20" s="99"/>
    </row>
    <row r="21" spans="1:10" ht="16" customHeight="1">
      <c r="A21" s="8"/>
      <c r="B21" s="97" t="s">
        <v>297</v>
      </c>
      <c r="C21" s="98" t="s">
        <v>298</v>
      </c>
      <c r="D21" s="98"/>
      <c r="E21" s="99" t="s">
        <v>299</v>
      </c>
      <c r="F21" s="99"/>
      <c r="G21" s="99"/>
      <c r="H21" s="99"/>
      <c r="I21" s="99"/>
      <c r="J21" s="99"/>
    </row>
    <row r="22" spans="1:10" ht="16" customHeight="1">
      <c r="A22" s="8"/>
      <c r="B22" s="97"/>
      <c r="C22" s="8"/>
      <c r="D22" s="8"/>
      <c r="E22" s="99"/>
      <c r="F22" s="99"/>
      <c r="G22" s="99"/>
      <c r="H22" s="99"/>
      <c r="I22" s="99"/>
      <c r="J22" s="99"/>
    </row>
    <row r="23" spans="1:10" ht="16" customHeight="1">
      <c r="A23" s="8"/>
      <c r="B23" s="97" t="s">
        <v>300</v>
      </c>
      <c r="C23" s="98" t="s">
        <v>301</v>
      </c>
      <c r="D23" s="98"/>
      <c r="E23" s="99" t="s">
        <v>302</v>
      </c>
      <c r="F23" s="99"/>
      <c r="G23" s="99"/>
      <c r="H23" s="99"/>
      <c r="I23" s="99"/>
      <c r="J23" s="99"/>
    </row>
    <row r="24" spans="1:10" ht="16" customHeight="1">
      <c r="A24" s="8"/>
      <c r="B24" s="97"/>
      <c r="C24" s="8"/>
      <c r="D24" s="8"/>
      <c r="E24" s="99"/>
      <c r="F24" s="99"/>
      <c r="G24" s="99"/>
      <c r="H24" s="99"/>
      <c r="I24" s="99"/>
      <c r="J24" s="99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24" customHeight="1">
      <c r="A26" s="8"/>
      <c r="B26" s="29" t="s">
        <v>303</v>
      </c>
      <c r="C26" s="29"/>
      <c r="D26" s="29"/>
      <c r="E26" s="29"/>
      <c r="F26" s="29"/>
      <c r="G26" s="29"/>
      <c r="H26" s="29"/>
      <c r="I26" s="29"/>
      <c r="J26" s="29"/>
    </row>
    <row r="27" spans="1:10">
      <c r="A27" s="8"/>
      <c r="B27" s="100" t="s">
        <v>304</v>
      </c>
      <c r="C27" s="100"/>
      <c r="D27" s="100"/>
      <c r="E27" s="100"/>
      <c r="F27" s="100"/>
      <c r="G27" s="100"/>
      <c r="H27" s="100"/>
      <c r="I27" s="100"/>
      <c r="J27" s="100"/>
    </row>
    <row r="28" spans="1:10" ht="18" customHeight="1">
      <c r="A28" s="8"/>
      <c r="B28" s="8"/>
      <c r="C28" s="98" t="s">
        <v>305</v>
      </c>
      <c r="D28" s="98"/>
      <c r="E28" s="99" t="s">
        <v>306</v>
      </c>
      <c r="F28" s="99"/>
      <c r="G28" s="99"/>
      <c r="H28" s="99"/>
      <c r="I28" s="99"/>
      <c r="J28" s="99"/>
    </row>
    <row r="29" spans="1:10" ht="18" customHeight="1">
      <c r="A29" s="8"/>
      <c r="B29" s="8"/>
      <c r="C29" s="98" t="s">
        <v>307</v>
      </c>
      <c r="D29" s="98"/>
      <c r="E29" s="99" t="s">
        <v>308</v>
      </c>
      <c r="F29" s="99"/>
      <c r="G29" s="99"/>
      <c r="H29" s="99"/>
      <c r="I29" s="99"/>
      <c r="J29" s="99"/>
    </row>
    <row r="30" spans="1:10" ht="18" customHeight="1">
      <c r="A30" s="8"/>
      <c r="B30" s="8"/>
      <c r="C30" s="98" t="s">
        <v>309</v>
      </c>
      <c r="D30" s="98"/>
      <c r="E30" s="99" t="s">
        <v>310</v>
      </c>
      <c r="F30" s="99"/>
      <c r="G30" s="99"/>
      <c r="H30" s="99"/>
      <c r="I30" s="99"/>
      <c r="J30" s="99"/>
    </row>
    <row r="31" spans="1:10" ht="18" customHeight="1">
      <c r="A31" s="8"/>
      <c r="B31" s="8"/>
      <c r="C31" s="98" t="s">
        <v>311</v>
      </c>
      <c r="D31" s="98"/>
      <c r="E31" s="99" t="s">
        <v>312</v>
      </c>
      <c r="F31" s="99"/>
      <c r="G31" s="99"/>
      <c r="H31" s="99"/>
      <c r="I31" s="99"/>
      <c r="J31" s="99"/>
    </row>
    <row r="32" spans="1:10" ht="18" customHeight="1">
      <c r="A32" s="8"/>
      <c r="B32" s="8"/>
      <c r="C32" s="98" t="s">
        <v>313</v>
      </c>
      <c r="D32" s="98"/>
      <c r="E32" s="99" t="s">
        <v>314</v>
      </c>
      <c r="F32" s="99"/>
      <c r="G32" s="99"/>
      <c r="H32" s="99"/>
      <c r="I32" s="99"/>
      <c r="J32" s="99"/>
    </row>
    <row r="33" spans="1:10" ht="18" customHeight="1">
      <c r="A33" s="8"/>
      <c r="B33" s="8"/>
      <c r="C33" s="98" t="s">
        <v>315</v>
      </c>
      <c r="D33" s="98"/>
      <c r="E33" s="99" t="s">
        <v>316</v>
      </c>
      <c r="F33" s="99"/>
      <c r="G33" s="99"/>
      <c r="H33" s="99"/>
      <c r="I33" s="99"/>
      <c r="J33" s="99"/>
    </row>
    <row r="34" spans="1:10" ht="18" customHeight="1">
      <c r="A34" s="8"/>
      <c r="B34" s="8"/>
      <c r="C34" s="98" t="s">
        <v>317</v>
      </c>
      <c r="D34" s="98"/>
      <c r="E34" s="99" t="s">
        <v>318</v>
      </c>
      <c r="F34" s="99"/>
      <c r="G34" s="99"/>
      <c r="H34" s="99"/>
      <c r="I34" s="99"/>
      <c r="J34" s="99"/>
    </row>
    <row r="35" spans="1:10" ht="18" customHeight="1">
      <c r="A35" s="8"/>
      <c r="B35" s="8"/>
      <c r="C35" s="98" t="s">
        <v>319</v>
      </c>
      <c r="D35" s="98"/>
      <c r="E35" s="99" t="s">
        <v>320</v>
      </c>
      <c r="F35" s="99"/>
      <c r="G35" s="99"/>
      <c r="H35" s="99"/>
      <c r="I35" s="99"/>
      <c r="J35" s="99"/>
    </row>
    <row r="36" spans="1:10" ht="18" customHeight="1">
      <c r="A36" s="8"/>
      <c r="B36" s="8"/>
      <c r="C36" s="98" t="s">
        <v>321</v>
      </c>
      <c r="D36" s="98"/>
      <c r="E36" s="99" t="s">
        <v>322</v>
      </c>
      <c r="F36" s="99"/>
      <c r="G36" s="99"/>
      <c r="H36" s="99"/>
      <c r="I36" s="99"/>
      <c r="J36" s="99"/>
    </row>
    <row r="37" spans="1:10" ht="18" customHeight="1">
      <c r="A37" s="8"/>
      <c r="B37" s="8"/>
      <c r="C37" s="98" t="s">
        <v>323</v>
      </c>
      <c r="D37" s="98"/>
      <c r="E37" s="99" t="s">
        <v>324</v>
      </c>
      <c r="F37" s="99"/>
      <c r="G37" s="99"/>
      <c r="H37" s="99"/>
      <c r="I37" s="99"/>
      <c r="J37" s="99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4" customHeight="1">
      <c r="A39" s="8"/>
      <c r="B39" s="29" t="s">
        <v>325</v>
      </c>
      <c r="C39" s="29"/>
      <c r="D39" s="29"/>
      <c r="E39" s="29"/>
      <c r="F39" s="29"/>
      <c r="G39" s="29"/>
      <c r="H39" s="29"/>
      <c r="I39" s="29"/>
      <c r="J39" s="29"/>
    </row>
    <row r="40" spans="1:10" ht="16" customHeight="1">
      <c r="A40" s="8"/>
      <c r="B40" s="101" t="s">
        <v>288</v>
      </c>
      <c r="C40" s="99" t="s">
        <v>326</v>
      </c>
      <c r="D40" s="99"/>
      <c r="E40" s="99"/>
      <c r="F40" s="99"/>
      <c r="G40" s="99"/>
      <c r="H40" s="99"/>
      <c r="I40" s="99"/>
      <c r="J40" s="99"/>
    </row>
    <row r="41" spans="1:10" ht="16" customHeight="1">
      <c r="A41" s="8"/>
      <c r="B41" s="101"/>
      <c r="C41" s="99"/>
      <c r="D41" s="99"/>
      <c r="E41" s="99"/>
      <c r="F41" s="99"/>
      <c r="G41" s="99"/>
      <c r="H41" s="99"/>
      <c r="I41" s="99"/>
      <c r="J41" s="99"/>
    </row>
    <row r="42" spans="1:10" ht="16" customHeight="1">
      <c r="A42" s="8"/>
      <c r="B42" s="101" t="s">
        <v>291</v>
      </c>
      <c r="C42" s="99" t="s">
        <v>327</v>
      </c>
      <c r="D42" s="99"/>
      <c r="E42" s="99"/>
      <c r="F42" s="99"/>
      <c r="G42" s="99"/>
      <c r="H42" s="99"/>
      <c r="I42" s="99"/>
      <c r="J42" s="99"/>
    </row>
    <row r="43" spans="1:10" ht="16" customHeight="1">
      <c r="A43" s="8"/>
      <c r="B43" s="101"/>
      <c r="C43" s="99"/>
      <c r="D43" s="99"/>
      <c r="E43" s="99"/>
      <c r="F43" s="99"/>
      <c r="G43" s="99"/>
      <c r="H43" s="99"/>
      <c r="I43" s="99"/>
      <c r="J43" s="99"/>
    </row>
    <row r="44" spans="1:10" ht="16" customHeight="1">
      <c r="A44" s="8"/>
      <c r="B44" s="101" t="s">
        <v>294</v>
      </c>
      <c r="C44" s="99" t="s">
        <v>328</v>
      </c>
      <c r="D44" s="99"/>
      <c r="E44" s="99"/>
      <c r="F44" s="99"/>
      <c r="G44" s="99"/>
      <c r="H44" s="99"/>
      <c r="I44" s="99"/>
      <c r="J44" s="99"/>
    </row>
    <row r="45" spans="1:10" ht="16" customHeight="1">
      <c r="A45" s="8"/>
      <c r="B45" s="101"/>
      <c r="C45" s="99"/>
      <c r="D45" s="99"/>
      <c r="E45" s="99"/>
      <c r="F45" s="99"/>
      <c r="G45" s="99"/>
      <c r="H45" s="99"/>
      <c r="I45" s="99"/>
      <c r="J45" s="99"/>
    </row>
    <row r="46" spans="1:10" ht="16" customHeight="1">
      <c r="A46" s="8"/>
      <c r="B46" s="101" t="s">
        <v>297</v>
      </c>
      <c r="C46" s="99" t="s">
        <v>329</v>
      </c>
      <c r="D46" s="99"/>
      <c r="E46" s="99"/>
      <c r="F46" s="99"/>
      <c r="G46" s="99"/>
      <c r="H46" s="99"/>
      <c r="I46" s="99"/>
      <c r="J46" s="99"/>
    </row>
    <row r="47" spans="1:10" ht="16" customHeight="1">
      <c r="A47" s="8"/>
      <c r="B47" s="101"/>
      <c r="C47" s="99"/>
      <c r="D47" s="99"/>
      <c r="E47" s="99"/>
      <c r="F47" s="99"/>
      <c r="G47" s="99"/>
      <c r="H47" s="99"/>
      <c r="I47" s="99"/>
      <c r="J47" s="99"/>
    </row>
    <row r="48" spans="1:10" ht="16" customHeight="1">
      <c r="A48" s="8"/>
      <c r="B48" s="101" t="s">
        <v>300</v>
      </c>
      <c r="C48" s="99" t="s">
        <v>330</v>
      </c>
      <c r="D48" s="99"/>
      <c r="E48" s="99"/>
      <c r="F48" s="99"/>
      <c r="G48" s="99"/>
      <c r="H48" s="99"/>
      <c r="I48" s="99"/>
      <c r="J48" s="99"/>
    </row>
    <row r="49" spans="1:10" ht="16" customHeight="1">
      <c r="A49" s="8"/>
      <c r="B49" s="101"/>
      <c r="C49" s="99"/>
      <c r="D49" s="99"/>
      <c r="E49" s="99"/>
      <c r="F49" s="99"/>
      <c r="G49" s="99"/>
      <c r="H49" s="99"/>
      <c r="I49" s="99"/>
      <c r="J49" s="99"/>
    </row>
    <row r="50" spans="1:10" ht="16" customHeight="1">
      <c r="A50" s="8"/>
      <c r="B50" s="101" t="s">
        <v>331</v>
      </c>
      <c r="C50" s="99" t="s">
        <v>332</v>
      </c>
      <c r="D50" s="99"/>
      <c r="E50" s="99"/>
      <c r="F50" s="99"/>
      <c r="G50" s="99"/>
      <c r="H50" s="99"/>
      <c r="I50" s="99"/>
      <c r="J50" s="99"/>
    </row>
    <row r="51" spans="1:10" ht="16" customHeight="1">
      <c r="A51" s="8"/>
      <c r="B51" s="101"/>
      <c r="C51" s="99"/>
      <c r="D51" s="99"/>
      <c r="E51" s="99"/>
      <c r="F51" s="99"/>
      <c r="G51" s="99"/>
      <c r="H51" s="99"/>
      <c r="I51" s="99"/>
      <c r="J51" s="99"/>
    </row>
    <row r="52" spans="1:10" ht="16" customHeight="1">
      <c r="A52" s="8"/>
      <c r="B52" s="101" t="s">
        <v>333</v>
      </c>
      <c r="C52" s="99" t="s">
        <v>334</v>
      </c>
      <c r="D52" s="99"/>
      <c r="E52" s="99"/>
      <c r="F52" s="99"/>
      <c r="G52" s="99"/>
      <c r="H52" s="99"/>
      <c r="I52" s="99"/>
      <c r="J52" s="99"/>
    </row>
    <row r="53" spans="1:10" ht="16" customHeight="1">
      <c r="A53" s="8"/>
      <c r="B53" s="101"/>
      <c r="C53" s="99"/>
      <c r="D53" s="99"/>
      <c r="E53" s="99"/>
      <c r="F53" s="99"/>
      <c r="G53" s="99"/>
      <c r="H53" s="99"/>
      <c r="I53" s="99"/>
      <c r="J53" s="99"/>
    </row>
    <row r="54" spans="1:10" ht="16" customHeight="1">
      <c r="A54" s="8"/>
      <c r="B54" s="101" t="s">
        <v>335</v>
      </c>
      <c r="C54" s="99" t="s">
        <v>336</v>
      </c>
      <c r="D54" s="99"/>
      <c r="E54" s="99"/>
      <c r="F54" s="99"/>
      <c r="G54" s="99"/>
      <c r="H54" s="99"/>
      <c r="I54" s="99"/>
      <c r="J54" s="99"/>
    </row>
    <row r="55" spans="1:10" ht="16" customHeight="1">
      <c r="A55" s="8"/>
      <c r="B55" s="101"/>
      <c r="C55" s="99"/>
      <c r="D55" s="99"/>
      <c r="E55" s="99"/>
      <c r="F55" s="99"/>
      <c r="G55" s="99"/>
      <c r="H55" s="99"/>
      <c r="I55" s="99"/>
      <c r="J55" s="99"/>
    </row>
    <row r="56" spans="1:10" ht="16" customHeight="1">
      <c r="A56" s="8"/>
      <c r="B56" s="101" t="s">
        <v>337</v>
      </c>
      <c r="C56" s="99" t="s">
        <v>338</v>
      </c>
      <c r="D56" s="99"/>
      <c r="E56" s="99"/>
      <c r="F56" s="99"/>
      <c r="G56" s="99"/>
      <c r="H56" s="99"/>
      <c r="I56" s="99"/>
      <c r="J56" s="99"/>
    </row>
    <row r="57" spans="1:10" ht="16" customHeight="1">
      <c r="A57" s="8"/>
      <c r="B57" s="101"/>
      <c r="C57" s="99"/>
      <c r="D57" s="99"/>
      <c r="E57" s="99"/>
      <c r="F57" s="99"/>
      <c r="G57" s="99"/>
      <c r="H57" s="99"/>
      <c r="I57" s="99"/>
      <c r="J57" s="99"/>
    </row>
    <row r="58" spans="1:10" ht="16" customHeight="1">
      <c r="A58" s="8"/>
      <c r="B58" s="101" t="s">
        <v>339</v>
      </c>
      <c r="C58" s="99" t="s">
        <v>340</v>
      </c>
      <c r="D58" s="99"/>
      <c r="E58" s="99"/>
      <c r="F58" s="99"/>
      <c r="G58" s="99"/>
      <c r="H58" s="99"/>
      <c r="I58" s="99"/>
      <c r="J58" s="99"/>
    </row>
    <row r="59" spans="1:10" ht="16" customHeight="1">
      <c r="A59" s="8"/>
      <c r="B59" s="101"/>
      <c r="C59" s="99"/>
      <c r="D59" s="99"/>
      <c r="E59" s="99"/>
      <c r="F59" s="99"/>
      <c r="G59" s="99"/>
      <c r="H59" s="99"/>
      <c r="I59" s="99"/>
      <c r="J59" s="99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4" customHeight="1">
      <c r="A61" s="8"/>
      <c r="B61" s="29" t="s">
        <v>341</v>
      </c>
      <c r="C61" s="29"/>
      <c r="D61" s="29"/>
      <c r="E61" s="29"/>
      <c r="F61" s="29"/>
      <c r="G61" s="29"/>
      <c r="H61" s="29"/>
      <c r="I61" s="29"/>
      <c r="J61" s="29"/>
    </row>
    <row r="62" spans="1:10" ht="16" customHeight="1">
      <c r="A62" s="8"/>
      <c r="B62" s="102" t="s">
        <v>342</v>
      </c>
      <c r="C62" s="102"/>
      <c r="D62" s="102"/>
      <c r="E62" s="102"/>
      <c r="F62" s="102"/>
      <c r="G62" s="102"/>
      <c r="H62" s="102"/>
      <c r="I62" s="102"/>
      <c r="J62" s="102"/>
    </row>
    <row r="63" spans="1:10" ht="16" customHeight="1">
      <c r="A63" s="8"/>
      <c r="B63" s="102"/>
      <c r="C63" s="102"/>
      <c r="D63" s="102"/>
      <c r="E63" s="102"/>
      <c r="F63" s="102"/>
      <c r="G63" s="102"/>
      <c r="H63" s="102"/>
      <c r="I63" s="102"/>
      <c r="J63" s="102"/>
    </row>
    <row r="64" spans="1:10" ht="16" customHeight="1">
      <c r="A64" s="8"/>
      <c r="B64" s="102" t="s">
        <v>343</v>
      </c>
      <c r="C64" s="102"/>
      <c r="D64" s="102"/>
      <c r="E64" s="102"/>
      <c r="F64" s="102"/>
      <c r="G64" s="102"/>
      <c r="H64" s="102"/>
      <c r="I64" s="102"/>
      <c r="J64" s="102"/>
    </row>
    <row r="65" spans="1:10" ht="16" customHeight="1">
      <c r="A65" s="8"/>
      <c r="B65" s="102"/>
      <c r="C65" s="102"/>
      <c r="D65" s="102"/>
      <c r="E65" s="102"/>
      <c r="F65" s="102"/>
      <c r="G65" s="102"/>
      <c r="H65" s="102"/>
      <c r="I65" s="102"/>
      <c r="J65" s="102"/>
    </row>
    <row r="66" spans="1:10" ht="16" customHeight="1">
      <c r="A66" s="8"/>
      <c r="B66" s="102" t="s">
        <v>344</v>
      </c>
      <c r="C66" s="102"/>
      <c r="D66" s="102"/>
      <c r="E66" s="102"/>
      <c r="F66" s="102"/>
      <c r="G66" s="102"/>
      <c r="H66" s="102"/>
      <c r="I66" s="102"/>
      <c r="J66" s="102"/>
    </row>
    <row r="67" spans="1:10" ht="16" customHeight="1">
      <c r="A67" s="8"/>
      <c r="B67" s="102"/>
      <c r="C67" s="102"/>
      <c r="D67" s="102"/>
      <c r="E67" s="102"/>
      <c r="F67" s="102"/>
      <c r="G67" s="102"/>
      <c r="H67" s="102"/>
      <c r="I67" s="102"/>
      <c r="J67" s="102"/>
    </row>
    <row r="68" spans="1:10" ht="16" customHeight="1">
      <c r="A68" s="8"/>
      <c r="B68" s="102" t="s">
        <v>345</v>
      </c>
      <c r="C68" s="102"/>
      <c r="D68" s="102"/>
      <c r="E68" s="102"/>
      <c r="F68" s="102"/>
      <c r="G68" s="102"/>
      <c r="H68" s="102"/>
      <c r="I68" s="102"/>
      <c r="J68" s="102"/>
    </row>
    <row r="69" spans="1:10" ht="16" customHeight="1">
      <c r="A69" s="8"/>
      <c r="B69" s="102"/>
      <c r="C69" s="102"/>
      <c r="D69" s="102"/>
      <c r="E69" s="102"/>
      <c r="F69" s="102"/>
      <c r="G69" s="102"/>
      <c r="H69" s="102"/>
      <c r="I69" s="102"/>
      <c r="J69" s="102"/>
    </row>
    <row r="70" spans="1:10" ht="16" customHeight="1">
      <c r="A70" s="8"/>
      <c r="B70" s="102" t="s">
        <v>346</v>
      </c>
      <c r="C70" s="102"/>
      <c r="D70" s="102"/>
      <c r="E70" s="102"/>
      <c r="F70" s="102"/>
      <c r="G70" s="102"/>
      <c r="H70" s="102"/>
      <c r="I70" s="102"/>
      <c r="J70" s="102"/>
    </row>
    <row r="71" spans="1:10" ht="16" customHeight="1">
      <c r="A71" s="8"/>
      <c r="B71" s="102"/>
      <c r="C71" s="102"/>
      <c r="D71" s="102"/>
      <c r="E71" s="102"/>
      <c r="F71" s="102"/>
      <c r="G71" s="102"/>
      <c r="H71" s="102"/>
      <c r="I71" s="102"/>
      <c r="J71" s="102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4" customHeight="1">
      <c r="A73" s="8"/>
      <c r="B73" s="29" t="s">
        <v>347</v>
      </c>
      <c r="C73" s="29"/>
      <c r="D73" s="29"/>
      <c r="E73" s="29"/>
      <c r="F73" s="29"/>
      <c r="G73" s="29"/>
      <c r="H73" s="29"/>
      <c r="I73" s="29"/>
      <c r="J73" s="29"/>
    </row>
    <row r="74" spans="1:10" ht="16" customHeight="1">
      <c r="A74" s="8"/>
      <c r="B74" s="102" t="s">
        <v>348</v>
      </c>
      <c r="C74" s="102"/>
      <c r="D74" s="102"/>
      <c r="E74" s="102"/>
      <c r="F74" s="102"/>
      <c r="G74" s="102"/>
      <c r="H74" s="102"/>
      <c r="I74" s="102"/>
      <c r="J74" s="102"/>
    </row>
    <row r="75" spans="1:10" ht="16" customHeight="1">
      <c r="A75" s="8"/>
      <c r="B75" s="102"/>
      <c r="C75" s="102"/>
      <c r="D75" s="102"/>
      <c r="E75" s="102"/>
      <c r="F75" s="102"/>
      <c r="G75" s="102"/>
      <c r="H75" s="102"/>
      <c r="I75" s="102"/>
      <c r="J75" s="102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30" customHeight="1">
      <c r="A77" s="8"/>
      <c r="B77" s="20" t="s">
        <v>349</v>
      </c>
      <c r="C77" s="20"/>
      <c r="D77" s="20"/>
      <c r="E77" s="20"/>
      <c r="F77" s="20"/>
      <c r="G77" s="20"/>
      <c r="H77" s="20"/>
      <c r="I77" s="20"/>
      <c r="J77" s="2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1" t="s">
        <v>127</v>
      </c>
      <c r="C79" s="21"/>
      <c r="D79" s="22" t="s">
        <v>92</v>
      </c>
      <c r="E79" s="22"/>
      <c r="F79" s="23" t="s">
        <v>93</v>
      </c>
      <c r="G79" s="23"/>
      <c r="H79" s="24" t="s">
        <v>94</v>
      </c>
      <c r="I79" s="24"/>
      <c r="J79" s="8"/>
    </row>
    <row r="80" spans="1:10" ht="24" customHeight="1">
      <c r="A80" s="8"/>
      <c r="B80" s="21" t="s">
        <v>95</v>
      </c>
      <c r="C80" s="21"/>
      <c r="D80" s="22" t="s">
        <v>96</v>
      </c>
      <c r="E80" s="22"/>
      <c r="F80" s="22" t="s">
        <v>97</v>
      </c>
      <c r="G80" s="22"/>
      <c r="H80" s="25" t="s">
        <v>98</v>
      </c>
      <c r="I80" s="25"/>
      <c r="J80" s="8"/>
    </row>
    <row r="81" spans="1:10" ht="24" customHeight="1">
      <c r="A81" s="8"/>
      <c r="B81" s="22" t="s">
        <v>99</v>
      </c>
      <c r="C81" s="22"/>
      <c r="D81" s="24" t="s">
        <v>100</v>
      </c>
      <c r="E81" s="24"/>
      <c r="F81" s="21" t="s">
        <v>350</v>
      </c>
      <c r="G81" s="21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82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B39:J39"/>
    <mergeCell ref="B40:B41"/>
    <mergeCell ref="C40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1:J61"/>
    <mergeCell ref="B62:J63"/>
    <mergeCell ref="B64:J65"/>
    <mergeCell ref="B66:J67"/>
    <mergeCell ref="B68:J69"/>
    <mergeCell ref="B70:J71"/>
    <mergeCell ref="B73:J73"/>
    <mergeCell ref="B74:J75"/>
    <mergeCell ref="B77:J77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</mergeCells>
  <hyperlinks>
    <hyperlink ref="H12" location="'🏠 Dashboard'!A1" display="🏠  Back to Dashboard"/>
    <hyperlink ref="B79" location="'⚙️ Settings &amp; Instructions'!A1" display="Settings"/>
    <hyperlink ref="D79" location="'🏠 Dashboard'!A1" display="Dashboard"/>
    <hyperlink ref="F79" location="'👥 Participants'!A1" display="People"/>
    <hyperlink ref="H79" location="'🎅 Secret Santa Draw'!A1" display="Draw"/>
    <hyperlink ref="B80" location="'🚫 Exclusions &amp; Rules'!A1" display="Rules"/>
    <hyperlink ref="D80" location="'💰 Budget Tracker'!A1" display="Budget"/>
    <hyperlink ref="F80" location="'🎁 Wishlists'!A1" display="Wishlists"/>
    <hyperlink ref="H80" location="'🎲 White Elephant'!A1" display="White Elephant"/>
    <hyperlink ref="B81" location="'🔄 Game History'!A1" display="History"/>
    <hyperlink ref="D81" location="'🎟️ Santa Cards'!A1" display="Cards"/>
    <hyperlink ref="F81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_Data</vt:lpstr>
      <vt:lpstr>⚙️ Settings &amp; Instructions</vt:lpstr>
      <vt:lpstr>🏠 Dashboard</vt:lpstr>
      <vt:lpstr>👥 Participants</vt:lpstr>
      <vt:lpstr>🎅 Secret Santa Draw</vt:lpstr>
      <vt:lpstr>🚫 Exclusions &amp; Rules</vt:lpstr>
      <vt:lpstr>💰 Budget Tracker</vt:lpstr>
      <vt:lpstr>🎁 Wishlists</vt:lpstr>
      <vt:lpstr>🎲 White Elephant</vt:lpstr>
      <vt:lpstr>🔄 Game History</vt:lpstr>
      <vt:lpstr>🎟️ Santa Cards</vt:lpstr>
      <vt:lpstr>📖 Start Here</vt:lpstr>
      <vt:lpstr>Actions</vt:lpstr>
      <vt:lpstr>BudgetMax</vt:lpstr>
      <vt:lpstr>BudgetMin</vt:lpstr>
      <vt:lpstr>CoupleRule</vt:lpstr>
      <vt:lpstr>Currency</vt:lpstr>
      <vt:lpstr>Diets</vt:lpstr>
      <vt:lpstr>DrawSeed</vt:lpstr>
      <vt:lpstr>DrawStatus</vt:lpstr>
      <vt:lpstr>GiftNums</vt:lpstr>
      <vt:lpstr>LastYearRule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'🎁 Wishlists'!Print_Area</vt:lpstr>
      <vt:lpstr>'🎅 Secret Santa Draw'!Print_Area</vt:lpstr>
      <vt:lpstr>'🎟️ Santa Cards'!Print_Area</vt:lpstr>
      <vt:lpstr>'🎲 White Elephant'!Print_Area</vt:lpstr>
      <vt:lpstr>'🏠 Dashboard'!Print_Area</vt:lpstr>
      <vt:lpstr>'👥 Participants'!Print_Area</vt:lpstr>
      <vt:lpstr>'💰 Budget Tracker'!Print_Area</vt:lpstr>
      <vt:lpstr>'📖 Start Here'!Print_Area</vt:lpstr>
      <vt:lpstr>'🔄 Game History'!Print_Area</vt:lpstr>
      <vt:lpstr>'🚫 Exclusions &amp; Rules'!Print_Area</vt:lpstr>
      <vt:lpstr>Priorities</vt:lpstr>
      <vt:lpstr>RSVP</vt:lpstr>
      <vt:lpstr>StartPlayer</vt:lpstr>
      <vt:lpstr>Statuses</vt:lpstr>
      <vt:lpstr>TeamRule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2026-09-18T14:04:12Z</dcterms:created>
  <dcterms:modified xsi:type="dcterms:W3CDTF">2026-09-18T14:04:12Z</dcterms:modified>
  <cp:category>Crochet Craft Fair Business Spreadsheet</cp:category>
</cp:coreProperties>
</file>