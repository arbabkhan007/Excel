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Fairs'!$A$1:$R$37</definedName>
    <definedName name="_xlnm.Print_Area" localSheetId="5">'💰 Sales Log'!$A$1:$M$73</definedName>
    <definedName name="_xlnm.Print_Area" localSheetId="6">'💵 Pricing Calculator'!$A$1:$J$31</definedName>
    <definedName name="_xlnm.Print_Area" localSheetId="2">'📊 Dashboard'!$A$1:$M$76</definedName>
    <definedName name="_xlnm.Print_Area" localSheetId="7">'📖 Start Here'!$A$1:$J$82</definedName>
    <definedName name="_xlnm.Print_Area" localSheetId="3">'🧶 Product Catalog'!$A$1:$P$37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<sst xmlns="http://schemas.openxmlformats.org/spreadsheetml/2006/main" count="363" uniqueCount="293">
  <si>
    <t>Month</t>
  </si>
  <si>
    <t>Revenue</t>
  </si>
  <si>
    <t>COGS</t>
  </si>
  <si>
    <t>Event fees</t>
  </si>
  <si>
    <t>Net</t>
  </si>
  <si>
    <t>Units</t>
  </si>
  <si>
    <t>Markets</t>
  </si>
  <si>
    <t>Sales lines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</si>
  <si>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</si>
  <si>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</si>
  <si>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</si>
  <si>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</si>
  <si>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</si>
  <si>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</si>
  <si>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</si>
  <si>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</si>
  <si>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</si>
  <si>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</si>
  <si>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</si>
  <si>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</si>
  <si>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</si>
  <si>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Taken</t>
  </si>
  <si>
    <t>Cash</t>
  </si>
  <si>
    <t>Card</t>
  </si>
  <si>
    <t>Bank transfer</t>
  </si>
  <si>
    <t>Mobile wallet</t>
  </si>
  <si>
    <t>Online order</t>
  </si>
  <si>
    <t>Other</t>
  </si>
  <si>
    <t>Category</t>
  </si>
  <si>
    <t>Spent</t>
  </si>
  <si>
    <t>Booth fees</t>
  </si>
  <si>
    <t>Travel</t>
  </si>
  <si>
    <t>Parking</t>
  </si>
  <si>
    <t>Food &amp; drinks</t>
  </si>
  <si>
    <t>Display &amp; decor</t>
  </si>
  <si>
    <t>Product</t>
  </si>
  <si>
    <t>In stock</t>
  </si>
  <si>
    <t>Margin adj</t>
  </si>
  <si>
    <t>Slow adj</t>
  </si>
  <si>
    <t>Profit</t>
  </si>
  <si>
    <t>Event</t>
  </si>
  <si>
    <t>Sales</t>
  </si>
  <si>
    <t>Upcoming</t>
  </si>
  <si>
    <t>KPI</t>
  </si>
  <si>
    <t>Value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</si>
  <si>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</si>
  <si>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</si>
  <si>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</si>
  <si>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</si>
  <si>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</si>
  <si>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</si>
  <si>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</si>
  <si>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</si>
  <si>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</si>
  <si>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</si>
  <si>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</si>
  <si>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</si>
  <si>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</si>
  <si>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</si>
  <si>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</si>
  <si>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</si>
  <si>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</si>
  <si>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</si>
  <si>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</si>
  <si>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</si>
  <si>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</si>
  <si>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</si>
  <si>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</si>
  <si>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</si>
  <si>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</si>
  <si>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</si>
  <si>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Prod seq</t>
  </si>
  <si>
    <t>Prod row</t>
  </si>
  <si>
    <t>Mat seq</t>
  </si>
  <si>
    <t>Mat row</t>
  </si>
  <si>
    <t>⚙️  Lists &amp; Settings — make it yours</t>
  </si>
  <si>
    <t xml:space="preserve">  Set these once and every tab, calculator, alert and dropdown follows automatically.</t>
  </si>
  <si>
    <t>🏠  Back to Dashboard</t>
  </si>
  <si>
    <t xml:space="preserve">  🏷️  BUSINESS PROFILE</t>
  </si>
  <si>
    <t>Business name (dashboard header)</t>
  </si>
  <si>
    <t>Dashboard message of the day</t>
  </si>
  <si>
    <t xml:space="preserve">  💵  MONEY &amp; SEASON DEFAULTS</t>
  </si>
  <si>
    <t>Currency symbol</t>
  </si>
  <si>
    <t>$</t>
  </si>
  <si>
    <t>Report year (monthly summary)</t>
  </si>
  <si>
    <t>Your hourly wage (pricing calculator)</t>
  </si>
  <si>
    <t>Overhead % on top of direct costs</t>
  </si>
  <si>
    <t>Default target profit margin</t>
  </si>
  <si>
    <t xml:space="preserve">  📝  YOUR DROPDOWN LISTS (edit freely)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</si>
  <si>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</si>
  <si>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</si>
  <si>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</si>
  <si>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</si>
  <si>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</si>
  <si>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</si>
  <si>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</si>
  <si>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</si>
  <si>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</si>
  <si>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</si>
  <si>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</si>
  <si>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</si>
  <si>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</si>
  <si>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</si>
  <si>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</si>
  <si>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</si>
  <si>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</si>
  <si>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</si>
  <si>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</si>
  <si>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</si>
  <si>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</si>
  <si>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</si>
  <si>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</si>
  <si>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</si>
  <si>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</si>
  <si>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</si>
  <si>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</si>
  <si>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</si>
  <si>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These five columns feed every dropdown in the workbook.  Add, rename or delete entries and the catalog, sales log and reorder list update instantly.</t>
  </si>
  <si>
    <t xml:space="preserve">  🔒  FIXED LIST (do not edit)</t>
  </si>
  <si>
    <t>Tick box</t>
  </si>
  <si>
    <t>✓</t>
  </si>
  <si>
    <t xml:space="preserve">  💡  Cream cells are inputs everywhere in this workbook; white cells are formulas.  Sheets are protected (no password) so nothing breaks by accident.</t>
  </si>
  <si>
    <t>▶ Settings</t>
  </si>
  <si>
    <t>🏠 Home</t>
  </si>
  <si>
    <t>Products</t>
  </si>
  <si>
    <t>Fairs</t>
  </si>
  <si>
    <t>Pricing</t>
  </si>
  <si>
    <t>Help</t>
  </si>
  <si>
    <t xml:space="preserve">  🧶  BUSINESS AT A GLANCE</t>
  </si>
  <si>
    <t xml:space="preserve">  TOTAL SALES</t>
  </si>
  <si>
    <t xml:space="preserve">  NET PROFIT</t>
  </si>
  <si>
    <t xml:space="preserve">  PROFIT MARGIN</t>
  </si>
  <si>
    <t xml:space="preserve">  UNITS SOLD</t>
  </si>
  <si>
    <t xml:space="preserve">  FAIRS WORKED</t>
  </si>
  <si>
    <t xml:space="preserve">  AVERAGE SALE</t>
  </si>
  <si>
    <t xml:space="preserve">  INVENTORY VALUE</t>
  </si>
  <si>
    <t xml:space="preserve">  LOW-STOCK ITEMS</t>
  </si>
  <si>
    <t xml:space="preserve">  SELL-THROUGH</t>
  </si>
  <si>
    <t xml:space="preserve">  BEST-SELLER</t>
  </si>
  <si>
    <t xml:space="preserve">  TOP FAIR</t>
  </si>
  <si>
    <t xml:space="preserve">  REORDER BUDGET</t>
  </si>
  <si>
    <t xml:space="preserve">  Net margin</t>
  </si>
  <si>
    <t xml:space="preserve">  Sell-through (sold ÷ made)</t>
  </si>
  <si>
    <t xml:space="preserve">  🏆  BEST-SELLERS</t>
  </si>
  <si>
    <t xml:space="preserve">  🔴  LOW STOCK RIGHT NOW</t>
  </si>
  <si>
    <t xml:space="preserve">  Most units sold</t>
  </si>
  <si>
    <t xml:space="preserve">  Highest revenue</t>
  </si>
  <si>
    <t xml:space="preserve">  Highest profit</t>
  </si>
  <si>
    <t xml:space="preserve">  Highest margin</t>
  </si>
  <si>
    <t xml:space="preserve">  Slowest mover</t>
  </si>
  <si>
    <t xml:space="preserve">  💡  Everything on this page is calculated — type your makes and sales into the tabs and watch it update.  Start with the 📖 Start Here guide and ⚙️ Lists &amp; Settings.</t>
  </si>
  <si>
    <t>Settings</t>
  </si>
  <si>
    <t>▶ 🏠 Home</t>
  </si>
  <si>
    <t>🧶  Product Catalog</t>
  </si>
  <si>
    <t xml:space="preserve">  Everything you make, what it costs you and what it earns you - stock counts flow in from 📦 Made &amp; Stocked.</t>
  </si>
  <si>
    <t>🏠  Dashboard</t>
  </si>
  <si>
    <t>#</t>
  </si>
  <si>
    <t>SKU</t>
  </si>
  <si>
    <t>Product name</t>
  </si>
  <si>
    <t>Description</t>
  </si>
  <si>
    <t>Selling price</t>
  </si>
  <si>
    <t>Yarn / material</t>
  </si>
  <si>
    <t>Packaging</t>
  </si>
  <si>
    <t>Unit cost</t>
  </si>
  <si>
    <t>Profit / item</t>
  </si>
  <si>
    <t>Margin %</t>
  </si>
  <si>
    <t>Hours</t>
  </si>
  <si>
    <t>Min level</t>
  </si>
  <si>
    <t>Reorder status</t>
  </si>
  <si>
    <t>Photo / link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</si>
  <si>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</si>
  <si>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</si>
  <si>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</si>
  <si>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Every market you work - sales, costs and best seller pull straight from the 💰 Sales Log.</t>
  </si>
  <si>
    <t>Fair / event</t>
  </si>
  <si>
    <t>Date</t>
  </si>
  <si>
    <t>Location</t>
  </si>
  <si>
    <t>Organizer</t>
  </si>
  <si>
    <t>Booth fee</t>
  </si>
  <si>
    <t>Food / other</t>
  </si>
  <si>
    <t>Display</t>
  </si>
  <si>
    <t>Total expenses</t>
  </si>
  <si>
    <t>Items taken</t>
  </si>
  <si>
    <t>Items sold</t>
  </si>
  <si>
    <t>Total sales</t>
  </si>
  <si>
    <t>Product cost</t>
  </si>
  <si>
    <t>Margin</t>
  </si>
  <si>
    <t>Best seller</t>
  </si>
  <si>
    <t>TOTALS</t>
  </si>
  <si>
    <t xml:space="preserve">  💡  Wondering "should I do this market again?"  Sort by Net profit, or check the ranking on the 📊 Dashboard.</t>
  </si>
  <si>
    <t>▶ Fairs</t>
  </si>
  <si>
    <t>💰  Sales Log</t>
  </si>
  <si>
    <t xml:space="preserve">  Log each sale once - the fair totals, dashboard, monthly summary and best-sellers all read this page.</t>
  </si>
  <si>
    <t>Qty</t>
  </si>
  <si>
    <t>Unit price</t>
  </si>
  <si>
    <t>Discount</t>
  </si>
  <si>
    <t>Sale total</t>
  </si>
  <si>
    <t>Payment method</t>
  </si>
  <si>
    <t>Txn / ref #</t>
  </si>
  <si>
    <t>Notes</t>
  </si>
  <si>
    <t>Pair units</t>
  </si>
  <si>
    <t>Cost of sale</t>
  </si>
  <si>
    <t>▶ Sales</t>
  </si>
  <si>
    <t>💵  Pricing Calculator</t>
  </si>
  <si>
    <t xml:space="preserve">  Never sell a $25 make for $15 again: materials + labour + overhead in, suggested price out.</t>
  </si>
  <si>
    <t xml:space="preserve">  1 · WHAT IT COSTS YOU</t>
  </si>
  <si>
    <t xml:space="preserve">  2 · WHAT TO CHARGE</t>
  </si>
  <si>
    <t xml:space="preserve">  Materials / yarn cost</t>
  </si>
  <si>
    <t xml:space="preserve">  Packaging &amp; labels</t>
  </si>
  <si>
    <t xml:space="preserve">  Hours to make</t>
  </si>
  <si>
    <t xml:space="preserve">  Your hourly wage</t>
  </si>
  <si>
    <t xml:space="preserve">  Overhead % (tools, fees, power)</t>
  </si>
  <si>
    <t xml:space="preserve">  Target profit margin</t>
  </si>
  <si>
    <t xml:space="preserve">  Labour cost (hours × wage)</t>
  </si>
  <si>
    <t xml:space="preserve">  Overhead amount</t>
  </si>
  <si>
    <t xml:space="preserve">  TRUE COST</t>
  </si>
  <si>
    <t xml:space="preserve">  SUGGESTED PRICE</t>
  </si>
  <si>
    <t xml:space="preserve">  Charm price (….95)</t>
  </si>
  <si>
    <t xml:space="preserve">  Profit at suggested price</t>
  </si>
  <si>
    <t xml:space="preserve">  Sanity check</t>
  </si>
  <si>
    <t xml:space="preserve">  💡  PRICING LIKE A PRO</t>
  </si>
  <si>
    <t>Rules of thumb from market sellers:
1.  Materials = yarn + labels + packaging for ONE item.
2.  Overhead covers hooks, stall extras, power and marketplace fees - 10-15% is typical.
3.  If the suggested price feels too high for your market, cut the hours (simpler pattern) before you cut your wage.</t>
  </si>
  <si>
    <t>▶ Pricing</t>
  </si>
  <si>
    <t>📖  START HERE</t>
  </si>
  <si>
    <t xml:space="preserve">  your 5-minute tour of the Crochet Craft Fair Tracker</t>
  </si>
  <si>
    <t xml:space="preserve">  🚀  QUICK START — FIVE STEPS TO LIVE</t>
  </si>
  <si>
    <t>1</t>
  </si>
  <si>
    <t>Open ⚙️ Lists &amp; Settings</t>
  </si>
  <si>
    <t>Type your studio name, currency, hourly wage, overhead % and target margin.  Every calculator and alert reads those numbers.</t>
  </si>
  <si>
    <t>2</t>
  </si>
  <si>
    <t>Skim your dropdown lists</t>
  </si>
  <si>
    <t>Lower down on the same tab you can rename categories, payment methods, yarn weights, units and suppliers.  Every dropdown in the workbook updates instantly — nothing is hard-coded.</t>
  </si>
  <si>
    <t>3</t>
  </si>
  <si>
    <t>List your makes on 🧶 Product Catalog</t>
  </si>
  <si>
    <t>One row per design: price, yarn cost, packaging, hours and a minimum stock level.  Profit and margin calculate themselves.</t>
  </si>
  <si>
    <t>4</t>
  </si>
  <si>
    <t>Log yarn on 🧵 Yarn &amp; Materials</t>
  </si>
  <si>
    <t>What you bought, what you have used, what is left — the reorder flag turns red before you run out mid-commission.</t>
  </si>
  <si>
    <t>5</t>
  </si>
  <si>
    <t>Work your fairs</t>
  </si>
  <si>
    <t>🏪 Craft Fairs takes one row per market, 💰 Sales Log one row per sale.  Profit, best-sellers, the monthly summary and the dashboard build themselves from those two.</t>
  </si>
  <si>
    <t xml:space="preserve">  🗺️  THE TAB TOUR</t>
  </si>
  <si>
    <t xml:space="preserve">  Premium edition: every tab below.  Basic edition: the tabs marked ● only.</t>
  </si>
  <si>
    <t>●  📊 Dashboard</t>
  </si>
  <si>
    <t>Sales, profit, margin, units, best-seller, six charts and live low-stock panels.</t>
  </si>
  <si>
    <t>●  🧶 Product Catalog</t>
  </si>
  <si>
    <t>Every make with cost, profit, margin, stock and reorder status.</t>
  </si>
  <si>
    <t>●  🏪 Craft Fairs</t>
  </si>
  <si>
    <t>One row per market with all five cost lines, takings, net profit and best seller.</t>
  </si>
  <si>
    <t>●  💰 Sales Log</t>
  </si>
  <si>
    <t>Every sale: fair and product dropdowns, discount, payment method and live cost of sale.</t>
  </si>
  <si>
    <t>●  💵 Pricing Calculator</t>
  </si>
  <si>
    <t>Materials + labour + overhead in, suggested and charm price out.</t>
  </si>
  <si>
    <t>●  📖 Start Here</t>
  </si>
  <si>
    <t>This page.</t>
  </si>
  <si>
    <t>○  🧵 Yarn &amp; Materials</t>
  </si>
  <si>
    <t>Yarn and findings with remaining quantity and an automatic reorder flag.</t>
  </si>
  <si>
    <t>○  📦 Made &amp; Stocked</t>
  </si>
  <si>
    <t>Production batches: made, reserved, sold, damaged, current and available.</t>
  </si>
  <si>
    <t>○  🧮 Event Profit</t>
  </si>
  <si>
    <t>Pick a fair - revenue, every cost, net profit, margin, break-even and ROI.</t>
  </si>
  <si>
    <t>○  🔄 Reorder List</t>
  </si>
  <si>
    <t>Low products and yarn pulled in automatically, with priority and estimated budget.</t>
  </si>
  <si>
    <t>○  🎒 Packing Checklist</t>
  </si>
  <si>
    <t>Four packing zones with ticks and a % packed meter, per fair.</t>
  </si>
  <si>
    <t>○  📅 Monthly Summary</t>
  </si>
  <si>
    <t>The whole year month by month: revenue, costs, profit, units and markets.</t>
  </si>
  <si>
    <t xml:space="preserve">  💡  TEN TIPS FROM WORKING CATERERS</t>
  </si>
  <si>
    <t>Price from true cost, not from the stall next door: the Pricing Calculator adds your wage and overhead before margin.</t>
  </si>
  <si>
    <t>Log sales at the fair on your phone (Google Sheets) and the dashboard is already correct by teardown time.</t>
  </si>
  <si>
    <t>Set a minimum stock level for every best-seller — the Reorder List only protects what you have told it to protect.</t>
  </si>
  <si>
    <t>Weigh your yarn usage once per pattern (used column) and future costs stay honest without counting every metre.</t>
  </si>
  <si>
    <t>Charm prices (….95) test better at markets than round numbers; the calculator suggests one for you.</t>
  </si>
  <si>
    <t>6</t>
  </si>
  <si>
    <t>After each fair, glance at Event Profit: any market under ~25% margin two years running is a hobby, not a channel.</t>
  </si>
  <si>
    <t>7</t>
  </si>
  <si>
    <t>The Monthly Summary reads the report year from Settings — change it in January and reuse this file forever.</t>
  </si>
  <si>
    <t>8</t>
  </si>
  <si>
    <t>Print the Packing Checklist per fair; ticks beat memory at 6am.</t>
  </si>
  <si>
    <t>9</t>
  </si>
  <si>
    <t>Back up before big edits: a copy on your desktop costs nothing and saves entire weekends.</t>
  </si>
  <si>
    <t>10</t>
  </si>
  <si>
    <t>The EXAMPLE file is a fictional studio so you can see it working; the blank file is the one you keep.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</si>
  <si>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</si>
  <si>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</si>
  <si>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</si>
  <si>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</si>
  <si>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</si>
  <si>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crochet studio so you can see it working.  The blank edition is the one you keep.</t>
  </si>
  <si>
    <t xml:space="preserve">  🤝  SUPPORT &amp; GOOD WISHES</t>
  </si>
  <si>
    <t xml:space="preserve">  Thank you for buying this template — it was built by people who have frogged a blanket at 2am and know what a spreadsheet owes you between markets.  If something looks wrong or you would love an extra tab, message the shop on Etsy and we will help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</si>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</sst>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7">
    <numFmt numFmtId="164" formatCode="#,##0.00"/>
    <numFmt numFmtId="165" formatCode="0.0%"/>
    <numFmt numFmtId="166" formatCode="@"/>
    <numFmt numFmtId="164" formatCode="#,##0.00"/>
    <numFmt numFmtId="167" formatCode="0%"/>
    <numFmt numFmtId="164" formatCode="#,##0.00"/>
    <numFmt numFmtId="164" formatCode="#,##0.00"/>
    <numFmt numFmtId="167" formatCode="0%"/>
    <numFmt numFmtId="168" formatCode="#,##0.0"/>
    <numFmt numFmtId="169" formatCode="#,##0"/>
    <numFmt numFmtId="164" formatCode="#,##0.00"/>
    <numFmt numFmtId="168" formatCode="#,##0.0"/>
    <numFmt numFmtId="169" formatCode="#,##0"/>
    <numFmt numFmtId="170" formatCode="dd mmm yyyy"/>
    <numFmt numFmtId="169" formatCode="#,##0"/>
    <numFmt numFmtId="169" formatCode="#,##0"/>
    <numFmt numFmtId="170" formatCode="dd mmm yyyy"/>
    <numFmt numFmtId="169" formatCode="#,##0"/>
    <numFmt numFmtId="164" formatCode="#,##0.00"/>
    <numFmt numFmtId="169" formatCode="#,##0"/>
    <numFmt numFmtId="164" formatCode="#,##0.00"/>
    <numFmt numFmtId="168" formatCode="#,##0.0"/>
    <numFmt numFmtId="167" formatCode="0%"/>
    <numFmt numFmtId="164" formatCode="#,##0.00"/>
    <numFmt numFmtId="164" formatCode="#,##0.00"/>
  </numFmts>
  <fonts count="44">
    <font>
      <sz val="11"/>
      <color theme="1"/>
      <name val="Calibri"/>
      <family val="2"/>
      <scheme val="minor"/>
    </font>
    <font>
      <b/>
      <sz val="9"/>
      <color rgb="FF7E948C"/>
      <name val="Calibri"/>
      <family val="2"/>
      <scheme val="minor"/>
    </font>
    <font>
      <sz val="9"/>
      <color rgb="FF22332E"/>
      <name val="Calibri"/>
      <family val="2"/>
      <scheme val="minor"/>
    </font>
    <font>
      <b/>
      <sz val="20"/>
      <color rgb="FF2F6D5F"/>
      <name val="Trebuchet MS"/>
      <family val="2"/>
    </font>
    <font>
      <i/>
      <sz val="10.5"/>
      <color rgb="FF7E948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Trebuchet MS"/>
      <family val="2"/>
    </font>
    <font>
      <sz val="11"/>
      <color rgb="FF22332E"/>
      <name val="Calibri"/>
      <family val="2"/>
      <scheme val="minor"/>
    </font>
    <font>
      <b/>
      <sz val="12"/>
      <color rgb="FF2F6D5F"/>
      <name val="Calibri"/>
      <family val="2"/>
      <scheme val="minor"/>
    </font>
    <font>
      <sz val="10"/>
      <color rgb="FF22332E"/>
      <name val="Calibri"/>
      <family val="2"/>
      <scheme val="minor"/>
    </font>
    <font>
      <i/>
      <sz val="10"/>
      <color rgb="FF7E948C"/>
      <name val="Calibri"/>
      <family val="2"/>
      <scheme val="minor"/>
    </font>
    <font>
      <i/>
      <sz val="10"/>
      <color rgb="FF22332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Trebuchet MS"/>
      <family val="2"/>
    </font>
    <font>
      <b/>
      <sz val="17"/>
      <color rgb="FFF8F1D9"/>
      <name val="Trebuchet MS"/>
      <family val="2"/>
    </font>
    <font>
      <b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5"/>
      <color rgb="FF3E7C4F"/>
      <name val="Calibri"/>
      <family val="2"/>
      <scheme val="minor"/>
    </font>
    <font>
      <b/>
      <sz val="15"/>
      <color rgb="FF2F6D5F"/>
      <name val="Calibri"/>
      <family val="2"/>
      <scheme val="minor"/>
    </font>
    <font>
      <b/>
      <sz val="15"/>
      <color rgb="FFC9A227"/>
      <name val="Calibri"/>
      <family val="2"/>
      <scheme val="minor"/>
    </font>
    <font>
      <b/>
      <sz val="15"/>
      <color rgb="FF3E6E8E"/>
      <name val="Calibri"/>
      <family val="2"/>
      <scheme val="minor"/>
    </font>
    <font>
      <b/>
      <sz val="15"/>
      <color rgb="FF5E9488"/>
      <name val="Calibri"/>
      <family val="2"/>
      <scheme val="minor"/>
    </font>
    <font>
      <b/>
      <sz val="15"/>
      <color rgb="FFE2725B"/>
      <name val="Calibri"/>
      <family val="2"/>
      <scheme val="minor"/>
    </font>
    <font>
      <b/>
      <sz val="15"/>
      <color rgb="FFB23A3A"/>
      <name val="Calibri"/>
      <family val="2"/>
      <scheme val="minor"/>
    </font>
    <font>
      <b/>
      <sz val="10"/>
      <color rgb="FF22332E"/>
      <name val="Calibri"/>
      <family val="2"/>
      <scheme val="minor"/>
    </font>
    <font>
      <b/>
      <sz val="13"/>
      <color rgb="FF5E9488"/>
      <name val="Consolas"/>
      <family val="2"/>
    </font>
    <font>
      <b/>
      <sz val="13"/>
      <color rgb="FFE2725B"/>
      <name val="Consolas"/>
      <family val="2"/>
    </font>
    <font>
      <b/>
      <sz val="12"/>
      <color rgb="FF2F6D5F"/>
      <name val="Trebuchet MS"/>
      <family val="2"/>
    </font>
    <font>
      <sz val="10"/>
      <color rgb="FF7E948C"/>
      <name val="Calibri"/>
      <family val="2"/>
      <scheme val="minor"/>
    </font>
    <font>
      <b/>
      <sz val="10.5"/>
      <color rgb="FF2F6D5F"/>
      <name val="Calibri"/>
      <family val="2"/>
      <scheme val="minor"/>
    </font>
    <font>
      <b/>
      <sz val="10.5"/>
      <color rgb="FFB23A3A"/>
      <name val="Calibri"/>
      <family val="2"/>
      <scheme val="minor"/>
    </font>
    <font>
      <b/>
      <sz val="10.5"/>
      <color rgb="FF3E6E8E"/>
      <name val="Calibri"/>
      <family val="2"/>
      <scheme val="minor"/>
    </font>
    <font>
      <b/>
      <sz val="10.5"/>
      <color rgb="FF3E7C4F"/>
      <name val="Calibri"/>
      <family val="2"/>
      <scheme val="minor"/>
    </font>
    <font>
      <sz val="9"/>
      <color rgb="FF7E948C"/>
      <name val="Calibri"/>
      <family val="2"/>
      <scheme val="minor"/>
    </font>
    <font>
      <sz val="10.5"/>
      <color rgb="FF22332E"/>
      <name val="Calibri"/>
      <family val="2"/>
      <scheme val="minor"/>
    </font>
    <font>
      <sz val="10.5"/>
      <color rgb="FF2F6D5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0.5"/>
      <color rgb="FFC9A227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3E7C4F"/>
      <name val="Calibri"/>
      <family val="2"/>
      <scheme val="minor"/>
    </font>
    <font>
      <b/>
      <sz val="26"/>
      <color rgb="FF2F6D5F"/>
      <name val="Trebuchet MS"/>
      <family val="2"/>
    </font>
    <font>
      <i/>
      <sz val="11.5"/>
      <color rgb="FF7E948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2F6D5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7FAF8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1D9"/>
        <bgColor indexed="64"/>
      </patternFill>
    </fill>
    <fill>
      <patternFill patternType="solid">
        <fgColor rgb="FFF4F8F5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3E6E8E"/>
        <bgColor indexed="64"/>
      </patternFill>
    </fill>
    <fill>
      <patternFill patternType="solid">
        <fgColor rgb="FF6C5B94"/>
        <bgColor indexed="64"/>
      </patternFill>
    </fill>
    <fill>
      <patternFill patternType="solid">
        <fgColor rgb="FF3E7C4F"/>
        <bgColor indexed="64"/>
      </patternFill>
    </fill>
    <fill>
      <patternFill patternType="solid">
        <fgColor rgb="FF5E9488"/>
        <bgColor indexed="64"/>
      </patternFill>
    </fill>
    <fill>
      <patternFill patternType="solid">
        <fgColor rgb="FFB23A3A"/>
        <bgColor indexed="64"/>
      </patternFill>
    </fill>
    <fill>
      <patternFill patternType="solid">
        <fgColor rgb="FFE3EFEA"/>
        <bgColor indexed="64"/>
      </patternFill>
    </fill>
    <fill>
      <patternFill patternType="solid">
        <fgColor rgb="FFE1ECF2"/>
        <bgColor indexed="64"/>
      </patternFill>
    </fill>
    <fill>
      <patternFill patternType="solid">
        <fgColor rgb="FFF8E4E2"/>
        <bgColor indexed="64"/>
      </patternFill>
    </fill>
    <fill>
      <patternFill patternType="solid">
        <fgColor rgb="FFE1F0E4"/>
        <bgColor indexed="64"/>
      </patternFill>
    </fill>
  </fills>
  <borders count="17">
    <border>
      <left/>
      <right/>
      <top/>
      <bottom/>
      <diagonal/>
    </border>
    <border>
      <left style="thin">
        <color rgb="FFE2725B"/>
      </left>
      <right style="thin">
        <color rgb="FFE2725B"/>
      </right>
      <top style="thin">
        <color rgb="FFE2725B"/>
      </top>
      <bottom style="thin">
        <color rgb="FFE2725B"/>
      </bottom>
      <diagonal/>
    </border>
    <border>
      <left style="thin">
        <color rgb="FFD8E4DD"/>
      </left>
      <right style="thin">
        <color rgb="FFD8E4DD"/>
      </right>
      <top style="thin">
        <color rgb="FFD8E4DD"/>
      </top>
      <bottom style="thin">
        <color rgb="FFD8E4DD"/>
      </bottom>
      <diagonal/>
    </border>
    <border>
      <left style="thin">
        <color rgb="FFAFC8BC"/>
      </left>
      <right style="thin">
        <color rgb="FFAFC8BC"/>
      </right>
      <top style="thin">
        <color rgb="FFAFC8BC"/>
      </top>
      <bottom style="thin">
        <color rgb="FFAFC8BC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3E6E8E"/>
      </left>
      <right style="thin">
        <color rgb="FF3E6E8E"/>
      </right>
      <top style="thin">
        <color rgb="FF3E6E8E"/>
      </top>
      <bottom style="thin">
        <color rgb="FF3E6E8E"/>
      </bottom>
      <diagonal/>
    </border>
    <border>
      <left style="thin">
        <color rgb="FF6C5B94"/>
      </left>
      <right style="thin">
        <color rgb="FF6C5B94"/>
      </right>
      <top style="thin">
        <color rgb="FF6C5B94"/>
      </top>
      <bottom style="thin">
        <color rgb="FF6C5B94"/>
      </bottom>
      <diagonal/>
    </border>
    <border>
      <left style="thin">
        <color rgb="FF3E7C4F"/>
      </left>
      <right style="thin">
        <color rgb="FF3E7C4F"/>
      </right>
      <top style="thin">
        <color rgb="FF3E7C4F"/>
      </top>
      <bottom style="thin">
        <color rgb="FF3E7C4F"/>
      </bottom>
      <diagonal/>
    </border>
    <border>
      <left style="thin">
        <color rgb="FF5E9488"/>
      </left>
      <right style="thin">
        <color rgb="FF5E9488"/>
      </right>
      <top style="thin">
        <color rgb="FF5E9488"/>
      </top>
      <bottom style="thin">
        <color rgb="FF5E9488"/>
      </bottom>
      <diagonal/>
    </border>
    <border>
      <left style="dotted">
        <color rgb="FFC9A227"/>
      </left>
      <right/>
      <top/>
      <bottom/>
      <diagonal/>
    </border>
    <border>
      <left style="thin">
        <color rgb="FFE3EFEA"/>
      </left>
      <right style="thin">
        <color rgb="FFE3EFEA"/>
      </right>
      <top style="thin">
        <color rgb="FFE3EFEA"/>
      </top>
      <bottom style="thin">
        <color rgb="FFE3EFEA"/>
      </bottom>
      <diagonal/>
    </border>
    <border>
      <left style="thin">
        <color rgb="FFE1ECF2"/>
      </left>
      <right style="thin">
        <color rgb="FFE1ECF2"/>
      </right>
      <top style="thin">
        <color rgb="FFE1ECF2"/>
      </top>
      <bottom style="thin">
        <color rgb="FFE1ECF2"/>
      </bottom>
      <diagonal/>
    </border>
    <border>
      <left style="thin">
        <color rgb="FFF8E4E2"/>
      </left>
      <right style="thin">
        <color rgb="FFF8E4E2"/>
      </right>
      <top style="thin">
        <color rgb="FFF8E4E2"/>
      </top>
      <bottom style="thin">
        <color rgb="FFF8E4E2"/>
      </bottom>
      <diagonal/>
    </border>
    <border>
      <left style="thin">
        <color rgb="FFE1F0E4"/>
      </left>
      <right style="thin">
        <color rgb="FFE1F0E4"/>
      </right>
      <top style="thin">
        <color rgb="FFE1F0E4"/>
      </top>
      <bottom style="thin">
        <color rgb="FFE1F0E4"/>
      </bottom>
      <diagonal/>
    </border>
    <border>
      <left style="thin">
        <color rgb="FFF8F1D9"/>
      </left>
      <right style="thin">
        <color rgb="FFF8F1D9"/>
      </right>
      <top style="thin">
        <color rgb="FFF8F1D9"/>
      </top>
      <bottom style="thin">
        <color rgb="FFF8F1D9"/>
      </bottom>
      <diagonal/>
    </border>
    <border>
      <left style="thin">
        <color rgb="FFB23A3A"/>
      </left>
      <right style="thin">
        <color rgb="FFB23A3A"/>
      </right>
      <top style="thin">
        <color rgb="FFB23A3A"/>
      </top>
      <bottom style="thin">
        <color rgb="FFB23A3A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>
      <alignment horizontal="left" vertical="center" indent="1"/>
    </xf>
    <xf numFmtId="164" fontId="8" fillId="6" borderId="3" xfId="0" applyNumberFormat="1" applyFont="1" applyFill="1" applyBorder="1" applyAlignment="1">
      <alignment horizontal="left" vertical="center" indent="1"/>
    </xf>
    <xf numFmtId="167" fontId="8" fillId="6" borderId="3" xfId="0" applyNumberFormat="1" applyFont="1" applyFill="1" applyBorder="1" applyAlignment="1">
      <alignment horizontal="left" vertical="center" indent="1"/>
    </xf>
    <xf numFmtId="0" fontId="5" fillId="4" borderId="4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indent="1"/>
    </xf>
    <xf numFmtId="0" fontId="9" fillId="5" borderId="2" xfId="0" applyFont="1" applyFill="1" applyBorder="1" applyAlignment="1">
      <alignment horizontal="left" vertical="center" indent="1"/>
    </xf>
    <xf numFmtId="0" fontId="10" fillId="7" borderId="2" xfId="0" applyFont="1" applyFill="1" applyBorder="1" applyAlignment="1" applyProtection="1">
      <alignment horizontal="left" vertical="top" indent="1" wrapText="1"/>
      <protection locked="0"/>
    </xf>
    <xf numFmtId="0" fontId="10" fillId="2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center" indent="1"/>
    </xf>
    <xf numFmtId="0" fontId="12" fillId="4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5" fillId="8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6" fillId="8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  <xf numFmtId="0" fontId="17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7" fillId="14" borderId="10" xfId="0" applyFont="1" applyFill="1" applyBorder="1" applyAlignment="1">
      <alignment horizontal="left" vertical="center" indent="1"/>
    </xf>
    <xf numFmtId="0" fontId="28" fillId="5" borderId="2" xfId="0" applyFont="1" applyFill="1" applyBorder="1" applyAlignment="1">
      <alignment horizontal="left" vertical="center" indent="1"/>
    </xf>
    <xf numFmtId="0" fontId="29" fillId="5" borderId="2" xfId="0" applyFont="1" applyFill="1" applyBorder="1" applyAlignment="1">
      <alignment horizontal="left" vertical="center" indent="1"/>
    </xf>
    <xf numFmtId="0" fontId="30" fillId="5" borderId="2" xfId="0" applyFont="1" applyFill="1" applyBorder="1" applyAlignment="1">
      <alignment horizontal="center" vertical="center"/>
    </xf>
    <xf numFmtId="0" fontId="29" fillId="14" borderId="11" xfId="0" applyFont="1" applyFill="1" applyBorder="1" applyAlignment="1">
      <alignment horizontal="left" vertical="center"/>
    </xf>
    <xf numFmtId="0" fontId="31" fillId="15" borderId="12" xfId="0" applyFont="1" applyFill="1" applyBorder="1" applyAlignment="1">
      <alignment horizontal="left" vertical="center"/>
    </xf>
    <xf numFmtId="0" fontId="30" fillId="16" borderId="13" xfId="0" applyFont="1" applyFill="1" applyBorder="1" applyAlignment="1">
      <alignment horizontal="left" vertical="center"/>
    </xf>
    <xf numFmtId="0" fontId="32" fillId="17" borderId="14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center" vertical="center" wrapText="1"/>
    </xf>
    <xf numFmtId="1" fontId="33" fillId="7" borderId="2" xfId="0" applyNumberFormat="1" applyFont="1" applyFill="1" applyBorder="1" applyAlignment="1">
      <alignment horizontal="center" vertical="center"/>
    </xf>
    <xf numFmtId="0" fontId="34" fillId="7" borderId="2" xfId="0" applyFont="1" applyFill="1" applyBorder="1" applyAlignment="1" applyProtection="1">
      <alignment horizontal="left" vertical="center"/>
      <protection locked="0"/>
    </xf>
    <xf numFmtId="0" fontId="34" fillId="7" borderId="2" xfId="0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 applyProtection="1">
      <alignment horizontal="left" vertical="top" wrapText="1"/>
      <protection locked="0"/>
    </xf>
    <xf numFmtId="164" fontId="34" fillId="7" borderId="2" xfId="0" applyNumberFormat="1" applyFont="1" applyFill="1" applyBorder="1" applyAlignment="1" applyProtection="1">
      <alignment horizontal="right" vertical="center"/>
      <protection locked="0"/>
    </xf>
    <xf numFmtId="164" fontId="35" fillId="7" borderId="2" xfId="0" applyNumberFormat="1" applyFont="1" applyFill="1" applyBorder="1" applyAlignment="1">
      <alignment horizontal="right" vertical="center"/>
    </xf>
    <xf numFmtId="167" fontId="35" fillId="7" borderId="2" xfId="0" applyNumberFormat="1" applyFont="1" applyFill="1" applyBorder="1" applyAlignment="1">
      <alignment horizontal="center" vertical="center"/>
    </xf>
    <xf numFmtId="168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center" vertical="center"/>
      <protection locked="0"/>
    </xf>
    <xf numFmtId="0" fontId="34" fillId="7" borderId="2" xfId="0" applyFont="1" applyFill="1" applyBorder="1" applyAlignment="1">
      <alignment horizontal="center" vertical="center"/>
    </xf>
    <xf numFmtId="0" fontId="36" fillId="7" borderId="2" xfId="0" applyFont="1" applyFill="1" applyBorder="1" applyAlignment="1" applyProtection="1">
      <alignment horizontal="left" vertical="center"/>
      <protection locked="0"/>
    </xf>
    <xf numFmtId="1" fontId="33" fillId="5" borderId="2" xfId="0" applyNumberFormat="1" applyFont="1" applyFill="1" applyBorder="1" applyAlignment="1">
      <alignment horizontal="center" vertical="center"/>
    </xf>
    <xf numFmtId="0" fontId="34" fillId="5" borderId="2" xfId="0" applyFont="1" applyFill="1" applyBorder="1" applyAlignment="1" applyProtection="1">
      <alignment horizontal="left" vertical="center"/>
      <protection locked="0"/>
    </xf>
    <xf numFmtId="0" fontId="34" fillId="5" borderId="2" xfId="0" applyFont="1" applyFill="1" applyBorder="1" applyAlignment="1" applyProtection="1">
      <alignment horizontal="center" vertical="center"/>
      <protection locked="0"/>
    </xf>
    <xf numFmtId="0" fontId="34" fillId="5" borderId="2" xfId="0" applyFont="1" applyFill="1" applyBorder="1" applyAlignment="1" applyProtection="1">
      <alignment horizontal="left" vertical="top" wrapText="1"/>
      <protection locked="0"/>
    </xf>
    <xf numFmtId="164" fontId="34" fillId="5" borderId="2" xfId="0" applyNumberFormat="1" applyFont="1" applyFill="1" applyBorder="1" applyAlignment="1" applyProtection="1">
      <alignment horizontal="right" vertical="center"/>
      <protection locked="0"/>
    </xf>
    <xf numFmtId="168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center" vertical="center"/>
      <protection locked="0"/>
    </xf>
    <xf numFmtId="0" fontId="36" fillId="5" borderId="2" xfId="0" applyFont="1" applyFill="1" applyBorder="1" applyAlignment="1" applyProtection="1">
      <alignment horizontal="left" vertical="center"/>
      <protection locked="0"/>
    </xf>
    <xf numFmtId="0" fontId="37" fillId="6" borderId="15" xfId="0" applyFont="1" applyFill="1" applyBorder="1" applyAlignment="1">
      <alignment horizontal="left" vertical="center"/>
    </xf>
    <xf numFmtId="0" fontId="5" fillId="13" borderId="16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170" fontId="34" fillId="7" borderId="2" xfId="0" applyNumberFormat="1" applyFont="1" applyFill="1" applyBorder="1" applyAlignment="1" applyProtection="1">
      <alignment horizontal="center" vertical="center"/>
      <protection locked="0"/>
    </xf>
    <xf numFmtId="169" fontId="34" fillId="7" borderId="2" xfId="0" applyNumberFormat="1" applyFont="1" applyFill="1" applyBorder="1" applyAlignment="1" applyProtection="1">
      <alignment horizontal="right" vertical="center"/>
      <protection locked="0"/>
    </xf>
    <xf numFmtId="169" fontId="35" fillId="7" borderId="2" xfId="0" applyNumberFormat="1" applyFont="1" applyFill="1" applyBorder="1" applyAlignment="1">
      <alignment horizontal="right" vertical="center"/>
    </xf>
    <xf numFmtId="0" fontId="34" fillId="7" borderId="2" xfId="0" applyFont="1" applyFill="1" applyBorder="1" applyAlignment="1">
      <alignment horizontal="left" vertical="center" wrapText="1"/>
    </xf>
    <xf numFmtId="170" fontId="34" fillId="5" borderId="2" xfId="0" applyNumberFormat="1" applyFont="1" applyFill="1" applyBorder="1" applyAlignment="1" applyProtection="1">
      <alignment horizontal="center" vertical="center"/>
      <protection locked="0"/>
    </xf>
    <xf numFmtId="169" fontId="34" fillId="5" borderId="2" xfId="0" applyNumberFormat="1" applyFont="1" applyFill="1" applyBorder="1" applyAlignment="1" applyProtection="1">
      <alignment horizontal="right" vertical="center"/>
      <protection locked="0"/>
    </xf>
    <xf numFmtId="0" fontId="15" fillId="4" borderId="4" xfId="0" applyFont="1" applyFill="1" applyBorder="1" applyAlignment="1">
      <alignment horizontal="right" vertical="center" indent="1"/>
    </xf>
    <xf numFmtId="0" fontId="34" fillId="4" borderId="4" xfId="0" applyFont="1" applyFill="1" applyBorder="1" applyAlignment="1">
      <alignment vertical="center"/>
    </xf>
    <xf numFmtId="164" fontId="15" fillId="4" borderId="4" xfId="0" applyNumberFormat="1" applyFont="1" applyFill="1" applyBorder="1" applyAlignment="1">
      <alignment horizontal="right" vertical="center"/>
    </xf>
    <xf numFmtId="169" fontId="15" fillId="4" borderId="4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 applyProtection="1">
      <alignment horizontal="right" vertical="center"/>
      <protection locked="0"/>
    </xf>
    <xf numFmtId="168" fontId="8" fillId="6" borderId="3" xfId="0" applyNumberFormat="1" applyFont="1" applyFill="1" applyBorder="1" applyAlignment="1" applyProtection="1">
      <alignment horizontal="right" vertical="center"/>
      <protection locked="0"/>
    </xf>
    <xf numFmtId="167" fontId="8" fillId="6" borderId="3" xfId="0" applyNumberFormat="1" applyFont="1" applyFill="1" applyBorder="1" applyAlignment="1" applyProtection="1">
      <alignment horizontal="right" vertical="center"/>
      <protection locked="0"/>
    </xf>
    <xf numFmtId="164" fontId="8" fillId="5" borderId="2" xfId="0" applyNumberFormat="1" applyFont="1" applyFill="1" applyBorder="1" applyAlignment="1">
      <alignment horizontal="right" vertical="center"/>
    </xf>
    <xf numFmtId="164" fontId="38" fillId="3" borderId="1" xfId="0" applyNumberFormat="1" applyFont="1" applyFill="1" applyBorder="1" applyAlignment="1">
      <alignment horizontal="right" vertical="center"/>
    </xf>
    <xf numFmtId="0" fontId="39" fillId="17" borderId="2" xfId="0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0" fontId="40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left" vertical="center" indent="1"/>
    </xf>
    <xf numFmtId="0" fontId="34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indent="1"/>
    </xf>
    <xf numFmtId="0" fontId="42" fillId="9" borderId="0" xfId="0" applyFont="1" applyFill="1" applyAlignment="1">
      <alignment horizontal="center" vertical="center"/>
    </xf>
    <xf numFmtId="0" fontId="34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b/>
        <color rgb="FFB23A3A"/>
      </font>
      <fill>
        <patternFill>
          <bgColor rgb="FFF8E4E2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C07C12"/>
      </font>
      <fill>
        <patternFill>
          <bgColor rgb="FFFBF1DA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3E7C4F"/>
      </font>
      <fill>
        <patternFill>
          <bgColor rgb="FFE1F0E4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C07C12"/>
      </font>
      <fill>
        <patternFill>
          <bgColor rgb="FFFBF1DA"/>
        </patternFill>
      </fill>
    </dxf>
    <dxf>
      <font>
        <b/>
        <color rgb="FFB23A3A"/>
      </font>
      <fill>
        <patternFill>
          <bgColor rgb="FFF8E4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Monthly revenue &amp; net 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3E7C4F"/>
            </a:solidFill>
            <a:ln>
              <a:solidFill>
                <a:srgbClr val="3E7C4F"/>
              </a:solidFill>
            </a:ln>
          </c:spP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E2725B"/>
              </a:solidFill>
            </a:ln>
          </c:spPr>
          <c:marker>
            <c:symbol val="circle"/>
            <c:size val="6"/>
            <c:spPr>
              <a:solidFill>
                <a:srgbClr val="E2725B"/>
              </a:solidFill>
            </c:spPr>
          </c:marker>
          <c:cat>
            <c:strRef>
              <c:f>_Data!$H$2:$H$13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_Data!$L$2:$L$13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Sales &amp; 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rgbClr val="3E6E8E"/>
            </a:solidFill>
            <a:ln>
              <a:solidFill>
                <a:srgbClr val="3E6E8E"/>
              </a:solidFill>
            </a:ln>
          </c:spP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_Data!$AD$2:$AD$25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Net profit</c:v>
          </c:tx>
          <c:spPr>
            <a:ln w="31750">
              <a:solidFill>
                <a:srgbClr val="C9A227"/>
              </a:solidFill>
            </a:ln>
          </c:spPr>
          <c:marker>
            <c:symbol val="circle"/>
            <c:size val="6"/>
            <c:spPr>
              <a:solidFill>
                <a:srgbClr val="C9A227"/>
              </a:solidFill>
            </c:spPr>
          </c:marker>
          <c:cat>
            <c:strRef>
              <c:f>_Data!$AC$2:$AC$25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_Data!$AE$2:$AE$25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Units sold by product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Units</c:v>
          </c:tx>
          <c:spPr>
            <a:solidFill>
              <a:srgbClr val="E2725B"/>
            </a:solidFill>
            <a:ln>
              <a:solidFill>
                <a:srgbClr val="E2725B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_Data!$W$2:$W$25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Inventory remaining (units)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In stock</c:v>
          </c:tx>
          <c:spPr>
            <a:solidFill>
              <a:srgbClr val="5E9488"/>
            </a:solidFill>
            <a:ln>
              <a:solidFill>
                <a:srgbClr val="5E9488"/>
              </a:solidFill>
            </a:ln>
          </c:spPr>
          <c:cat>
            <c:strRef>
              <c:f>_Data!$V$2:$V$25</c:f>
              <c:strCache>
                <c:ptCount val="2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_Data!$Y$2:$Y$25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Takings by payment method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Taken</c:v>
          </c:tx>
          <c:cat>
            <c:strRef>
              <c:f>_Data!$P$2:$P$7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_Data!$Q$2:$Q$7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F6D5F"/>
                </a:solidFill>
              </a:defRPr>
            </a:pPr>
            <a:r>
              <a:rPr lang="en-US" sz="1100" b="1" baseline="0">
                <a:solidFill>
                  <a:srgbClr val="2F6D5F"/>
                </a:solidFill>
              </a:rPr>
              <a:t>Fair expenses by category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Spent</c:v>
          </c:tx>
          <c:cat>
            <c:strRef>
              <c:f>_Data!$S$2:$S$6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_Data!$T$2:$T$6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22332E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D8E4D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7</xdr:col>
      <xdr:colOff>714375</xdr:colOff>
      <xdr:row>27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104775</xdr:colOff>
      <xdr:row>27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31</xdr:row>
      <xdr:rowOff>0</xdr:rowOff>
    </xdr:from>
    <xdr:to>
      <xdr:col>7</xdr:col>
      <xdr:colOff>714375</xdr:colOff>
      <xdr:row>43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14</xdr:col>
      <xdr:colOff>104775</xdr:colOff>
      <xdr:row>43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47</xdr:row>
      <xdr:rowOff>0</xdr:rowOff>
    </xdr:from>
    <xdr:to>
      <xdr:col>7</xdr:col>
      <xdr:colOff>714375</xdr:colOff>
      <xdr:row>59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14</xdr:col>
      <xdr:colOff>104775</xdr:colOff>
      <xdr:row>59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mi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E948C"/>
  </sheetPr>
  <dimension ref="H1:AO27"/>
  <sheetViews>
    <sheetView showGridLines="0" workbookViewId="0"/>
  </sheetViews>
  <sheetFormatPr defaultRowHeight="15"/>
  <cols>
    <col min="1" max="1" width="3.7109375" customWidth="1"/>
    <col min="8" max="8" width="9.7109375" customWidth="1"/>
    <col min="9" max="9" width="11.7109375" customWidth="1"/>
    <col min="10" max="10" width="11.7109375" customWidth="1"/>
    <col min="11" max="11" width="11.7109375" customWidth="1"/>
    <col min="12" max="12" width="11.7109375" customWidth="1"/>
    <col min="13" max="13" width="9.7109375" customWidth="1"/>
    <col min="14" max="14" width="9.7109375" customWidth="1"/>
    <col min="15" max="15" width="9.7109375" customWidth="1"/>
    <col min="16" max="16" width="16.7109375" customWidth="1"/>
    <col min="17" max="17" width="11.7109375" customWidth="1"/>
    <col min="19" max="19" width="17.7109375" customWidth="1"/>
    <col min="20" max="20" width="11.7109375" customWidth="1"/>
    <col min="22" max="22" width="24.7109375" customWidth="1"/>
    <col min="23" max="23" width="9.7109375" customWidth="1"/>
    <col min="24" max="24" width="11.7109375" customWidth="1"/>
    <col min="25" max="25" width="9.7109375" customWidth="1"/>
    <col min="26" max="26" width="9.7109375" customWidth="1"/>
    <col min="27" max="27" width="9.7109375" customWidth="1"/>
    <col min="28" max="28" width="11.7109375" customWidth="1"/>
    <col min="29" max="29" width="24.7109375" customWidth="1"/>
    <col min="30" max="30" width="10.7109375" customWidth="1"/>
    <col min="31" max="31" width="11.7109375" customWidth="1"/>
    <col min="32" max="32" width="9.7109375" customWidth="1"/>
    <col min="33" max="33" width="12.7109375" customWidth="1"/>
    <col min="34" max="34" width="28.7109375" customWidth="1"/>
    <col min="35" max="35" width="12.7109375" customWidth="1"/>
    <col min="37" max="37" width="9.7109375" customWidth="1"/>
    <col min="38" max="38" width="24.7109375" customWidth="1"/>
    <col min="40" max="40" width="9.7109375" customWidth="1"/>
    <col min="41" max="41" width="24.7109375" customWidth="1"/>
  </cols>
  <sheetData>
    <row r="1" spans="8:41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20</v>
      </c>
      <c r="Q1" s="1" t="s">
        <v>21</v>
      </c>
      <c r="S1" s="1" t="s">
        <v>28</v>
      </c>
      <c r="T1" s="1" t="s">
        <v>29</v>
      </c>
      <c r="V1" s="1" t="s">
        <v>35</v>
      </c>
      <c r="W1" s="1" t="s">
        <v>5</v>
      </c>
      <c r="X1" s="1" t="s">
        <v>1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</v>
      </c>
      <c r="AF1" s="1" t="s">
        <v>5</v>
      </c>
      <c r="AG1" s="1" t="s">
        <v>42</v>
      </c>
      <c r="AH1" s="1" t="s">
        <v>43</v>
      </c>
      <c r="AI1" s="1" t="s">
        <v>44</v>
      </c>
      <c r="AK1" s="1" t="s">
        <v>71</v>
      </c>
      <c r="AL1" s="1" t="s">
        <v>72</v>
      </c>
      <c r="AN1" s="1" t="s">
        <v>73</v>
      </c>
      <c r="AO1" s="1" t="s">
        <v>74</v>
      </c>
    </row>
    <row r="2" spans="8:41">
      <c r="H2" s="2" t="s">
        <v>8</v>
      </c>
      <c r="I2" s="3">
        <f>SUMIFS('💰 Sales Log'!$H$8:$H$67,'💰 Sales Log'!$B$8:$B$67,"&gt;="&amp;DATE(ReportYear,1,1),'💰 Sales Log'!$B$8:$B$67,"&lt;"&amp;EDATE(DATE(ReportYear,1,1),1))</f>
        <v>0</v>
      </c>
      <c r="J2" s="3">
        <f>SUMIFS('💰 Sales Log'!$M$8:$M$67,'💰 Sales Log'!$B$8:$B$67,"&gt;="&amp;DATE(ReportYear,1,1),'💰 Sales Log'!$B$8:$B$67,"&lt;"&amp;EDATE(DATE(ReportYear,1,1),1))</f>
        <v>0</v>
      </c>
      <c r="K2" s="3">
        <f>SUMIFS('🏪 Craft Fairs'!$K$8:$K$31,'🏪 Craft Fairs'!$C$8:$C$31,"&gt;="&amp;DATE(ReportYear,1,1),'🏪 Craft Fairs'!$C$8:$C$31,"&lt;"&amp;EDATE(DATE(ReportYear,1,1),1))</f>
        <v>0</v>
      </c>
      <c r="L2" s="3">
        <f>$I2-$J2-$K2</f>
        <v>0</v>
      </c>
      <c r="M2" s="4">
        <f>SUMIFS('💰 Sales Log'!$E$8:$E$67,'💰 Sales Log'!$B$8:$B$67,"&gt;="&amp;DATE(ReportYear,1,1),'💰 Sales Log'!$B$8:$B$67,"&lt;"&amp;EDATE(DATE(ReportYear,1,1),1))</f>
        <v>0</v>
      </c>
      <c r="N2" s="4">
        <f>COUNTIFS('🏪 Craft Fairs'!$C$8:$C$31,"&gt;="&amp;DATE(ReportYear,1,1),'🏪 Craft Fairs'!$C$8:$C$31,"&lt;"&amp;EDATE(DATE(ReportYear,1,1),1))</f>
        <v>0</v>
      </c>
      <c r="O2" s="4">
        <f>COUNTIFS('💰 Sales Log'!$B$8:$B$67,"&gt;="&amp;DATE(ReportYear,1,1),'💰 Sales Log'!$B$8:$B$67,"&lt;"&amp;EDATE(DATE(ReportYear,1,1),1))</f>
        <v>0</v>
      </c>
      <c r="P2" s="2" t="s">
        <v>22</v>
      </c>
      <c r="Q2" s="3">
        <f>SUMIFS('💰 Sales Log'!$H$8:$H$67,'💰 Sales Log'!$I$8:$I$67,$P2)</f>
        <v>0</v>
      </c>
      <c r="S2" s="2" t="s">
        <v>30</v>
      </c>
      <c r="T2" s="3">
        <f>SUM('🏪 Craft Fairs'!$F$8:$F$31)</f>
        <v>0</v>
      </c>
      <c r="V2" s="2">
        <f>IF('🧶 Product Catalog'!$C$8="","",'🧶 Product Catalog'!$C$8)</f>
        <v/>
      </c>
      <c r="W2" s="4">
        <f>IF($V2="",0,SUMIFS('💰 Sales Log'!$E$8:$E$67,'💰 Sales Log'!$D$8:$D$67,$V2))</f>
        <v>0</v>
      </c>
      <c r="X2" s="3">
        <f>IF($V2="",0,SUMIFS('💰 Sales Log'!$H$8:$H$67,'💰 Sales Log'!$D$8:$D$67,$V2))</f>
        <v>0</v>
      </c>
      <c r="Y2" s="4">
        <f>IF($V2="","",'🧶 Product Catalog'!$M$8)</f>
        <v/>
      </c>
      <c r="Z2" s="5">
        <f>IF($W2&gt;0,'🧶 Product Catalog'!$K$8,0)</f>
        <v>0</v>
      </c>
      <c r="AA2" s="4">
        <f>IF($V2="","",$W2)</f>
        <v/>
      </c>
      <c r="AB2" s="3">
        <f>IFERROR(ROUND($W2*'🧶 Product Catalog'!$J$8,2),0)</f>
        <v>0</v>
      </c>
      <c r="AC2" s="2">
        <f>IF('🏪 Craft Fairs'!$B$8="","",'🏪 Craft Fairs'!$B$8)</f>
        <v/>
      </c>
      <c r="AD2" s="3">
        <f>IF($AC2="","",'🏪 Craft Fairs'!$N$8)</f>
        <v/>
      </c>
      <c r="AE2" s="3">
        <f>IF($AC2="","",'🏪 Craft Fairs'!$P$8)</f>
        <v/>
      </c>
      <c r="AF2" s="4">
        <f>IF($AC2="","",'🏪 Craft Fairs'!$M$8)</f>
        <v/>
      </c>
      <c r="AG2" s="2">
        <f>IF(AND('🏪 Craft Fairs'!$C$8&lt;&gt;"",'🏪 Craft Fairs'!$C$8&gt;=TODAY()),'🏪 Craft Fairs'!$C$8,"")</f>
        <v/>
      </c>
      <c r="AH2" s="1" t="s">
        <v>45</v>
      </c>
      <c r="AI2" s="3">
        <f>SUM($I$2:$I$13)</f>
        <v>0</v>
      </c>
      <c r="AK2" s="4">
        <f>IF(OR('🧶 Product Catalog'!$O$8="🟠 Low stock",'🧶 Product Catalog'!$O$8="🔴 Out of stock"),1,"")</f>
        <v/>
      </c>
      <c r="AL2" s="4">
        <v>8</v>
      </c>
    </row>
    <row r="3" spans="8:41">
      <c r="H3" s="2" t="s">
        <v>9</v>
      </c>
      <c r="I3" s="3">
        <f>SUMIFS('💰 Sales Log'!$H$8:$H$67,'💰 Sales Log'!$B$8:$B$67,"&gt;="&amp;DATE(ReportYear,2,1),'💰 Sales Log'!$B$8:$B$67,"&lt;"&amp;EDATE(DATE(ReportYear,2,1),1))</f>
        <v>0</v>
      </c>
      <c r="J3" s="3">
        <f>SUMIFS('💰 Sales Log'!$M$8:$M$67,'💰 Sales Log'!$B$8:$B$67,"&gt;="&amp;DATE(ReportYear,2,1),'💰 Sales Log'!$B$8:$B$67,"&lt;"&amp;EDATE(DATE(ReportYear,2,1),1))</f>
        <v>0</v>
      </c>
      <c r="K3" s="3">
        <f>SUMIFS('🏪 Craft Fairs'!$K$8:$K$31,'🏪 Craft Fairs'!$C$8:$C$31,"&gt;="&amp;DATE(ReportYear,2,1),'🏪 Craft Fairs'!$C$8:$C$31,"&lt;"&amp;EDATE(DATE(ReportYear,2,1),1))</f>
        <v>0</v>
      </c>
      <c r="L3" s="3">
        <f>$I3-$J3-$K3</f>
        <v>0</v>
      </c>
      <c r="M3" s="4">
        <f>SUMIFS('💰 Sales Log'!$E$8:$E$67,'💰 Sales Log'!$B$8:$B$67,"&gt;="&amp;DATE(ReportYear,2,1),'💰 Sales Log'!$B$8:$B$67,"&lt;"&amp;EDATE(DATE(ReportYear,2,1),1))</f>
        <v>0</v>
      </c>
      <c r="N3" s="4">
        <f>COUNTIFS('🏪 Craft Fairs'!$C$8:$C$31,"&gt;="&amp;DATE(ReportYear,2,1),'🏪 Craft Fairs'!$C$8:$C$31,"&lt;"&amp;EDATE(DATE(ReportYear,2,1),1))</f>
        <v>0</v>
      </c>
      <c r="O3" s="4">
        <f>COUNTIFS('💰 Sales Log'!$B$8:$B$67,"&gt;="&amp;DATE(ReportYear,2,1),'💰 Sales Log'!$B$8:$B$67,"&lt;"&amp;EDATE(DATE(ReportYear,2,1),1))</f>
        <v>0</v>
      </c>
      <c r="P3" s="2" t="s">
        <v>23</v>
      </c>
      <c r="Q3" s="3">
        <f>SUMIFS('💰 Sales Log'!$H$8:$H$67,'💰 Sales Log'!$I$8:$I$67,$P3)</f>
        <v>0</v>
      </c>
      <c r="S3" s="2" t="s">
        <v>31</v>
      </c>
      <c r="T3" s="3">
        <f>SUM('🏪 Craft Fairs'!$G$8:$G$31)</f>
        <v>0</v>
      </c>
      <c r="V3" s="2">
        <f>IF('🧶 Product Catalog'!$C$9="","",'🧶 Product Catalog'!$C$9)</f>
        <v/>
      </c>
      <c r="W3" s="4">
        <f>IF($V3="",0,SUMIFS('💰 Sales Log'!$E$8:$E$67,'💰 Sales Log'!$D$8:$D$67,$V3))</f>
        <v>0</v>
      </c>
      <c r="X3" s="3">
        <f>IF($V3="",0,SUMIFS('💰 Sales Log'!$H$8:$H$67,'💰 Sales Log'!$D$8:$D$67,$V3))</f>
        <v>0</v>
      </c>
      <c r="Y3" s="4">
        <f>IF($V3="","",'🧶 Product Catalog'!$M$9)</f>
        <v/>
      </c>
      <c r="Z3" s="5">
        <f>IF($W3&gt;0,'🧶 Product Catalog'!$K$9,0)</f>
        <v>0</v>
      </c>
      <c r="AA3" s="4">
        <f>IF($V3="","",$W3)</f>
        <v/>
      </c>
      <c r="AB3" s="3">
        <f>IFERROR(ROUND($W3*'🧶 Product Catalog'!$J$9,2),0)</f>
        <v>0</v>
      </c>
      <c r="AC3" s="2">
        <f>IF('🏪 Craft Fairs'!$B$9="","",'🏪 Craft Fairs'!$B$9)</f>
        <v/>
      </c>
      <c r="AD3" s="3">
        <f>IF($AC3="","",'🏪 Craft Fairs'!$N$9)</f>
        <v/>
      </c>
      <c r="AE3" s="3">
        <f>IF($AC3="","",'🏪 Craft Fairs'!$P$9)</f>
        <v/>
      </c>
      <c r="AF3" s="4">
        <f>IF($AC3="","",'🏪 Craft Fairs'!$M$9)</f>
        <v/>
      </c>
      <c r="AG3" s="2">
        <f>IF(AND('🏪 Craft Fairs'!$C$9&lt;&gt;"",'🏪 Craft Fairs'!$C$9&gt;=TODAY()),'🏪 Craft Fairs'!$C$9,"")</f>
        <v/>
      </c>
      <c r="AH3" s="1" t="s">
        <v>46</v>
      </c>
      <c r="AI3" s="3">
        <f>SUM('💰 Sales Log'!$G$8:$G$67)</f>
        <v>0</v>
      </c>
      <c r="AK3" s="4">
        <f>IF(OR('🧶 Product Catalog'!$O$9="🟠 Low stock",'🧶 Product Catalog'!$O$9="🔴 Out of stock"),1+SUMPRODUCT(('🧶 Product Catalog'!$O$8:$O$8="🟠 Low stock")+('🧶 Product Catalog'!$O$8:$O$8="🔴 Out of stock")),"")</f>
        <v/>
      </c>
      <c r="AL3" s="4">
        <v>9</v>
      </c>
    </row>
    <row r="4" spans="8:41">
      <c r="H4" s="2" t="s">
        <v>10</v>
      </c>
      <c r="I4" s="3">
        <f>SUMIFS('💰 Sales Log'!$H$8:$H$67,'💰 Sales Log'!$B$8:$B$67,"&gt;="&amp;DATE(ReportYear,3,1),'💰 Sales Log'!$B$8:$B$67,"&lt;"&amp;EDATE(DATE(ReportYear,3,1),1))</f>
        <v>0</v>
      </c>
      <c r="J4" s="3">
        <f>SUMIFS('💰 Sales Log'!$M$8:$M$67,'💰 Sales Log'!$B$8:$B$67,"&gt;="&amp;DATE(ReportYear,3,1),'💰 Sales Log'!$B$8:$B$67,"&lt;"&amp;EDATE(DATE(ReportYear,3,1),1))</f>
        <v>0</v>
      </c>
      <c r="K4" s="3">
        <f>SUMIFS('🏪 Craft Fairs'!$K$8:$K$31,'🏪 Craft Fairs'!$C$8:$C$31,"&gt;="&amp;DATE(ReportYear,3,1),'🏪 Craft Fairs'!$C$8:$C$31,"&lt;"&amp;EDATE(DATE(ReportYear,3,1),1))</f>
        <v>0</v>
      </c>
      <c r="L4" s="3">
        <f>$I4-$J4-$K4</f>
        <v>0</v>
      </c>
      <c r="M4" s="4">
        <f>SUMIFS('💰 Sales Log'!$E$8:$E$67,'💰 Sales Log'!$B$8:$B$67,"&gt;="&amp;DATE(ReportYear,3,1),'💰 Sales Log'!$B$8:$B$67,"&lt;"&amp;EDATE(DATE(ReportYear,3,1),1))</f>
        <v>0</v>
      </c>
      <c r="N4" s="4">
        <f>COUNTIFS('🏪 Craft Fairs'!$C$8:$C$31,"&gt;="&amp;DATE(ReportYear,3,1),'🏪 Craft Fairs'!$C$8:$C$31,"&lt;"&amp;EDATE(DATE(ReportYear,3,1),1))</f>
        <v>0</v>
      </c>
      <c r="O4" s="4">
        <f>COUNTIFS('💰 Sales Log'!$B$8:$B$67,"&gt;="&amp;DATE(ReportYear,3,1),'💰 Sales Log'!$B$8:$B$67,"&lt;"&amp;EDATE(DATE(ReportYear,3,1),1))</f>
        <v>0</v>
      </c>
      <c r="P4" s="2" t="s">
        <v>24</v>
      </c>
      <c r="Q4" s="3">
        <f>SUMIFS('💰 Sales Log'!$H$8:$H$67,'💰 Sales Log'!$I$8:$I$67,$P4)</f>
        <v>0</v>
      </c>
      <c r="S4" s="2" t="s">
        <v>32</v>
      </c>
      <c r="T4" s="3">
        <f>SUM('🏪 Craft Fairs'!$H$8:$H$31)</f>
        <v>0</v>
      </c>
      <c r="V4" s="2">
        <f>IF('🧶 Product Catalog'!$C$10="","",'🧶 Product Catalog'!$C$10)</f>
        <v/>
      </c>
      <c r="W4" s="4">
        <f>IF($V4="",0,SUMIFS('💰 Sales Log'!$E$8:$E$67,'💰 Sales Log'!$D$8:$D$67,$V4))</f>
        <v>0</v>
      </c>
      <c r="X4" s="3">
        <f>IF($V4="",0,SUMIFS('💰 Sales Log'!$H$8:$H$67,'💰 Sales Log'!$D$8:$D$67,$V4))</f>
        <v>0</v>
      </c>
      <c r="Y4" s="4">
        <f>IF($V4="","",'🧶 Product Catalog'!$M$10)</f>
        <v/>
      </c>
      <c r="Z4" s="5">
        <f>IF($W4&gt;0,'🧶 Product Catalog'!$K$10,0)</f>
        <v>0</v>
      </c>
      <c r="AA4" s="4">
        <f>IF($V4="","",$W4)</f>
        <v/>
      </c>
      <c r="AB4" s="3">
        <f>IFERROR(ROUND($W4*'🧶 Product Catalog'!$J$10,2),0)</f>
        <v>0</v>
      </c>
      <c r="AC4" s="2">
        <f>IF('🏪 Craft Fairs'!$B$10="","",'🏪 Craft Fairs'!$B$10)</f>
        <v/>
      </c>
      <c r="AD4" s="3">
        <f>IF($AC4="","",'🏪 Craft Fairs'!$N$10)</f>
        <v/>
      </c>
      <c r="AE4" s="3">
        <f>IF($AC4="","",'🏪 Craft Fairs'!$P$10)</f>
        <v/>
      </c>
      <c r="AF4" s="4">
        <f>IF($AC4="","",'🏪 Craft Fairs'!$M$10)</f>
        <v/>
      </c>
      <c r="AG4" s="2">
        <f>IF(AND('🏪 Craft Fairs'!$C$10&lt;&gt;"",'🏪 Craft Fairs'!$C$10&gt;=TODAY()),'🏪 Craft Fairs'!$C$10,"")</f>
        <v/>
      </c>
      <c r="AH4" s="1" t="s">
        <v>47</v>
      </c>
      <c r="AI4" s="3">
        <f>SUMPRODUCT(IFERROR('💰 Sales Log'!$M$8:$M$67*1,0))</f>
        <v>0</v>
      </c>
      <c r="AK4" s="4">
        <f>IF(OR('🧶 Product Catalog'!$O$10="🟠 Low stock",'🧶 Product Catalog'!$O$10="🔴 Out of stock"),1+SUMPRODUCT(('🧶 Product Catalog'!$O$8:$O$9="🟠 Low stock")+('🧶 Product Catalog'!$O$8:$O$9="🔴 Out of stock")),"")</f>
        <v/>
      </c>
      <c r="AL4" s="4">
        <v>10</v>
      </c>
    </row>
    <row r="5" spans="8:41">
      <c r="H5" s="2" t="s">
        <v>11</v>
      </c>
      <c r="I5" s="3">
        <f>SUMIFS('💰 Sales Log'!$H$8:$H$67,'💰 Sales Log'!$B$8:$B$67,"&gt;="&amp;DATE(ReportYear,4,1),'💰 Sales Log'!$B$8:$B$67,"&lt;"&amp;EDATE(DATE(ReportYear,4,1),1))</f>
        <v>0</v>
      </c>
      <c r="J5" s="3">
        <f>SUMIFS('💰 Sales Log'!$M$8:$M$67,'💰 Sales Log'!$B$8:$B$67,"&gt;="&amp;DATE(ReportYear,4,1),'💰 Sales Log'!$B$8:$B$67,"&lt;"&amp;EDATE(DATE(ReportYear,4,1),1))</f>
        <v>0</v>
      </c>
      <c r="K5" s="3">
        <f>SUMIFS('🏪 Craft Fairs'!$K$8:$K$31,'🏪 Craft Fairs'!$C$8:$C$31,"&gt;="&amp;DATE(ReportYear,4,1),'🏪 Craft Fairs'!$C$8:$C$31,"&lt;"&amp;EDATE(DATE(ReportYear,4,1),1))</f>
        <v>0</v>
      </c>
      <c r="L5" s="3">
        <f>$I5-$J5-$K5</f>
        <v>0</v>
      </c>
      <c r="M5" s="4">
        <f>SUMIFS('💰 Sales Log'!$E$8:$E$67,'💰 Sales Log'!$B$8:$B$67,"&gt;="&amp;DATE(ReportYear,4,1),'💰 Sales Log'!$B$8:$B$67,"&lt;"&amp;EDATE(DATE(ReportYear,4,1),1))</f>
        <v>0</v>
      </c>
      <c r="N5" s="4">
        <f>COUNTIFS('🏪 Craft Fairs'!$C$8:$C$31,"&gt;="&amp;DATE(ReportYear,4,1),'🏪 Craft Fairs'!$C$8:$C$31,"&lt;"&amp;EDATE(DATE(ReportYear,4,1),1))</f>
        <v>0</v>
      </c>
      <c r="O5" s="4">
        <f>COUNTIFS('💰 Sales Log'!$B$8:$B$67,"&gt;="&amp;DATE(ReportYear,4,1),'💰 Sales Log'!$B$8:$B$67,"&lt;"&amp;EDATE(DATE(ReportYear,4,1),1))</f>
        <v>0</v>
      </c>
      <c r="P5" s="2" t="s">
        <v>25</v>
      </c>
      <c r="Q5" s="3">
        <f>SUMIFS('💰 Sales Log'!$H$8:$H$67,'💰 Sales Log'!$I$8:$I$67,$P5)</f>
        <v>0</v>
      </c>
      <c r="S5" s="2" t="s">
        <v>33</v>
      </c>
      <c r="T5" s="3">
        <f>SUM('🏪 Craft Fairs'!$I$8:$I$31)</f>
        <v>0</v>
      </c>
      <c r="V5" s="2">
        <f>IF('🧶 Product Catalog'!$C$11="","",'🧶 Product Catalog'!$C$11)</f>
        <v/>
      </c>
      <c r="W5" s="4">
        <f>IF($V5="",0,SUMIFS('💰 Sales Log'!$E$8:$E$67,'💰 Sales Log'!$D$8:$D$67,$V5))</f>
        <v>0</v>
      </c>
      <c r="X5" s="3">
        <f>IF($V5="",0,SUMIFS('💰 Sales Log'!$H$8:$H$67,'💰 Sales Log'!$D$8:$D$67,$V5))</f>
        <v>0</v>
      </c>
      <c r="Y5" s="4">
        <f>IF($V5="","",'🧶 Product Catalog'!$M$11)</f>
        <v/>
      </c>
      <c r="Z5" s="5">
        <f>IF($W5&gt;0,'🧶 Product Catalog'!$K$11,0)</f>
        <v>0</v>
      </c>
      <c r="AA5" s="4">
        <f>IF($V5="","",$W5)</f>
        <v/>
      </c>
      <c r="AB5" s="3">
        <f>IFERROR(ROUND($W5*'🧶 Product Catalog'!$J$11,2),0)</f>
        <v>0</v>
      </c>
      <c r="AC5" s="2">
        <f>IF('🏪 Craft Fairs'!$B$11="","",'🏪 Craft Fairs'!$B$11)</f>
        <v/>
      </c>
      <c r="AD5" s="3">
        <f>IF($AC5="","",'🏪 Craft Fairs'!$N$11)</f>
        <v/>
      </c>
      <c r="AE5" s="3">
        <f>IF($AC5="","",'🏪 Craft Fairs'!$P$11)</f>
        <v/>
      </c>
      <c r="AF5" s="4">
        <f>IF($AC5="","",'🏪 Craft Fairs'!$M$11)</f>
        <v/>
      </c>
      <c r="AG5" s="2">
        <f>IF(AND('🏪 Craft Fairs'!$C$11&lt;&gt;"",'🏪 Craft Fairs'!$C$11&gt;=TODAY()),'🏪 Craft Fairs'!$C$11,"")</f>
        <v/>
      </c>
      <c r="AH5" s="1" t="s">
        <v>48</v>
      </c>
      <c r="AI5" s="3">
        <f>SUMIFS('🏪 Craft Fairs'!$K$8:$K$31,'🏪 Craft Fairs'!$C$8:$C$31,"&lt;="&amp;TODAY())</f>
        <v>0</v>
      </c>
      <c r="AK5" s="4">
        <f>IF(OR('🧶 Product Catalog'!$O$11="🟠 Low stock",'🧶 Product Catalog'!$O$11="🔴 Out of stock"),1+SUMPRODUCT(('🧶 Product Catalog'!$O$8:$O$10="🟠 Low stock")+('🧶 Product Catalog'!$O$8:$O$10="🔴 Out of stock")),"")</f>
        <v/>
      </c>
      <c r="AL5" s="4">
        <v>11</v>
      </c>
    </row>
    <row r="6" spans="8:41">
      <c r="H6" s="2" t="s">
        <v>12</v>
      </c>
      <c r="I6" s="3">
        <f>SUMIFS('💰 Sales Log'!$H$8:$H$67,'💰 Sales Log'!$B$8:$B$67,"&gt;="&amp;DATE(ReportYear,5,1),'💰 Sales Log'!$B$8:$B$67,"&lt;"&amp;EDATE(DATE(ReportYear,5,1),1))</f>
        <v>0</v>
      </c>
      <c r="J6" s="3">
        <f>SUMIFS('💰 Sales Log'!$M$8:$M$67,'💰 Sales Log'!$B$8:$B$67,"&gt;="&amp;DATE(ReportYear,5,1),'💰 Sales Log'!$B$8:$B$67,"&lt;"&amp;EDATE(DATE(ReportYear,5,1),1))</f>
        <v>0</v>
      </c>
      <c r="K6" s="3">
        <f>SUMIFS('🏪 Craft Fairs'!$K$8:$K$31,'🏪 Craft Fairs'!$C$8:$C$31,"&gt;="&amp;DATE(ReportYear,5,1),'🏪 Craft Fairs'!$C$8:$C$31,"&lt;"&amp;EDATE(DATE(ReportYear,5,1),1))</f>
        <v>0</v>
      </c>
      <c r="L6" s="3">
        <f>$I6-$J6-$K6</f>
        <v>0</v>
      </c>
      <c r="M6" s="4">
        <f>SUMIFS('💰 Sales Log'!$E$8:$E$67,'💰 Sales Log'!$B$8:$B$67,"&gt;="&amp;DATE(ReportYear,5,1),'💰 Sales Log'!$B$8:$B$67,"&lt;"&amp;EDATE(DATE(ReportYear,5,1),1))</f>
        <v>0</v>
      </c>
      <c r="N6" s="4">
        <f>COUNTIFS('🏪 Craft Fairs'!$C$8:$C$31,"&gt;="&amp;DATE(ReportYear,5,1),'🏪 Craft Fairs'!$C$8:$C$31,"&lt;"&amp;EDATE(DATE(ReportYear,5,1),1))</f>
        <v>0</v>
      </c>
      <c r="O6" s="4">
        <f>COUNTIFS('💰 Sales Log'!$B$8:$B$67,"&gt;="&amp;DATE(ReportYear,5,1),'💰 Sales Log'!$B$8:$B$67,"&lt;"&amp;EDATE(DATE(ReportYear,5,1),1))</f>
        <v>0</v>
      </c>
      <c r="P6" s="2" t="s">
        <v>26</v>
      </c>
      <c r="Q6" s="3">
        <f>SUMIFS('💰 Sales Log'!$H$8:$H$67,'💰 Sales Log'!$I$8:$I$67,$P6)</f>
        <v>0</v>
      </c>
      <c r="S6" s="2" t="s">
        <v>34</v>
      </c>
      <c r="T6" s="3">
        <f>SUM('🏪 Craft Fairs'!$J$8:$J$31)</f>
        <v>0</v>
      </c>
      <c r="V6" s="2">
        <f>IF('🧶 Product Catalog'!$C$12="","",'🧶 Product Catalog'!$C$12)</f>
        <v/>
      </c>
      <c r="W6" s="4">
        <f>IF($V6="",0,SUMIFS('💰 Sales Log'!$E$8:$E$67,'💰 Sales Log'!$D$8:$D$67,$V6))</f>
        <v>0</v>
      </c>
      <c r="X6" s="3">
        <f>IF($V6="",0,SUMIFS('💰 Sales Log'!$H$8:$H$67,'💰 Sales Log'!$D$8:$D$67,$V6))</f>
        <v>0</v>
      </c>
      <c r="Y6" s="4">
        <f>IF($V6="","",'🧶 Product Catalog'!$M$12)</f>
        <v/>
      </c>
      <c r="Z6" s="5">
        <f>IF($W6&gt;0,'🧶 Product Catalog'!$K$12,0)</f>
        <v>0</v>
      </c>
      <c r="AA6" s="4">
        <f>IF($V6="","",$W6)</f>
        <v/>
      </c>
      <c r="AB6" s="3">
        <f>IFERROR(ROUND($W6*'🧶 Product Catalog'!$J$12,2),0)</f>
        <v>0</v>
      </c>
      <c r="AC6" s="2">
        <f>IF('🏪 Craft Fairs'!$B$12="","",'🏪 Craft Fairs'!$B$12)</f>
        <v/>
      </c>
      <c r="AD6" s="3">
        <f>IF($AC6="","",'🏪 Craft Fairs'!$N$12)</f>
        <v/>
      </c>
      <c r="AE6" s="3">
        <f>IF($AC6="","",'🏪 Craft Fairs'!$P$12)</f>
        <v/>
      </c>
      <c r="AF6" s="4">
        <f>IF($AC6="","",'🏪 Craft Fairs'!$M$12)</f>
        <v/>
      </c>
      <c r="AG6" s="2">
        <f>IF(AND('🏪 Craft Fairs'!$C$12&lt;&gt;"",'🏪 Craft Fairs'!$C$12&gt;=TODAY()),'🏪 Craft Fairs'!$C$12,"")</f>
        <v/>
      </c>
      <c r="AH6" s="1" t="s">
        <v>49</v>
      </c>
      <c r="AI6" s="3">
        <f>$AI$2-$AI$4-$AI$5</f>
        <v>0</v>
      </c>
      <c r="AK6" s="4">
        <f>IF(OR('🧶 Product Catalog'!$O$12="🟠 Low stock",'🧶 Product Catalog'!$O$12="🔴 Out of stock"),1+SUMPRODUCT(('🧶 Product Catalog'!$O$8:$O$11="🟠 Low stock")+('🧶 Product Catalog'!$O$8:$O$11="🔴 Out of stock")),"")</f>
        <v/>
      </c>
      <c r="AL6" s="4">
        <v>12</v>
      </c>
    </row>
    <row r="7" spans="8:41">
      <c r="H7" s="2" t="s">
        <v>13</v>
      </c>
      <c r="I7" s="3">
        <f>SUMIFS('💰 Sales Log'!$H$8:$H$67,'💰 Sales Log'!$B$8:$B$67,"&gt;="&amp;DATE(ReportYear,6,1),'💰 Sales Log'!$B$8:$B$67,"&lt;"&amp;EDATE(DATE(ReportYear,6,1),1))</f>
        <v>0</v>
      </c>
      <c r="J7" s="3">
        <f>SUMIFS('💰 Sales Log'!$M$8:$M$67,'💰 Sales Log'!$B$8:$B$67,"&gt;="&amp;DATE(ReportYear,6,1),'💰 Sales Log'!$B$8:$B$67,"&lt;"&amp;EDATE(DATE(ReportYear,6,1),1))</f>
        <v>0</v>
      </c>
      <c r="K7" s="3">
        <f>SUMIFS('🏪 Craft Fairs'!$K$8:$K$31,'🏪 Craft Fairs'!$C$8:$C$31,"&gt;="&amp;DATE(ReportYear,6,1),'🏪 Craft Fairs'!$C$8:$C$31,"&lt;"&amp;EDATE(DATE(ReportYear,6,1),1))</f>
        <v>0</v>
      </c>
      <c r="L7" s="3">
        <f>$I7-$J7-$K7</f>
        <v>0</v>
      </c>
      <c r="M7" s="4">
        <f>SUMIFS('💰 Sales Log'!$E$8:$E$67,'💰 Sales Log'!$B$8:$B$67,"&gt;="&amp;DATE(ReportYear,6,1),'💰 Sales Log'!$B$8:$B$67,"&lt;"&amp;EDATE(DATE(ReportYear,6,1),1))</f>
        <v>0</v>
      </c>
      <c r="N7" s="4">
        <f>COUNTIFS('🏪 Craft Fairs'!$C$8:$C$31,"&gt;="&amp;DATE(ReportYear,6,1),'🏪 Craft Fairs'!$C$8:$C$31,"&lt;"&amp;EDATE(DATE(ReportYear,6,1),1))</f>
        <v>0</v>
      </c>
      <c r="O7" s="4">
        <f>COUNTIFS('💰 Sales Log'!$B$8:$B$67,"&gt;="&amp;DATE(ReportYear,6,1),'💰 Sales Log'!$B$8:$B$67,"&lt;"&amp;EDATE(DATE(ReportYear,6,1),1))</f>
        <v>0</v>
      </c>
      <c r="P7" s="2" t="s">
        <v>27</v>
      </c>
      <c r="Q7" s="3">
        <f>SUMIFS('💰 Sales Log'!$H$8:$H$67,'💰 Sales Log'!$I$8:$I$67,$P7)</f>
        <v>0</v>
      </c>
      <c r="V7" s="2">
        <f>IF('🧶 Product Catalog'!$C$13="","",'🧶 Product Catalog'!$C$13)</f>
        <v/>
      </c>
      <c r="W7" s="4">
        <f>IF($V7="",0,SUMIFS('💰 Sales Log'!$E$8:$E$67,'💰 Sales Log'!$D$8:$D$67,$V7))</f>
        <v>0</v>
      </c>
      <c r="X7" s="3">
        <f>IF($V7="",0,SUMIFS('💰 Sales Log'!$H$8:$H$67,'💰 Sales Log'!$D$8:$D$67,$V7))</f>
        <v>0</v>
      </c>
      <c r="Y7" s="4">
        <f>IF($V7="","",'🧶 Product Catalog'!$M$13)</f>
        <v/>
      </c>
      <c r="Z7" s="5">
        <f>IF($W7&gt;0,'🧶 Product Catalog'!$K$13,0)</f>
        <v>0</v>
      </c>
      <c r="AA7" s="4">
        <f>IF($V7="","",$W7)</f>
        <v/>
      </c>
      <c r="AB7" s="3">
        <f>IFERROR(ROUND($W7*'🧶 Product Catalog'!$J$13,2),0)</f>
        <v>0</v>
      </c>
      <c r="AC7" s="2">
        <f>IF('🏪 Craft Fairs'!$B$13="","",'🏪 Craft Fairs'!$B$13)</f>
        <v/>
      </c>
      <c r="AD7" s="3">
        <f>IF($AC7="","",'🏪 Craft Fairs'!$N$13)</f>
        <v/>
      </c>
      <c r="AE7" s="3">
        <f>IF($AC7="","",'🏪 Craft Fairs'!$P$13)</f>
        <v/>
      </c>
      <c r="AF7" s="4">
        <f>IF($AC7="","",'🏪 Craft Fairs'!$M$13)</f>
        <v/>
      </c>
      <c r="AG7" s="2">
        <f>IF(AND('🏪 Craft Fairs'!$C$13&lt;&gt;"",'🏪 Craft Fairs'!$C$13&gt;=TODAY()),'🏪 Craft Fairs'!$C$13,"")</f>
        <v/>
      </c>
      <c r="AH7" s="1" t="s">
        <v>50</v>
      </c>
      <c r="AI7" s="5">
        <f>IFERROR($AI$6/$AI$2,0)</f>
        <v>0</v>
      </c>
      <c r="AK7" s="4">
        <f>IF(OR('🧶 Product Catalog'!$O$13="🟠 Low stock",'🧶 Product Catalog'!$O$13="🔴 Out of stock"),1+SUMPRODUCT(('🧶 Product Catalog'!$O$8:$O$12="🟠 Low stock")+('🧶 Product Catalog'!$O$8:$O$12="🔴 Out of stock")),"")</f>
        <v/>
      </c>
      <c r="AL7" s="4">
        <v>13</v>
      </c>
    </row>
    <row r="8" spans="8:41">
      <c r="H8" s="2" t="s">
        <v>14</v>
      </c>
      <c r="I8" s="3">
        <f>SUMIFS('💰 Sales Log'!$H$8:$H$67,'💰 Sales Log'!$B$8:$B$67,"&gt;="&amp;DATE(ReportYear,7,1),'💰 Sales Log'!$B$8:$B$67,"&lt;"&amp;EDATE(DATE(ReportYear,7,1),1))</f>
        <v>0</v>
      </c>
      <c r="J8" s="3">
        <f>SUMIFS('💰 Sales Log'!$M$8:$M$67,'💰 Sales Log'!$B$8:$B$67,"&gt;="&amp;DATE(ReportYear,7,1),'💰 Sales Log'!$B$8:$B$67,"&lt;"&amp;EDATE(DATE(ReportYear,7,1),1))</f>
        <v>0</v>
      </c>
      <c r="K8" s="3">
        <f>SUMIFS('🏪 Craft Fairs'!$K$8:$K$31,'🏪 Craft Fairs'!$C$8:$C$31,"&gt;="&amp;DATE(ReportYear,7,1),'🏪 Craft Fairs'!$C$8:$C$31,"&lt;"&amp;EDATE(DATE(ReportYear,7,1),1))</f>
        <v>0</v>
      </c>
      <c r="L8" s="3">
        <f>$I8-$J8-$K8</f>
        <v>0</v>
      </c>
      <c r="M8" s="4">
        <f>SUMIFS('💰 Sales Log'!$E$8:$E$67,'💰 Sales Log'!$B$8:$B$67,"&gt;="&amp;DATE(ReportYear,7,1),'💰 Sales Log'!$B$8:$B$67,"&lt;"&amp;EDATE(DATE(ReportYear,7,1),1))</f>
        <v>0</v>
      </c>
      <c r="N8" s="4">
        <f>COUNTIFS('🏪 Craft Fairs'!$C$8:$C$31,"&gt;="&amp;DATE(ReportYear,7,1),'🏪 Craft Fairs'!$C$8:$C$31,"&lt;"&amp;EDATE(DATE(ReportYear,7,1),1))</f>
        <v>0</v>
      </c>
      <c r="O8" s="4">
        <f>COUNTIFS('💰 Sales Log'!$B$8:$B$67,"&gt;="&amp;DATE(ReportYear,7,1),'💰 Sales Log'!$B$8:$B$67,"&lt;"&amp;EDATE(DATE(ReportYear,7,1),1))</f>
        <v>0</v>
      </c>
      <c r="V8" s="2">
        <f>IF('🧶 Product Catalog'!$C$14="","",'🧶 Product Catalog'!$C$14)</f>
        <v/>
      </c>
      <c r="W8" s="4">
        <f>IF($V8="",0,SUMIFS('💰 Sales Log'!$E$8:$E$67,'💰 Sales Log'!$D$8:$D$67,$V8))</f>
        <v>0</v>
      </c>
      <c r="X8" s="3">
        <f>IF($V8="",0,SUMIFS('💰 Sales Log'!$H$8:$H$67,'💰 Sales Log'!$D$8:$D$67,$V8))</f>
        <v>0</v>
      </c>
      <c r="Y8" s="4">
        <f>IF($V8="","",'🧶 Product Catalog'!$M$14)</f>
        <v/>
      </c>
      <c r="Z8" s="5">
        <f>IF($W8&gt;0,'🧶 Product Catalog'!$K$14,0)</f>
        <v>0</v>
      </c>
      <c r="AA8" s="4">
        <f>IF($V8="","",$W8)</f>
        <v/>
      </c>
      <c r="AB8" s="3">
        <f>IFERROR(ROUND($W8*'🧶 Product Catalog'!$J$14,2),0)</f>
        <v>0</v>
      </c>
      <c r="AC8" s="2">
        <f>IF('🏪 Craft Fairs'!$B$14="","",'🏪 Craft Fairs'!$B$14)</f>
        <v/>
      </c>
      <c r="AD8" s="3">
        <f>IF($AC8="","",'🏪 Craft Fairs'!$N$14)</f>
        <v/>
      </c>
      <c r="AE8" s="3">
        <f>IF($AC8="","",'🏪 Craft Fairs'!$P$14)</f>
        <v/>
      </c>
      <c r="AF8" s="4">
        <f>IF($AC8="","",'🏪 Craft Fairs'!$M$14)</f>
        <v/>
      </c>
      <c r="AG8" s="2">
        <f>IF(AND('🏪 Craft Fairs'!$C$14&lt;&gt;"",'🏪 Craft Fairs'!$C$14&gt;=TODAY()),'🏪 Craft Fairs'!$C$14,"")</f>
        <v/>
      </c>
      <c r="AH8" s="1" t="s">
        <v>51</v>
      </c>
      <c r="AI8" s="4">
        <f>SUM('💰 Sales Log'!$E$8:$E$67)</f>
        <v>0</v>
      </c>
      <c r="AK8" s="4">
        <f>IF(OR('🧶 Product Catalog'!$O$14="🟠 Low stock",'🧶 Product Catalog'!$O$14="🔴 Out of stock"),1+SUMPRODUCT(('🧶 Product Catalog'!$O$8:$O$13="🟠 Low stock")+('🧶 Product Catalog'!$O$8:$O$13="🔴 Out of stock")),"")</f>
        <v/>
      </c>
      <c r="AL8" s="4">
        <v>14</v>
      </c>
    </row>
    <row r="9" spans="8:41">
      <c r="H9" s="2" t="s">
        <v>15</v>
      </c>
      <c r="I9" s="3">
        <f>SUMIFS('💰 Sales Log'!$H$8:$H$67,'💰 Sales Log'!$B$8:$B$67,"&gt;="&amp;DATE(ReportYear,8,1),'💰 Sales Log'!$B$8:$B$67,"&lt;"&amp;EDATE(DATE(ReportYear,8,1),1))</f>
        <v>0</v>
      </c>
      <c r="J9" s="3">
        <f>SUMIFS('💰 Sales Log'!$M$8:$M$67,'💰 Sales Log'!$B$8:$B$67,"&gt;="&amp;DATE(ReportYear,8,1),'💰 Sales Log'!$B$8:$B$67,"&lt;"&amp;EDATE(DATE(ReportYear,8,1),1))</f>
        <v>0</v>
      </c>
      <c r="K9" s="3">
        <f>SUMIFS('🏪 Craft Fairs'!$K$8:$K$31,'🏪 Craft Fairs'!$C$8:$C$31,"&gt;="&amp;DATE(ReportYear,8,1),'🏪 Craft Fairs'!$C$8:$C$31,"&lt;"&amp;EDATE(DATE(ReportYear,8,1),1))</f>
        <v>0</v>
      </c>
      <c r="L9" s="3">
        <f>$I9-$J9-$K9</f>
        <v>0</v>
      </c>
      <c r="M9" s="4">
        <f>SUMIFS('💰 Sales Log'!$E$8:$E$67,'💰 Sales Log'!$B$8:$B$67,"&gt;="&amp;DATE(ReportYear,8,1),'💰 Sales Log'!$B$8:$B$67,"&lt;"&amp;EDATE(DATE(ReportYear,8,1),1))</f>
        <v>0</v>
      </c>
      <c r="N9" s="4">
        <f>COUNTIFS('🏪 Craft Fairs'!$C$8:$C$31,"&gt;="&amp;DATE(ReportYear,8,1),'🏪 Craft Fairs'!$C$8:$C$31,"&lt;"&amp;EDATE(DATE(ReportYear,8,1),1))</f>
        <v>0</v>
      </c>
      <c r="O9" s="4">
        <f>COUNTIFS('💰 Sales Log'!$B$8:$B$67,"&gt;="&amp;DATE(ReportYear,8,1),'💰 Sales Log'!$B$8:$B$67,"&lt;"&amp;EDATE(DATE(ReportYear,8,1),1))</f>
        <v>0</v>
      </c>
      <c r="V9" s="2">
        <f>IF('🧶 Product Catalog'!$C$15="","",'🧶 Product Catalog'!$C$15)</f>
        <v/>
      </c>
      <c r="W9" s="4">
        <f>IF($V9="",0,SUMIFS('💰 Sales Log'!$E$8:$E$67,'💰 Sales Log'!$D$8:$D$67,$V9))</f>
        <v>0</v>
      </c>
      <c r="X9" s="3">
        <f>IF($V9="",0,SUMIFS('💰 Sales Log'!$H$8:$H$67,'💰 Sales Log'!$D$8:$D$67,$V9))</f>
        <v>0</v>
      </c>
      <c r="Y9" s="4">
        <f>IF($V9="","",'🧶 Product Catalog'!$M$15)</f>
        <v/>
      </c>
      <c r="Z9" s="5">
        <f>IF($W9&gt;0,'🧶 Product Catalog'!$K$15,0)</f>
        <v>0</v>
      </c>
      <c r="AA9" s="4">
        <f>IF($V9="","",$W9)</f>
        <v/>
      </c>
      <c r="AB9" s="3">
        <f>IFERROR(ROUND($W9*'🧶 Product Catalog'!$J$15,2),0)</f>
        <v>0</v>
      </c>
      <c r="AC9" s="2">
        <f>IF('🏪 Craft Fairs'!$B$15="","",'🏪 Craft Fairs'!$B$15)</f>
        <v/>
      </c>
      <c r="AD9" s="3">
        <f>IF($AC9="","",'🏪 Craft Fairs'!$N$15)</f>
        <v/>
      </c>
      <c r="AE9" s="3">
        <f>IF($AC9="","",'🏪 Craft Fairs'!$P$15)</f>
        <v/>
      </c>
      <c r="AF9" s="4">
        <f>IF($AC9="","",'🏪 Craft Fairs'!$M$15)</f>
        <v/>
      </c>
      <c r="AG9" s="2">
        <f>IF(AND('🏪 Craft Fairs'!$C$15&lt;&gt;"",'🏪 Craft Fairs'!$C$15&gt;=TODAY()),'🏪 Craft Fairs'!$C$15,"")</f>
        <v/>
      </c>
      <c r="AH9" s="1" t="s">
        <v>52</v>
      </c>
      <c r="AI9" s="4">
        <f>COUNT('💰 Sales Log'!$H$8:$H$67)</f>
        <v>0</v>
      </c>
      <c r="AK9" s="4">
        <f>IF(OR('🧶 Product Catalog'!$O$15="🟠 Low stock",'🧶 Product Catalog'!$O$15="🔴 Out of stock"),1+SUMPRODUCT(('🧶 Product Catalog'!$O$8:$O$14="🟠 Low stock")+('🧶 Product Catalog'!$O$8:$O$14="🔴 Out of stock")),"")</f>
        <v/>
      </c>
      <c r="AL9" s="4">
        <v>15</v>
      </c>
    </row>
    <row r="10" spans="8:41">
      <c r="H10" s="2" t="s">
        <v>16</v>
      </c>
      <c r="I10" s="3">
        <f>SUMIFS('💰 Sales Log'!$H$8:$H$67,'💰 Sales Log'!$B$8:$B$67,"&gt;="&amp;DATE(ReportYear,9,1),'💰 Sales Log'!$B$8:$B$67,"&lt;"&amp;EDATE(DATE(ReportYear,9,1),1))</f>
        <v>0</v>
      </c>
      <c r="J10" s="3">
        <f>SUMIFS('💰 Sales Log'!$M$8:$M$67,'💰 Sales Log'!$B$8:$B$67,"&gt;="&amp;DATE(ReportYear,9,1),'💰 Sales Log'!$B$8:$B$67,"&lt;"&amp;EDATE(DATE(ReportYear,9,1),1))</f>
        <v>0</v>
      </c>
      <c r="K10" s="3">
        <f>SUMIFS('🏪 Craft Fairs'!$K$8:$K$31,'🏪 Craft Fairs'!$C$8:$C$31,"&gt;="&amp;DATE(ReportYear,9,1),'🏪 Craft Fairs'!$C$8:$C$31,"&lt;"&amp;EDATE(DATE(ReportYear,9,1),1))</f>
        <v>0</v>
      </c>
      <c r="L10" s="3">
        <f>$I10-$J10-$K10</f>
        <v>0</v>
      </c>
      <c r="M10" s="4">
        <f>SUMIFS('💰 Sales Log'!$E$8:$E$67,'💰 Sales Log'!$B$8:$B$67,"&gt;="&amp;DATE(ReportYear,9,1),'💰 Sales Log'!$B$8:$B$67,"&lt;"&amp;EDATE(DATE(ReportYear,9,1),1))</f>
        <v>0</v>
      </c>
      <c r="N10" s="4">
        <f>COUNTIFS('🏪 Craft Fairs'!$C$8:$C$31,"&gt;="&amp;DATE(ReportYear,9,1),'🏪 Craft Fairs'!$C$8:$C$31,"&lt;"&amp;EDATE(DATE(ReportYear,9,1),1))</f>
        <v>0</v>
      </c>
      <c r="O10" s="4">
        <f>COUNTIFS('💰 Sales Log'!$B$8:$B$67,"&gt;="&amp;DATE(ReportYear,9,1),'💰 Sales Log'!$B$8:$B$67,"&lt;"&amp;EDATE(DATE(ReportYear,9,1),1))</f>
        <v>0</v>
      </c>
      <c r="V10" s="2">
        <f>IF('🧶 Product Catalog'!$C$16="","",'🧶 Product Catalog'!$C$16)</f>
        <v/>
      </c>
      <c r="W10" s="4">
        <f>IF($V10="",0,SUMIFS('💰 Sales Log'!$E$8:$E$67,'💰 Sales Log'!$D$8:$D$67,$V10))</f>
        <v>0</v>
      </c>
      <c r="X10" s="3">
        <f>IF($V10="",0,SUMIFS('💰 Sales Log'!$H$8:$H$67,'💰 Sales Log'!$D$8:$D$67,$V10))</f>
        <v>0</v>
      </c>
      <c r="Y10" s="4">
        <f>IF($V10="","",'🧶 Product Catalog'!$M$16)</f>
        <v/>
      </c>
      <c r="Z10" s="5">
        <f>IF($W10&gt;0,'🧶 Product Catalog'!$K$16,0)</f>
        <v>0</v>
      </c>
      <c r="AA10" s="4">
        <f>IF($V10="","",$W10)</f>
        <v/>
      </c>
      <c r="AB10" s="3">
        <f>IFERROR(ROUND($W10*'🧶 Product Catalog'!$J$16,2),0)</f>
        <v>0</v>
      </c>
      <c r="AC10" s="2">
        <f>IF('🏪 Craft Fairs'!$B$16="","",'🏪 Craft Fairs'!$B$16)</f>
        <v/>
      </c>
      <c r="AD10" s="3">
        <f>IF($AC10="","",'🏪 Craft Fairs'!$N$16)</f>
        <v/>
      </c>
      <c r="AE10" s="3">
        <f>IF($AC10="","",'🏪 Craft Fairs'!$P$16)</f>
        <v/>
      </c>
      <c r="AF10" s="4">
        <f>IF($AC10="","",'🏪 Craft Fairs'!$M$16)</f>
        <v/>
      </c>
      <c r="AG10" s="2">
        <f>IF(AND('🏪 Craft Fairs'!$C$16&lt;&gt;"",'🏪 Craft Fairs'!$C$16&gt;=TODAY()),'🏪 Craft Fairs'!$C$16,"")</f>
        <v/>
      </c>
      <c r="AH10" s="1" t="s">
        <v>53</v>
      </c>
      <c r="AI10" s="3">
        <f>IFERROR($AI$2/$AI$9,0)</f>
        <v>0</v>
      </c>
      <c r="AK10" s="4">
        <f>IF(OR('🧶 Product Catalog'!$O$16="🟠 Low stock",'🧶 Product Catalog'!$O$16="🔴 Out of stock"),1+SUMPRODUCT(('🧶 Product Catalog'!$O$8:$O$15="🟠 Low stock")+('🧶 Product Catalog'!$O$8:$O$15="🔴 Out of stock")),"")</f>
        <v/>
      </c>
      <c r="AL10" s="4">
        <v>16</v>
      </c>
    </row>
    <row r="11" spans="8:41">
      <c r="H11" s="2" t="s">
        <v>17</v>
      </c>
      <c r="I11" s="3">
        <f>SUMIFS('💰 Sales Log'!$H$8:$H$67,'💰 Sales Log'!$B$8:$B$67,"&gt;="&amp;DATE(ReportYear,10,1),'💰 Sales Log'!$B$8:$B$67,"&lt;"&amp;EDATE(DATE(ReportYear,10,1),1))</f>
        <v>0</v>
      </c>
      <c r="J11" s="3">
        <f>SUMIFS('💰 Sales Log'!$M$8:$M$67,'💰 Sales Log'!$B$8:$B$67,"&gt;="&amp;DATE(ReportYear,10,1),'💰 Sales Log'!$B$8:$B$67,"&lt;"&amp;EDATE(DATE(ReportYear,10,1),1))</f>
        <v>0</v>
      </c>
      <c r="K11" s="3">
        <f>SUMIFS('🏪 Craft Fairs'!$K$8:$K$31,'🏪 Craft Fairs'!$C$8:$C$31,"&gt;="&amp;DATE(ReportYear,10,1),'🏪 Craft Fairs'!$C$8:$C$31,"&lt;"&amp;EDATE(DATE(ReportYear,10,1),1))</f>
        <v>0</v>
      </c>
      <c r="L11" s="3">
        <f>$I11-$J11-$K11</f>
        <v>0</v>
      </c>
      <c r="M11" s="4">
        <f>SUMIFS('💰 Sales Log'!$E$8:$E$67,'💰 Sales Log'!$B$8:$B$67,"&gt;="&amp;DATE(ReportYear,10,1),'💰 Sales Log'!$B$8:$B$67,"&lt;"&amp;EDATE(DATE(ReportYear,10,1),1))</f>
        <v>0</v>
      </c>
      <c r="N11" s="4">
        <f>COUNTIFS('🏪 Craft Fairs'!$C$8:$C$31,"&gt;="&amp;DATE(ReportYear,10,1),'🏪 Craft Fairs'!$C$8:$C$31,"&lt;"&amp;EDATE(DATE(ReportYear,10,1),1))</f>
        <v>0</v>
      </c>
      <c r="O11" s="4">
        <f>COUNTIFS('💰 Sales Log'!$B$8:$B$67,"&gt;="&amp;DATE(ReportYear,10,1),'💰 Sales Log'!$B$8:$B$67,"&lt;"&amp;EDATE(DATE(ReportYear,10,1),1))</f>
        <v>0</v>
      </c>
      <c r="V11" s="2">
        <f>IF('🧶 Product Catalog'!$C$17="","",'🧶 Product Catalog'!$C$17)</f>
        <v/>
      </c>
      <c r="W11" s="4">
        <f>IF($V11="",0,SUMIFS('💰 Sales Log'!$E$8:$E$67,'💰 Sales Log'!$D$8:$D$67,$V11))</f>
        <v>0</v>
      </c>
      <c r="X11" s="3">
        <f>IF($V11="",0,SUMIFS('💰 Sales Log'!$H$8:$H$67,'💰 Sales Log'!$D$8:$D$67,$V11))</f>
        <v>0</v>
      </c>
      <c r="Y11" s="4">
        <f>IF($V11="","",'🧶 Product Catalog'!$M$17)</f>
        <v/>
      </c>
      <c r="Z11" s="5">
        <f>IF($W11&gt;0,'🧶 Product Catalog'!$K$17,0)</f>
        <v>0</v>
      </c>
      <c r="AA11" s="4">
        <f>IF($V11="","",$W11)</f>
        <v/>
      </c>
      <c r="AB11" s="3">
        <f>IFERROR(ROUND($W11*'🧶 Product Catalog'!$J$17,2),0)</f>
        <v>0</v>
      </c>
      <c r="AC11" s="2">
        <f>IF('🏪 Craft Fairs'!$B$17="","",'🏪 Craft Fairs'!$B$17)</f>
        <v/>
      </c>
      <c r="AD11" s="3">
        <f>IF($AC11="","",'🏪 Craft Fairs'!$N$17)</f>
        <v/>
      </c>
      <c r="AE11" s="3">
        <f>IF($AC11="","",'🏪 Craft Fairs'!$P$17)</f>
        <v/>
      </c>
      <c r="AF11" s="4">
        <f>IF($AC11="","",'🏪 Craft Fairs'!$M$17)</f>
        <v/>
      </c>
      <c r="AG11" s="2">
        <f>IF(AND('🏪 Craft Fairs'!$C$17&lt;&gt;"",'🏪 Craft Fairs'!$C$17&gt;=TODAY()),'🏪 Craft Fairs'!$C$17,"")</f>
        <v/>
      </c>
      <c r="AH11" s="1" t="s">
        <v>54</v>
      </c>
      <c r="AI11" s="3">
        <f>IFERROR($AI$6/$AI$8,0)</f>
        <v>0</v>
      </c>
      <c r="AK11" s="4">
        <f>IF(OR('🧶 Product Catalog'!$O$17="🟠 Low stock",'🧶 Product Catalog'!$O$17="🔴 Out of stock"),1+SUMPRODUCT(('🧶 Product Catalog'!$O$8:$O$16="🟠 Low stock")+('🧶 Product Catalog'!$O$8:$O$16="🔴 Out of stock")),"")</f>
        <v/>
      </c>
      <c r="AL11" s="4">
        <v>17</v>
      </c>
    </row>
    <row r="12" spans="8:41">
      <c r="H12" s="2" t="s">
        <v>18</v>
      </c>
      <c r="I12" s="3">
        <f>SUMIFS('💰 Sales Log'!$H$8:$H$67,'💰 Sales Log'!$B$8:$B$67,"&gt;="&amp;DATE(ReportYear,11,1),'💰 Sales Log'!$B$8:$B$67,"&lt;"&amp;EDATE(DATE(ReportYear,11,1),1))</f>
        <v>0</v>
      </c>
      <c r="J12" s="3">
        <f>SUMIFS('💰 Sales Log'!$M$8:$M$67,'💰 Sales Log'!$B$8:$B$67,"&gt;="&amp;DATE(ReportYear,11,1),'💰 Sales Log'!$B$8:$B$67,"&lt;"&amp;EDATE(DATE(ReportYear,11,1),1))</f>
        <v>0</v>
      </c>
      <c r="K12" s="3">
        <f>SUMIFS('🏪 Craft Fairs'!$K$8:$K$31,'🏪 Craft Fairs'!$C$8:$C$31,"&gt;="&amp;DATE(ReportYear,11,1),'🏪 Craft Fairs'!$C$8:$C$31,"&lt;"&amp;EDATE(DATE(ReportYear,11,1),1))</f>
        <v>0</v>
      </c>
      <c r="L12" s="3">
        <f>$I12-$J12-$K12</f>
        <v>0</v>
      </c>
      <c r="M12" s="4">
        <f>SUMIFS('💰 Sales Log'!$E$8:$E$67,'💰 Sales Log'!$B$8:$B$67,"&gt;="&amp;DATE(ReportYear,11,1),'💰 Sales Log'!$B$8:$B$67,"&lt;"&amp;EDATE(DATE(ReportYear,11,1),1))</f>
        <v>0</v>
      </c>
      <c r="N12" s="4">
        <f>COUNTIFS('🏪 Craft Fairs'!$C$8:$C$31,"&gt;="&amp;DATE(ReportYear,11,1),'🏪 Craft Fairs'!$C$8:$C$31,"&lt;"&amp;EDATE(DATE(ReportYear,11,1),1))</f>
        <v>0</v>
      </c>
      <c r="O12" s="4">
        <f>COUNTIFS('💰 Sales Log'!$B$8:$B$67,"&gt;="&amp;DATE(ReportYear,11,1),'💰 Sales Log'!$B$8:$B$67,"&lt;"&amp;EDATE(DATE(ReportYear,11,1),1))</f>
        <v>0</v>
      </c>
      <c r="V12" s="2">
        <f>IF('🧶 Product Catalog'!$C$18="","",'🧶 Product Catalog'!$C$18)</f>
        <v/>
      </c>
      <c r="W12" s="4">
        <f>IF($V12="",0,SUMIFS('💰 Sales Log'!$E$8:$E$67,'💰 Sales Log'!$D$8:$D$67,$V12))</f>
        <v>0</v>
      </c>
      <c r="X12" s="3">
        <f>IF($V12="",0,SUMIFS('💰 Sales Log'!$H$8:$H$67,'💰 Sales Log'!$D$8:$D$67,$V12))</f>
        <v>0</v>
      </c>
      <c r="Y12" s="4">
        <f>IF($V12="","",'🧶 Product Catalog'!$M$18)</f>
        <v/>
      </c>
      <c r="Z12" s="5">
        <f>IF($W12&gt;0,'🧶 Product Catalog'!$K$18,0)</f>
        <v>0</v>
      </c>
      <c r="AA12" s="4">
        <f>IF($V12="","",$W12)</f>
        <v/>
      </c>
      <c r="AB12" s="3">
        <f>IFERROR(ROUND($W12*'🧶 Product Catalog'!$J$18,2),0)</f>
        <v>0</v>
      </c>
      <c r="AC12" s="2">
        <f>IF('🏪 Craft Fairs'!$B$18="","",'🏪 Craft Fairs'!$B$18)</f>
        <v/>
      </c>
      <c r="AD12" s="3">
        <f>IF($AC12="","",'🏪 Craft Fairs'!$N$18)</f>
        <v/>
      </c>
      <c r="AE12" s="3">
        <f>IF($AC12="","",'🏪 Craft Fairs'!$P$18)</f>
        <v/>
      </c>
      <c r="AF12" s="4">
        <f>IF($AC12="","",'🏪 Craft Fairs'!$M$18)</f>
        <v/>
      </c>
      <c r="AG12" s="2">
        <f>IF(AND('🏪 Craft Fairs'!$C$18&lt;&gt;"",'🏪 Craft Fairs'!$C$18&gt;=TODAY()),'🏪 Craft Fairs'!$C$18,"")</f>
        <v/>
      </c>
      <c r="AH12" s="1" t="s">
        <v>55</v>
      </c>
      <c r="AI12" s="4">
        <f>COUNTA('🏪 Craft Fairs'!$B$8:$B$31)</f>
        <v>0</v>
      </c>
      <c r="AK12" s="4">
        <f>IF(OR('🧶 Product Catalog'!$O$18="🟠 Low stock",'🧶 Product Catalog'!$O$18="🔴 Out of stock"),1+SUMPRODUCT(('🧶 Product Catalog'!$O$8:$O$17="🟠 Low stock")+('🧶 Product Catalog'!$O$8:$O$17="🔴 Out of stock")),"")</f>
        <v/>
      </c>
      <c r="AL12" s="4">
        <v>18</v>
      </c>
    </row>
    <row r="13" spans="8:41">
      <c r="H13" s="2" t="s">
        <v>19</v>
      </c>
      <c r="I13" s="3">
        <f>SUMIFS('💰 Sales Log'!$H$8:$H$67,'💰 Sales Log'!$B$8:$B$67,"&gt;="&amp;DATE(ReportYear,12,1),'💰 Sales Log'!$B$8:$B$67,"&lt;"&amp;EDATE(DATE(ReportYear,12,1),1))</f>
        <v>0</v>
      </c>
      <c r="J13" s="3">
        <f>SUMIFS('💰 Sales Log'!$M$8:$M$67,'💰 Sales Log'!$B$8:$B$67,"&gt;="&amp;DATE(ReportYear,12,1),'💰 Sales Log'!$B$8:$B$67,"&lt;"&amp;EDATE(DATE(ReportYear,12,1),1))</f>
        <v>0</v>
      </c>
      <c r="K13" s="3">
        <f>SUMIFS('🏪 Craft Fairs'!$K$8:$K$31,'🏪 Craft Fairs'!$C$8:$C$31,"&gt;="&amp;DATE(ReportYear,12,1),'🏪 Craft Fairs'!$C$8:$C$31,"&lt;"&amp;EDATE(DATE(ReportYear,12,1),1))</f>
        <v>0</v>
      </c>
      <c r="L13" s="3">
        <f>$I13-$J13-$K13</f>
        <v>0</v>
      </c>
      <c r="M13" s="4">
        <f>SUMIFS('💰 Sales Log'!$E$8:$E$67,'💰 Sales Log'!$B$8:$B$67,"&gt;="&amp;DATE(ReportYear,12,1),'💰 Sales Log'!$B$8:$B$67,"&lt;"&amp;EDATE(DATE(ReportYear,12,1),1))</f>
        <v>0</v>
      </c>
      <c r="N13" s="4">
        <f>COUNTIFS('🏪 Craft Fairs'!$C$8:$C$31,"&gt;="&amp;DATE(ReportYear,12,1),'🏪 Craft Fairs'!$C$8:$C$31,"&lt;"&amp;EDATE(DATE(ReportYear,12,1),1))</f>
        <v>0</v>
      </c>
      <c r="O13" s="4">
        <f>COUNTIFS('💰 Sales Log'!$B$8:$B$67,"&gt;="&amp;DATE(ReportYear,12,1),'💰 Sales Log'!$B$8:$B$67,"&lt;"&amp;EDATE(DATE(ReportYear,12,1),1))</f>
        <v>0</v>
      </c>
      <c r="V13" s="2">
        <f>IF('🧶 Product Catalog'!$C$19="","",'🧶 Product Catalog'!$C$19)</f>
        <v/>
      </c>
      <c r="W13" s="4">
        <f>IF($V13="",0,SUMIFS('💰 Sales Log'!$E$8:$E$67,'💰 Sales Log'!$D$8:$D$67,$V13))</f>
        <v>0</v>
      </c>
      <c r="X13" s="3">
        <f>IF($V13="",0,SUMIFS('💰 Sales Log'!$H$8:$H$67,'💰 Sales Log'!$D$8:$D$67,$V13))</f>
        <v>0</v>
      </c>
      <c r="Y13" s="4">
        <f>IF($V13="","",'🧶 Product Catalog'!$M$19)</f>
        <v/>
      </c>
      <c r="Z13" s="5">
        <f>IF($W13&gt;0,'🧶 Product Catalog'!$K$19,0)</f>
        <v>0</v>
      </c>
      <c r="AA13" s="4">
        <f>IF($V13="","",$W13)</f>
        <v/>
      </c>
      <c r="AB13" s="3">
        <f>IFERROR(ROUND($W13*'🧶 Product Catalog'!$J$19,2),0)</f>
        <v>0</v>
      </c>
      <c r="AC13" s="2">
        <f>IF('🏪 Craft Fairs'!$B$19="","",'🏪 Craft Fairs'!$B$19)</f>
        <v/>
      </c>
      <c r="AD13" s="3">
        <f>IF($AC13="","",'🏪 Craft Fairs'!$N$19)</f>
        <v/>
      </c>
      <c r="AE13" s="3">
        <f>IF($AC13="","",'🏪 Craft Fairs'!$P$19)</f>
        <v/>
      </c>
      <c r="AF13" s="4">
        <f>IF($AC13="","",'🏪 Craft Fairs'!$M$19)</f>
        <v/>
      </c>
      <c r="AG13" s="2">
        <f>IF(AND('🏪 Craft Fairs'!$C$19&lt;&gt;"",'🏪 Craft Fairs'!$C$19&gt;=TODAY()),'🏪 Craft Fairs'!$C$19,"")</f>
        <v/>
      </c>
      <c r="AH13" s="1" t="s">
        <v>56</v>
      </c>
      <c r="AI13" s="4">
        <f>COUNTIFS('🏪 Craft Fairs'!$C$8:$C$31,"&lt;="&amp;TODAY(),'🏪 Craft Fairs'!$N$8:$N$31,"&gt;0")</f>
        <v>0</v>
      </c>
      <c r="AK13" s="4">
        <f>IF(OR('🧶 Product Catalog'!$O$19="🟠 Low stock",'🧶 Product Catalog'!$O$19="🔴 Out of stock"),1+SUMPRODUCT(('🧶 Product Catalog'!$O$8:$O$18="🟠 Low stock")+('🧶 Product Catalog'!$O$8:$O$18="🔴 Out of stock")),"")</f>
        <v/>
      </c>
      <c r="AL13" s="4">
        <v>19</v>
      </c>
    </row>
    <row r="14" spans="8:41">
      <c r="V14" s="2">
        <f>IF('🧶 Product Catalog'!$C$20="","",'🧶 Product Catalog'!$C$20)</f>
        <v/>
      </c>
      <c r="W14" s="4">
        <f>IF($V14="",0,SUMIFS('💰 Sales Log'!$E$8:$E$67,'💰 Sales Log'!$D$8:$D$67,$V14))</f>
        <v>0</v>
      </c>
      <c r="X14" s="3">
        <f>IF($V14="",0,SUMIFS('💰 Sales Log'!$H$8:$H$67,'💰 Sales Log'!$D$8:$D$67,$V14))</f>
        <v>0</v>
      </c>
      <c r="Y14" s="4">
        <f>IF($V14="","",'🧶 Product Catalog'!$M$20)</f>
        <v/>
      </c>
      <c r="Z14" s="5">
        <f>IF($W14&gt;0,'🧶 Product Catalog'!$K$20,0)</f>
        <v>0</v>
      </c>
      <c r="AA14" s="4">
        <f>IF($V14="","",$W14)</f>
        <v/>
      </c>
      <c r="AB14" s="3">
        <f>IFERROR(ROUND($W14*'🧶 Product Catalog'!$J$20,2),0)</f>
        <v>0</v>
      </c>
      <c r="AC14" s="2">
        <f>IF('🏪 Craft Fairs'!$B$20="","",'🏪 Craft Fairs'!$B$20)</f>
        <v/>
      </c>
      <c r="AD14" s="3">
        <f>IF($AC14="","",'🏪 Craft Fairs'!$N$20)</f>
        <v/>
      </c>
      <c r="AE14" s="3">
        <f>IF($AC14="","",'🏪 Craft Fairs'!$P$20)</f>
        <v/>
      </c>
      <c r="AF14" s="4">
        <f>IF($AC14="","",'🏪 Craft Fairs'!$M$20)</f>
        <v/>
      </c>
      <c r="AG14" s="2">
        <f>IF(AND('🏪 Craft Fairs'!$C$20&lt;&gt;"",'🏪 Craft Fairs'!$C$20&gt;=TODAY()),'🏪 Craft Fairs'!$C$20,"")</f>
        <v/>
      </c>
      <c r="AH14" s="1" t="s">
        <v>57</v>
      </c>
      <c r="AI14" s="3">
        <f>0</f>
        <v>0</v>
      </c>
      <c r="AK14" s="4">
        <f>IF(OR('🧶 Product Catalog'!$O$20="🟠 Low stock",'🧶 Product Catalog'!$O$20="🔴 Out of stock"),1+SUMPRODUCT(('🧶 Product Catalog'!$O$8:$O$19="🟠 Low stock")+('🧶 Product Catalog'!$O$8:$O$19="🔴 Out of stock")),"")</f>
        <v/>
      </c>
      <c r="AL14" s="4">
        <v>20</v>
      </c>
    </row>
    <row r="15" spans="8:41">
      <c r="V15" s="2">
        <f>IF('🧶 Product Catalog'!$C$21="","",'🧶 Product Catalog'!$C$21)</f>
        <v/>
      </c>
      <c r="W15" s="4">
        <f>IF($V15="",0,SUMIFS('💰 Sales Log'!$E$8:$E$67,'💰 Sales Log'!$D$8:$D$67,$V15))</f>
        <v>0</v>
      </c>
      <c r="X15" s="3">
        <f>IF($V15="",0,SUMIFS('💰 Sales Log'!$H$8:$H$67,'💰 Sales Log'!$D$8:$D$67,$V15))</f>
        <v>0</v>
      </c>
      <c r="Y15" s="4">
        <f>IF($V15="","",'🧶 Product Catalog'!$M$21)</f>
        <v/>
      </c>
      <c r="Z15" s="5">
        <f>IF($W15&gt;0,'🧶 Product Catalog'!$K$21,0)</f>
        <v>0</v>
      </c>
      <c r="AA15" s="4">
        <f>IF($V15="","",$W15)</f>
        <v/>
      </c>
      <c r="AB15" s="3">
        <f>IFERROR(ROUND($W15*'🧶 Product Catalog'!$J$21,2),0)</f>
        <v>0</v>
      </c>
      <c r="AC15" s="2">
        <f>IF('🏪 Craft Fairs'!$B$21="","",'🏪 Craft Fairs'!$B$21)</f>
        <v/>
      </c>
      <c r="AD15" s="3">
        <f>IF($AC15="","",'🏪 Craft Fairs'!$N$21)</f>
        <v/>
      </c>
      <c r="AE15" s="3">
        <f>IF($AC15="","",'🏪 Craft Fairs'!$P$21)</f>
        <v/>
      </c>
      <c r="AF15" s="4">
        <f>IF($AC15="","",'🏪 Craft Fairs'!$M$21)</f>
        <v/>
      </c>
      <c r="AG15" s="2">
        <f>IF(AND('🏪 Craft Fairs'!$C$21&lt;&gt;"",'🏪 Craft Fairs'!$C$21&gt;=TODAY()),'🏪 Craft Fairs'!$C$21,"")</f>
        <v/>
      </c>
      <c r="AH15" s="1" t="s">
        <v>58</v>
      </c>
      <c r="AI15" s="4">
        <f>COUNTIF('🧶 Product Catalog'!$O$8:$O$31,"🟠 Low stock")+COUNTIF('🧶 Product Catalog'!$O$8:$O$31,"🔴 Out of stock")</f>
        <v>0</v>
      </c>
      <c r="AK15" s="4">
        <f>IF(OR('🧶 Product Catalog'!$O$21="🟠 Low stock",'🧶 Product Catalog'!$O$21="🔴 Out of stock"),1+SUMPRODUCT(('🧶 Product Catalog'!$O$8:$O$20="🟠 Low stock")+('🧶 Product Catalog'!$O$8:$O$20="🔴 Out of stock")),"")</f>
        <v/>
      </c>
      <c r="AL15" s="4">
        <v>21</v>
      </c>
    </row>
    <row r="16" spans="8:41">
      <c r="V16" s="2">
        <f>IF('🧶 Product Catalog'!$C$22="","",'🧶 Product Catalog'!$C$22)</f>
        <v/>
      </c>
      <c r="W16" s="4">
        <f>IF($V16="",0,SUMIFS('💰 Sales Log'!$E$8:$E$67,'💰 Sales Log'!$D$8:$D$67,$V16))</f>
        <v>0</v>
      </c>
      <c r="X16" s="3">
        <f>IF($V16="",0,SUMIFS('💰 Sales Log'!$H$8:$H$67,'💰 Sales Log'!$D$8:$D$67,$V16))</f>
        <v>0</v>
      </c>
      <c r="Y16" s="4">
        <f>IF($V16="","",'🧶 Product Catalog'!$M$22)</f>
        <v/>
      </c>
      <c r="Z16" s="5">
        <f>IF($W16&gt;0,'🧶 Product Catalog'!$K$22,0)</f>
        <v>0</v>
      </c>
      <c r="AA16" s="4">
        <f>IF($V16="","",$W16)</f>
        <v/>
      </c>
      <c r="AB16" s="3">
        <f>IFERROR(ROUND($W16*'🧶 Product Catalog'!$J$22,2),0)</f>
        <v>0</v>
      </c>
      <c r="AC16" s="2">
        <f>IF('🏪 Craft Fairs'!$B$22="","",'🏪 Craft Fairs'!$B$22)</f>
        <v/>
      </c>
      <c r="AD16" s="3">
        <f>IF($AC16="","",'🏪 Craft Fairs'!$N$22)</f>
        <v/>
      </c>
      <c r="AE16" s="3">
        <f>IF($AC16="","",'🏪 Craft Fairs'!$P$22)</f>
        <v/>
      </c>
      <c r="AF16" s="4">
        <f>IF($AC16="","",'🏪 Craft Fairs'!$M$22)</f>
        <v/>
      </c>
      <c r="AG16" s="2">
        <f>IF(AND('🏪 Craft Fairs'!$C$22&lt;&gt;"",'🏪 Craft Fairs'!$C$22&gt;=TODAY()),'🏪 Craft Fairs'!$C$22,"")</f>
        <v/>
      </c>
      <c r="AH16" s="1" t="s">
        <v>59</v>
      </c>
      <c r="AI16" s="4">
        <f>0</f>
        <v>0</v>
      </c>
      <c r="AK16" s="4">
        <f>IF(OR('🧶 Product Catalog'!$O$22="🟠 Low stock",'🧶 Product Catalog'!$O$22="🔴 Out of stock"),1+SUMPRODUCT(('🧶 Product Catalog'!$O$8:$O$21="🟠 Low stock")+('🧶 Product Catalog'!$O$8:$O$21="🔴 Out of stock")),"")</f>
        <v/>
      </c>
      <c r="AL16" s="4">
        <v>22</v>
      </c>
    </row>
    <row r="17" spans="22:38">
      <c r="V17" s="2">
        <f>IF('🧶 Product Catalog'!$C$23="","",'🧶 Product Catalog'!$C$23)</f>
        <v/>
      </c>
      <c r="W17" s="4">
        <f>IF($V17="",0,SUMIFS('💰 Sales Log'!$E$8:$E$67,'💰 Sales Log'!$D$8:$D$67,$V17))</f>
        <v>0</v>
      </c>
      <c r="X17" s="3">
        <f>IF($V17="",0,SUMIFS('💰 Sales Log'!$H$8:$H$67,'💰 Sales Log'!$D$8:$D$67,$V17))</f>
        <v>0</v>
      </c>
      <c r="Y17" s="4">
        <f>IF($V17="","",'🧶 Product Catalog'!$M$23)</f>
        <v/>
      </c>
      <c r="Z17" s="5">
        <f>IF($W17&gt;0,'🧶 Product Catalog'!$K$23,0)</f>
        <v>0</v>
      </c>
      <c r="AA17" s="4">
        <f>IF($V17="","",$W17)</f>
        <v/>
      </c>
      <c r="AB17" s="3">
        <f>IFERROR(ROUND($W17*'🧶 Product Catalog'!$J$23,2),0)</f>
        <v>0</v>
      </c>
      <c r="AC17" s="2">
        <f>IF('🏪 Craft Fairs'!$B$23="","",'🏪 Craft Fairs'!$B$23)</f>
        <v/>
      </c>
      <c r="AD17" s="3">
        <f>IF($AC17="","",'🏪 Craft Fairs'!$N$23)</f>
        <v/>
      </c>
      <c r="AE17" s="3">
        <f>IF($AC17="","",'🏪 Craft Fairs'!$P$23)</f>
        <v/>
      </c>
      <c r="AF17" s="4">
        <f>IF($AC17="","",'🏪 Craft Fairs'!$M$23)</f>
        <v/>
      </c>
      <c r="AG17" s="2">
        <f>IF(AND('🏪 Craft Fairs'!$C$23&lt;&gt;"",'🏪 Craft Fairs'!$C$23&gt;=TODAY()),'🏪 Craft Fairs'!$C$23,"")</f>
        <v/>
      </c>
      <c r="AH17" s="1" t="s">
        <v>60</v>
      </c>
      <c r="AI17" s="3">
        <f>SUMPRODUCT(('🧶 Product Catalog'!$M$8:$M$31&lt;='🧶 Product Catalog'!$N$8:$N$31)*IFERROR(('🧶 Product Catalog'!$N$8:$N$31*2-'🧶 Product Catalog'!$M$8:$M$31)*'🧶 Product Catalog'!$I$8:$I$31,0))</f>
        <v>0</v>
      </c>
      <c r="AK17" s="4">
        <f>IF(OR('🧶 Product Catalog'!$O$23="🟠 Low stock",'🧶 Product Catalog'!$O$23="🔴 Out of stock"),1+SUMPRODUCT(('🧶 Product Catalog'!$O$8:$O$22="🟠 Low stock")+('🧶 Product Catalog'!$O$8:$O$22="🔴 Out of stock")),"")</f>
        <v/>
      </c>
      <c r="AL17" s="4">
        <v>23</v>
      </c>
    </row>
    <row r="18" spans="22:38">
      <c r="V18" s="2">
        <f>IF('🧶 Product Catalog'!$C$24="","",'🧶 Product Catalog'!$C$24)</f>
        <v/>
      </c>
      <c r="W18" s="4">
        <f>IF($V18="",0,SUMIFS('💰 Sales Log'!$E$8:$E$67,'💰 Sales Log'!$D$8:$D$67,$V18))</f>
        <v>0</v>
      </c>
      <c r="X18" s="3">
        <f>IF($V18="",0,SUMIFS('💰 Sales Log'!$H$8:$H$67,'💰 Sales Log'!$D$8:$D$67,$V18))</f>
        <v>0</v>
      </c>
      <c r="Y18" s="4">
        <f>IF($V18="","",'🧶 Product Catalog'!$M$24)</f>
        <v/>
      </c>
      <c r="Z18" s="5">
        <f>IF($W18&gt;0,'🧶 Product Catalog'!$K$24,0)</f>
        <v>0</v>
      </c>
      <c r="AA18" s="4">
        <f>IF($V18="","",$W18)</f>
        <v/>
      </c>
      <c r="AB18" s="3">
        <f>IFERROR(ROUND($W18*'🧶 Product Catalog'!$J$24,2),0)</f>
        <v>0</v>
      </c>
      <c r="AC18" s="2">
        <f>IF('🏪 Craft Fairs'!$B$24="","",'🏪 Craft Fairs'!$B$24)</f>
        <v/>
      </c>
      <c r="AD18" s="3">
        <f>IF($AC18="","",'🏪 Craft Fairs'!$N$24)</f>
        <v/>
      </c>
      <c r="AE18" s="3">
        <f>IF($AC18="","",'🏪 Craft Fairs'!$P$24)</f>
        <v/>
      </c>
      <c r="AF18" s="4">
        <f>IF($AC18="","",'🏪 Craft Fairs'!$M$24)</f>
        <v/>
      </c>
      <c r="AG18" s="2">
        <f>IF(AND('🏪 Craft Fairs'!$C$24&lt;&gt;"",'🏪 Craft Fairs'!$C$24&gt;=TODAY()),'🏪 Craft Fairs'!$C$24,"")</f>
        <v/>
      </c>
      <c r="AH18" s="1" t="s">
        <v>61</v>
      </c>
      <c r="AI18" s="5">
        <f>0</f>
        <v>0</v>
      </c>
      <c r="AK18" s="4">
        <f>IF(OR('🧶 Product Catalog'!$O$24="🟠 Low stock",'🧶 Product Catalog'!$O$24="🔴 Out of stock"),1+SUMPRODUCT(('🧶 Product Catalog'!$O$8:$O$23="🟠 Low stock")+('🧶 Product Catalog'!$O$8:$O$23="🔴 Out of stock")),"")</f>
        <v/>
      </c>
      <c r="AL18" s="4">
        <v>24</v>
      </c>
    </row>
    <row r="19" spans="22:38">
      <c r="V19" s="2">
        <f>IF('🧶 Product Catalog'!$C$25="","",'🧶 Product Catalog'!$C$25)</f>
        <v/>
      </c>
      <c r="W19" s="4">
        <f>IF($V19="",0,SUMIFS('💰 Sales Log'!$E$8:$E$67,'💰 Sales Log'!$D$8:$D$67,$V19))</f>
        <v>0</v>
      </c>
      <c r="X19" s="3">
        <f>IF($V19="",0,SUMIFS('💰 Sales Log'!$H$8:$H$67,'💰 Sales Log'!$D$8:$D$67,$V19))</f>
        <v>0</v>
      </c>
      <c r="Y19" s="4">
        <f>IF($V19="","",'🧶 Product Catalog'!$M$25)</f>
        <v/>
      </c>
      <c r="Z19" s="5">
        <f>IF($W19&gt;0,'🧶 Product Catalog'!$K$25,0)</f>
        <v>0</v>
      </c>
      <c r="AA19" s="4">
        <f>IF($V19="","",$W19)</f>
        <v/>
      </c>
      <c r="AB19" s="3">
        <f>IFERROR(ROUND($W19*'🧶 Product Catalog'!$J$25,2),0)</f>
        <v>0</v>
      </c>
      <c r="AC19" s="2">
        <f>IF('🏪 Craft Fairs'!$B$25="","",'🏪 Craft Fairs'!$B$25)</f>
        <v/>
      </c>
      <c r="AD19" s="3">
        <f>IF($AC19="","",'🏪 Craft Fairs'!$N$25)</f>
        <v/>
      </c>
      <c r="AE19" s="3">
        <f>IF($AC19="","",'🏪 Craft Fairs'!$P$25)</f>
        <v/>
      </c>
      <c r="AF19" s="4">
        <f>IF($AC19="","",'🏪 Craft Fairs'!$M$25)</f>
        <v/>
      </c>
      <c r="AG19" s="2">
        <f>IF(AND('🏪 Craft Fairs'!$C$25&lt;&gt;"",'🏪 Craft Fairs'!$C$25&gt;=TODAY()),'🏪 Craft Fairs'!$C$25,"")</f>
        <v/>
      </c>
      <c r="AH19" s="1" t="s">
        <v>62</v>
      </c>
      <c r="AI19" s="4">
        <f>0</f>
        <v>0</v>
      </c>
      <c r="AK19" s="4">
        <f>IF(OR('🧶 Product Catalog'!$O$25="🟠 Low stock",'🧶 Product Catalog'!$O$25="🔴 Out of stock"),1+SUMPRODUCT(('🧶 Product Catalog'!$O$8:$O$24="🟠 Low stock")+('🧶 Product Catalog'!$O$8:$O$24="🔴 Out of stock")),"")</f>
        <v/>
      </c>
      <c r="AL19" s="4">
        <v>25</v>
      </c>
    </row>
    <row r="20" spans="22:38">
      <c r="V20" s="2">
        <f>IF('🧶 Product Catalog'!$C$26="","",'🧶 Product Catalog'!$C$26)</f>
        <v/>
      </c>
      <c r="W20" s="4">
        <f>IF($V20="",0,SUMIFS('💰 Sales Log'!$E$8:$E$67,'💰 Sales Log'!$D$8:$D$67,$V20))</f>
        <v>0</v>
      </c>
      <c r="X20" s="3">
        <f>IF($V20="",0,SUMIFS('💰 Sales Log'!$H$8:$H$67,'💰 Sales Log'!$D$8:$D$67,$V20))</f>
        <v>0</v>
      </c>
      <c r="Y20" s="4">
        <f>IF($V20="","",'🧶 Product Catalog'!$M$26)</f>
        <v/>
      </c>
      <c r="Z20" s="5">
        <f>IF($W20&gt;0,'🧶 Product Catalog'!$K$26,0)</f>
        <v>0</v>
      </c>
      <c r="AA20" s="4">
        <f>IF($V20="","",$W20)</f>
        <v/>
      </c>
      <c r="AB20" s="3">
        <f>IFERROR(ROUND($W20*'🧶 Product Catalog'!$J$26,2),0)</f>
        <v>0</v>
      </c>
      <c r="AC20" s="2">
        <f>IF('🏪 Craft Fairs'!$B$26="","",'🏪 Craft Fairs'!$B$26)</f>
        <v/>
      </c>
      <c r="AD20" s="3">
        <f>IF($AC20="","",'🏪 Craft Fairs'!$N$26)</f>
        <v/>
      </c>
      <c r="AE20" s="3">
        <f>IF($AC20="","",'🏪 Craft Fairs'!$P$26)</f>
        <v/>
      </c>
      <c r="AF20" s="4">
        <f>IF($AC20="","",'🏪 Craft Fairs'!$M$26)</f>
        <v/>
      </c>
      <c r="AG20" s="2">
        <f>IF(AND('🏪 Craft Fairs'!$C$26&lt;&gt;"",'🏪 Craft Fairs'!$C$26&gt;=TODAY()),'🏪 Craft Fairs'!$C$26,"")</f>
        <v/>
      </c>
      <c r="AH20" s="1" t="s">
        <v>63</v>
      </c>
      <c r="AI20" s="6">
        <f>IFERROR(INDEX($V$2:$V$25,MATCH(MAX($X$2:$X$25),$X$2:$X$25,0)),"")</f>
        <v/>
      </c>
      <c r="AK20" s="4">
        <f>IF(OR('🧶 Product Catalog'!$O$26="🟠 Low stock",'🧶 Product Catalog'!$O$26="🔴 Out of stock"),1+SUMPRODUCT(('🧶 Product Catalog'!$O$8:$O$25="🟠 Low stock")+('🧶 Product Catalog'!$O$8:$O$25="🔴 Out of stock")),"")</f>
        <v/>
      </c>
      <c r="AL20" s="4">
        <v>26</v>
      </c>
    </row>
    <row r="21" spans="22:38">
      <c r="V21" s="2">
        <f>IF('🧶 Product Catalog'!$C$27="","",'🧶 Product Catalog'!$C$27)</f>
        <v/>
      </c>
      <c r="W21" s="4">
        <f>IF($V21="",0,SUMIFS('💰 Sales Log'!$E$8:$E$67,'💰 Sales Log'!$D$8:$D$67,$V21))</f>
        <v>0</v>
      </c>
      <c r="X21" s="3">
        <f>IF($V21="",0,SUMIFS('💰 Sales Log'!$H$8:$H$67,'💰 Sales Log'!$D$8:$D$67,$V21))</f>
        <v>0</v>
      </c>
      <c r="Y21" s="4">
        <f>IF($V21="","",'🧶 Product Catalog'!$M$27)</f>
        <v/>
      </c>
      <c r="Z21" s="5">
        <f>IF($W21&gt;0,'🧶 Product Catalog'!$K$27,0)</f>
        <v>0</v>
      </c>
      <c r="AA21" s="4">
        <f>IF($V21="","",$W21)</f>
        <v/>
      </c>
      <c r="AB21" s="3">
        <f>IFERROR(ROUND($W21*'🧶 Product Catalog'!$J$27,2),0)</f>
        <v>0</v>
      </c>
      <c r="AC21" s="2">
        <f>IF('🏪 Craft Fairs'!$B$27="","",'🏪 Craft Fairs'!$B$27)</f>
        <v/>
      </c>
      <c r="AD21" s="3">
        <f>IF($AC21="","",'🏪 Craft Fairs'!$N$27)</f>
        <v/>
      </c>
      <c r="AE21" s="3">
        <f>IF($AC21="","",'🏪 Craft Fairs'!$P$27)</f>
        <v/>
      </c>
      <c r="AF21" s="4">
        <f>IF($AC21="","",'🏪 Craft Fairs'!$M$27)</f>
        <v/>
      </c>
      <c r="AG21" s="2">
        <f>IF(AND('🏪 Craft Fairs'!$C$27&lt;&gt;"",'🏪 Craft Fairs'!$C$27&gt;=TODAY()),'🏪 Craft Fairs'!$C$27,"")</f>
        <v/>
      </c>
      <c r="AH21" s="1" t="s">
        <v>64</v>
      </c>
      <c r="AI21" s="6">
        <f>IFERROR(INDEX($AC$2:$AC$25,MATCH(MAX($AE$2:$AE$25),$AE$2:$AE$25,0)),"")</f>
        <v/>
      </c>
      <c r="AK21" s="4">
        <f>IF(OR('🧶 Product Catalog'!$O$27="🟠 Low stock",'🧶 Product Catalog'!$O$27="🔴 Out of stock"),1+SUMPRODUCT(('🧶 Product Catalog'!$O$8:$O$26="🟠 Low stock")+('🧶 Product Catalog'!$O$8:$O$26="🔴 Out of stock")),"")</f>
        <v/>
      </c>
      <c r="AL21" s="4">
        <v>27</v>
      </c>
    </row>
    <row r="22" spans="22:38">
      <c r="V22" s="2">
        <f>IF('🧶 Product Catalog'!$C$28="","",'🧶 Product Catalog'!$C$28)</f>
        <v/>
      </c>
      <c r="W22" s="4">
        <f>IF($V22="",0,SUMIFS('💰 Sales Log'!$E$8:$E$67,'💰 Sales Log'!$D$8:$D$67,$V22))</f>
        <v>0</v>
      </c>
      <c r="X22" s="3">
        <f>IF($V22="",0,SUMIFS('💰 Sales Log'!$H$8:$H$67,'💰 Sales Log'!$D$8:$D$67,$V22))</f>
        <v>0</v>
      </c>
      <c r="Y22" s="4">
        <f>IF($V22="","",'🧶 Product Catalog'!$M$28)</f>
        <v/>
      </c>
      <c r="Z22" s="5">
        <f>IF($W22&gt;0,'🧶 Product Catalog'!$K$28,0)</f>
        <v>0</v>
      </c>
      <c r="AA22" s="4">
        <f>IF($V22="","",$W22)</f>
        <v/>
      </c>
      <c r="AB22" s="3">
        <f>IFERROR(ROUND($W22*'🧶 Product Catalog'!$J$28,2),0)</f>
        <v>0</v>
      </c>
      <c r="AC22" s="2">
        <f>IF('🏪 Craft Fairs'!$B$28="","",'🏪 Craft Fairs'!$B$28)</f>
        <v/>
      </c>
      <c r="AD22" s="3">
        <f>IF($AC22="","",'🏪 Craft Fairs'!$N$28)</f>
        <v/>
      </c>
      <c r="AE22" s="3">
        <f>IF($AC22="","",'🏪 Craft Fairs'!$P$28)</f>
        <v/>
      </c>
      <c r="AF22" s="4">
        <f>IF($AC22="","",'🏪 Craft Fairs'!$M$28)</f>
        <v/>
      </c>
      <c r="AG22" s="2">
        <f>IF(AND('🏪 Craft Fairs'!$C$28&lt;&gt;"",'🏪 Craft Fairs'!$C$28&gt;=TODAY()),'🏪 Craft Fairs'!$C$28,"")</f>
        <v/>
      </c>
      <c r="AH22" s="1" t="s">
        <v>65</v>
      </c>
      <c r="AI22" s="6">
        <f>IFERROR(INDEX($V$2:$V$25,MATCH(MAX($W$2:$W$25),$W$2:$W$25,0)),"")</f>
        <v/>
      </c>
      <c r="AK22" s="4">
        <f>IF(OR('🧶 Product Catalog'!$O$28="🟠 Low stock",'🧶 Product Catalog'!$O$28="🔴 Out of stock"),1+SUMPRODUCT(('🧶 Product Catalog'!$O$8:$O$27="🟠 Low stock")+('🧶 Product Catalog'!$O$8:$O$27="🔴 Out of stock")),"")</f>
        <v/>
      </c>
      <c r="AL22" s="4">
        <v>28</v>
      </c>
    </row>
    <row r="23" spans="22:38">
      <c r="V23" s="2">
        <f>IF('🧶 Product Catalog'!$C$29="","",'🧶 Product Catalog'!$C$29)</f>
        <v/>
      </c>
      <c r="W23" s="4">
        <f>IF($V23="",0,SUMIFS('💰 Sales Log'!$E$8:$E$67,'💰 Sales Log'!$D$8:$D$67,$V23))</f>
        <v>0</v>
      </c>
      <c r="X23" s="3">
        <f>IF($V23="",0,SUMIFS('💰 Sales Log'!$H$8:$H$67,'💰 Sales Log'!$D$8:$D$67,$V23))</f>
        <v>0</v>
      </c>
      <c r="Y23" s="4">
        <f>IF($V23="","",'🧶 Product Catalog'!$M$29)</f>
        <v/>
      </c>
      <c r="Z23" s="5">
        <f>IF($W23&gt;0,'🧶 Product Catalog'!$K$29,0)</f>
        <v>0</v>
      </c>
      <c r="AA23" s="4">
        <f>IF($V23="","",$W23)</f>
        <v/>
      </c>
      <c r="AB23" s="3">
        <f>IFERROR(ROUND($W23*'🧶 Product Catalog'!$J$29,2),0)</f>
        <v>0</v>
      </c>
      <c r="AC23" s="2">
        <f>IF('🏪 Craft Fairs'!$B$29="","",'🏪 Craft Fairs'!$B$29)</f>
        <v/>
      </c>
      <c r="AD23" s="3">
        <f>IF($AC23="","",'🏪 Craft Fairs'!$N$29)</f>
        <v/>
      </c>
      <c r="AE23" s="3">
        <f>IF($AC23="","",'🏪 Craft Fairs'!$P$29)</f>
        <v/>
      </c>
      <c r="AF23" s="4">
        <f>IF($AC23="","",'🏪 Craft Fairs'!$M$29)</f>
        <v/>
      </c>
      <c r="AG23" s="2">
        <f>IF(AND('🏪 Craft Fairs'!$C$29&lt;&gt;"",'🏪 Craft Fairs'!$C$29&gt;=TODAY()),'🏪 Craft Fairs'!$C$29,"")</f>
        <v/>
      </c>
      <c r="AH23" s="1" t="s">
        <v>66</v>
      </c>
      <c r="AI23" s="6">
        <f>IFERROR(INDEX($V$2:$V$25,MATCH(MAX($X$2:$X$25),$X$2:$X$25,0)),"")</f>
        <v/>
      </c>
      <c r="AK23" s="4">
        <f>IF(OR('🧶 Product Catalog'!$O$29="🟠 Low stock",'🧶 Product Catalog'!$O$29="🔴 Out of stock"),1+SUMPRODUCT(('🧶 Product Catalog'!$O$8:$O$28="🟠 Low stock")+('🧶 Product Catalog'!$O$8:$O$28="🔴 Out of stock")),"")</f>
        <v/>
      </c>
      <c r="AL23" s="4">
        <v>29</v>
      </c>
    </row>
    <row r="24" spans="22:38">
      <c r="V24" s="2">
        <f>IF('🧶 Product Catalog'!$C$30="","",'🧶 Product Catalog'!$C$30)</f>
        <v/>
      </c>
      <c r="W24" s="4">
        <f>IF($V24="",0,SUMIFS('💰 Sales Log'!$E$8:$E$67,'💰 Sales Log'!$D$8:$D$67,$V24))</f>
        <v>0</v>
      </c>
      <c r="X24" s="3">
        <f>IF($V24="",0,SUMIFS('💰 Sales Log'!$H$8:$H$67,'💰 Sales Log'!$D$8:$D$67,$V24))</f>
        <v>0</v>
      </c>
      <c r="Y24" s="4">
        <f>IF($V24="","",'🧶 Product Catalog'!$M$30)</f>
        <v/>
      </c>
      <c r="Z24" s="5">
        <f>IF($W24&gt;0,'🧶 Product Catalog'!$K$30,0)</f>
        <v>0</v>
      </c>
      <c r="AA24" s="4">
        <f>IF($V24="","",$W24)</f>
        <v/>
      </c>
      <c r="AB24" s="3">
        <f>IFERROR(ROUND($W24*'🧶 Product Catalog'!$J$30,2),0)</f>
        <v>0</v>
      </c>
      <c r="AC24" s="2">
        <f>IF('🏪 Craft Fairs'!$B$30="","",'🏪 Craft Fairs'!$B$30)</f>
        <v/>
      </c>
      <c r="AD24" s="3">
        <f>IF($AC24="","",'🏪 Craft Fairs'!$N$30)</f>
        <v/>
      </c>
      <c r="AE24" s="3">
        <f>IF($AC24="","",'🏪 Craft Fairs'!$P$30)</f>
        <v/>
      </c>
      <c r="AF24" s="4">
        <f>IF($AC24="","",'🏪 Craft Fairs'!$M$30)</f>
        <v/>
      </c>
      <c r="AG24" s="2">
        <f>IF(AND('🏪 Craft Fairs'!$C$30&lt;&gt;"",'🏪 Craft Fairs'!$C$30&gt;=TODAY()),'🏪 Craft Fairs'!$C$30,"")</f>
        <v/>
      </c>
      <c r="AH24" s="1" t="s">
        <v>67</v>
      </c>
      <c r="AI24" s="6">
        <f>IFERROR(INDEX($V$2:$V$25,MATCH(MAX($AB$2:$AB$25),$AB$2:$AB$25,0)),"")</f>
        <v/>
      </c>
      <c r="AK24" s="4">
        <f>IF(OR('🧶 Product Catalog'!$O$30="🟠 Low stock",'🧶 Product Catalog'!$O$30="🔴 Out of stock"),1+SUMPRODUCT(('🧶 Product Catalog'!$O$8:$O$29="🟠 Low stock")+('🧶 Product Catalog'!$O$8:$O$29="🔴 Out of stock")),"")</f>
        <v/>
      </c>
      <c r="AL24" s="4">
        <v>30</v>
      </c>
    </row>
    <row r="25" spans="22:38">
      <c r="V25" s="2">
        <f>IF('🧶 Product Catalog'!$C$31="","",'🧶 Product Catalog'!$C$31)</f>
        <v/>
      </c>
      <c r="W25" s="4">
        <f>IF($V25="",0,SUMIFS('💰 Sales Log'!$E$8:$E$67,'💰 Sales Log'!$D$8:$D$67,$V25))</f>
        <v>0</v>
      </c>
      <c r="X25" s="3">
        <f>IF($V25="",0,SUMIFS('💰 Sales Log'!$H$8:$H$67,'💰 Sales Log'!$D$8:$D$67,$V25))</f>
        <v>0</v>
      </c>
      <c r="Y25" s="4">
        <f>IF($V25="","",'🧶 Product Catalog'!$M$31)</f>
        <v/>
      </c>
      <c r="Z25" s="5">
        <f>IF($W25&gt;0,'🧶 Product Catalog'!$K$31,0)</f>
        <v>0</v>
      </c>
      <c r="AA25" s="4">
        <f>IF($V25="","",$W25)</f>
        <v/>
      </c>
      <c r="AB25" s="3">
        <f>IFERROR(ROUND($W25*'🧶 Product Catalog'!$J$31,2),0)</f>
        <v>0</v>
      </c>
      <c r="AC25" s="2">
        <f>IF('🏪 Craft Fairs'!$B$31="","",'🏪 Craft Fairs'!$B$31)</f>
        <v/>
      </c>
      <c r="AD25" s="3">
        <f>IF($AC25="","",'🏪 Craft Fairs'!$N$31)</f>
        <v/>
      </c>
      <c r="AE25" s="3">
        <f>IF($AC25="","",'🏪 Craft Fairs'!$P$31)</f>
        <v/>
      </c>
      <c r="AF25" s="4">
        <f>IF($AC25="","",'🏪 Craft Fairs'!$M$31)</f>
        <v/>
      </c>
      <c r="AG25" s="2">
        <f>IF(AND('🏪 Craft Fairs'!$C$31&lt;&gt;"",'🏪 Craft Fairs'!$C$31&gt;=TODAY()),'🏪 Craft Fairs'!$C$31,"")</f>
        <v/>
      </c>
      <c r="AH25" s="1" t="s">
        <v>68</v>
      </c>
      <c r="AI25" s="6">
        <f>IFERROR(INDEX($V$2:$V$25,MATCH(MAX($Z$2:$Z$25),$Z$2:$Z$25,0)),"")</f>
        <v/>
      </c>
      <c r="AK25" s="4">
        <f>IF(OR('🧶 Product Catalog'!$O$31="🟠 Low stock",'🧶 Product Catalog'!$O$31="🔴 Out of stock"),1+SUMPRODUCT(('🧶 Product Catalog'!$O$8:$O$30="🟠 Low stock")+('🧶 Product Catalog'!$O$8:$O$30="🔴 Out of stock")),"")</f>
        <v/>
      </c>
      <c r="AL25" s="4">
        <v>31</v>
      </c>
    </row>
    <row r="26" spans="22:38">
      <c r="AH26" s="1" t="s">
        <v>69</v>
      </c>
      <c r="AI26" s="6">
        <f>IFERROR(INDEX($V$2:$V$25,MATCH(MIN($AA$2:$AA$25),$AA$2:$AA$25,0)),"")</f>
        <v/>
      </c>
    </row>
    <row r="27" spans="22:38">
      <c r="AH27" s="1" t="s">
        <v>70</v>
      </c>
      <c r="AI27" s="3">
        <f>'💵 Pricing Calculator'!$J$17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9488"/>
    <pageSetUpPr fitToPage="1"/>
  </sheetPr>
  <dimension ref="A1:J71"/>
  <sheetViews>
    <sheetView showGridLines="0" workbookViewId="0"/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75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76</v>
      </c>
      <c r="C3" s="9"/>
      <c r="D3" s="9"/>
      <c r="E3" s="9"/>
      <c r="F3" s="9"/>
      <c r="G3" s="9"/>
      <c r="H3" s="10" t="s">
        <v>77</v>
      </c>
      <c r="I3" s="10"/>
      <c r="J3" s="10"/>
    </row>
    <row r="4" spans="1:10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78</v>
      </c>
      <c r="C5" s="11"/>
      <c r="D5" s="11"/>
      <c r="E5" s="11"/>
      <c r="F5" s="11"/>
      <c r="G5" s="11"/>
      <c r="H5" s="11"/>
      <c r="I5" s="11"/>
      <c r="J5" s="11"/>
    </row>
    <row r="6" spans="1:10" ht="22" customHeight="1">
      <c r="A6" s="7"/>
      <c r="B6" s="12" t="s">
        <v>79</v>
      </c>
      <c r="C6" s="13"/>
      <c r="D6" s="7"/>
      <c r="E6" s="7"/>
      <c r="F6" s="7"/>
      <c r="G6" s="7"/>
      <c r="H6" s="7"/>
      <c r="I6" s="7"/>
      <c r="J6" s="7"/>
    </row>
    <row r="7" spans="1:10" ht="22" customHeight="1">
      <c r="A7" s="7"/>
      <c r="B7" s="12" t="s">
        <v>80</v>
      </c>
      <c r="C7" s="13"/>
      <c r="D7" s="7"/>
      <c r="E7" s="7"/>
      <c r="F7" s="7"/>
      <c r="G7" s="7"/>
      <c r="H7" s="7"/>
      <c r="I7" s="7"/>
      <c r="J7" s="7"/>
    </row>
    <row r="8" spans="1:10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81</v>
      </c>
      <c r="C9" s="11"/>
      <c r="D9" s="11"/>
      <c r="E9" s="11"/>
      <c r="F9" s="11"/>
      <c r="G9" s="11"/>
      <c r="H9" s="11"/>
      <c r="I9" s="11"/>
      <c r="J9" s="11"/>
    </row>
    <row r="10" spans="1:10" ht="22" customHeight="1">
      <c r="A10" s="7"/>
      <c r="B10" s="12" t="s">
        <v>82</v>
      </c>
      <c r="C10" s="13" t="s">
        <v>83</v>
      </c>
      <c r="D10" s="7"/>
      <c r="E10" s="7"/>
      <c r="F10" s="7"/>
      <c r="G10" s="7"/>
      <c r="H10" s="7"/>
      <c r="I10" s="7"/>
      <c r="J10" s="7"/>
    </row>
    <row r="11" spans="1:10" ht="22" customHeight="1">
      <c r="A11" s="7"/>
      <c r="B11" s="12" t="s">
        <v>84</v>
      </c>
      <c r="C11" s="14">
        <v>2026</v>
      </c>
      <c r="D11" s="7"/>
      <c r="E11" s="7"/>
      <c r="F11" s="7"/>
      <c r="G11" s="7"/>
      <c r="H11" s="7"/>
      <c r="I11" s="7"/>
      <c r="J11" s="7"/>
    </row>
    <row r="12" spans="1:10" ht="22" customHeight="1">
      <c r="A12" s="7"/>
      <c r="B12" s="12" t="s">
        <v>85</v>
      </c>
      <c r="C12" s="14">
        <v>14</v>
      </c>
      <c r="D12" s="7"/>
      <c r="E12" s="7"/>
      <c r="F12" s="7"/>
      <c r="G12" s="7"/>
      <c r="H12" s="7"/>
      <c r="I12" s="7"/>
      <c r="J12" s="7"/>
    </row>
    <row r="13" spans="1:10" ht="22" customHeight="1">
      <c r="A13" s="7"/>
      <c r="B13" s="12" t="s">
        <v>86</v>
      </c>
      <c r="C13" s="15">
        <v>0.1</v>
      </c>
      <c r="D13" s="7"/>
      <c r="E13" s="7"/>
      <c r="F13" s="7"/>
      <c r="G13" s="7"/>
      <c r="H13" s="7"/>
      <c r="I13" s="7"/>
      <c r="J13" s="7"/>
    </row>
    <row r="14" spans="1:10" ht="22" customHeight="1">
      <c r="A14" s="7"/>
      <c r="B14" s="12" t="s">
        <v>87</v>
      </c>
      <c r="C14" s="15">
        <v>0.45</v>
      </c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88</v>
      </c>
      <c r="C21" s="11"/>
      <c r="D21" s="11"/>
      <c r="E21" s="11"/>
      <c r="F21" s="11"/>
      <c r="G21" s="11"/>
      <c r="H21" s="11"/>
      <c r="I21" s="11"/>
      <c r="J21" s="11"/>
    </row>
    <row r="22" spans="1:10" ht="20" customHeight="1">
      <c r="A22" s="7"/>
      <c r="B22" s="7"/>
      <c r="C22" s="16" t="s">
        <v>89</v>
      </c>
      <c r="D22" s="16" t="s">
        <v>90</v>
      </c>
      <c r="E22" s="16" t="s">
        <v>91</v>
      </c>
      <c r="F22" s="16" t="s">
        <v>5</v>
      </c>
      <c r="G22" s="16" t="s">
        <v>92</v>
      </c>
      <c r="H22" s="7"/>
      <c r="I22" s="7"/>
      <c r="J22" s="7"/>
    </row>
    <row r="23" spans="1:10" ht="16" customHeight="1">
      <c r="A23" s="7"/>
      <c r="B23" s="7"/>
      <c r="C23" s="17" t="s">
        <v>93</v>
      </c>
      <c r="D23" s="17" t="s">
        <v>22</v>
      </c>
      <c r="E23" s="17" t="s">
        <v>94</v>
      </c>
      <c r="F23" s="17" t="s">
        <v>95</v>
      </c>
      <c r="G23" s="17" t="s">
        <v>96</v>
      </c>
      <c r="H23" s="7"/>
      <c r="I23" s="7"/>
      <c r="J23" s="7"/>
    </row>
    <row r="24" spans="1:10" ht="16" customHeight="1">
      <c r="A24" s="7"/>
      <c r="B24" s="7"/>
      <c r="C24" s="18" t="s">
        <v>97</v>
      </c>
      <c r="D24" s="18" t="s">
        <v>23</v>
      </c>
      <c r="E24" s="18" t="s">
        <v>98</v>
      </c>
      <c r="F24" s="18" t="s">
        <v>99</v>
      </c>
      <c r="G24" s="18" t="s">
        <v>100</v>
      </c>
      <c r="H24" s="7"/>
      <c r="I24" s="7"/>
      <c r="J24" s="7"/>
    </row>
    <row r="25" spans="1:10" ht="16" customHeight="1">
      <c r="A25" s="7"/>
      <c r="B25" s="7"/>
      <c r="C25" s="17" t="s">
        <v>101</v>
      </c>
      <c r="D25" s="17" t="s">
        <v>24</v>
      </c>
      <c r="E25" s="17" t="s">
        <v>102</v>
      </c>
      <c r="F25" s="17" t="s">
        <v>103</v>
      </c>
      <c r="G25" s="17" t="s">
        <v>104</v>
      </c>
      <c r="H25" s="7"/>
      <c r="I25" s="7"/>
      <c r="J25" s="7"/>
    </row>
    <row r="26" spans="1:10" ht="16" customHeight="1">
      <c r="A26" s="7"/>
      <c r="B26" s="7"/>
      <c r="C26" s="18" t="s">
        <v>105</v>
      </c>
      <c r="D26" s="18" t="s">
        <v>25</v>
      </c>
      <c r="E26" s="18" t="s">
        <v>106</v>
      </c>
      <c r="F26" s="18" t="s">
        <v>107</v>
      </c>
      <c r="G26" s="18" t="s">
        <v>108</v>
      </c>
      <c r="H26" s="7"/>
      <c r="I26" s="7"/>
      <c r="J26" s="7"/>
    </row>
    <row r="27" spans="1:10" ht="16" customHeight="1">
      <c r="A27" s="7"/>
      <c r="B27" s="7"/>
      <c r="C27" s="17" t="s">
        <v>109</v>
      </c>
      <c r="D27" s="17" t="s">
        <v>26</v>
      </c>
      <c r="E27" s="17" t="s">
        <v>110</v>
      </c>
      <c r="F27" s="17" t="s">
        <v>111</v>
      </c>
      <c r="G27" s="17" t="s">
        <v>112</v>
      </c>
      <c r="H27" s="7"/>
      <c r="I27" s="7"/>
      <c r="J27" s="7"/>
    </row>
    <row r="28" spans="1:10" ht="16" customHeight="1">
      <c r="A28" s="7"/>
      <c r="B28" s="7"/>
      <c r="C28" s="18" t="s">
        <v>113</v>
      </c>
      <c r="D28" s="18" t="s">
        <v>27</v>
      </c>
      <c r="E28" s="18" t="s">
        <v>114</v>
      </c>
      <c r="F28" s="18" t="s">
        <v>115</v>
      </c>
      <c r="G28" s="18" t="s">
        <v>27</v>
      </c>
      <c r="H28" s="7"/>
      <c r="I28" s="7"/>
      <c r="J28" s="7"/>
    </row>
    <row r="29" spans="1:10" ht="16" customHeight="1">
      <c r="A29" s="7"/>
      <c r="B29" s="7"/>
      <c r="C29" s="17"/>
      <c r="D29" s="17"/>
      <c r="E29" s="17" t="s">
        <v>116</v>
      </c>
      <c r="F29" s="17"/>
      <c r="G29" s="17"/>
      <c r="H29" s="7"/>
      <c r="I29" s="7"/>
      <c r="J29" s="7"/>
    </row>
    <row r="30" spans="1:10" ht="16" customHeight="1">
      <c r="A30" s="7"/>
      <c r="B30" s="7"/>
      <c r="C30" s="18"/>
      <c r="D30" s="18"/>
      <c r="E30" s="18"/>
      <c r="F30" s="18"/>
      <c r="G30" s="18"/>
      <c r="H30" s="7"/>
      <c r="I30" s="7"/>
      <c r="J30" s="7"/>
    </row>
    <row r="31" spans="1:10" ht="16" customHeight="1">
      <c r="A31" s="7"/>
      <c r="B31" s="7"/>
      <c r="C31" s="17"/>
      <c r="D31" s="17"/>
      <c r="E31" s="17"/>
      <c r="F31" s="17"/>
      <c r="G31" s="17"/>
      <c r="H31" s="7"/>
      <c r="I31" s="7"/>
      <c r="J31" s="7"/>
    </row>
    <row r="32" spans="1:10" ht="16" customHeight="1">
      <c r="A32" s="7"/>
      <c r="B32" s="7"/>
      <c r="C32" s="18"/>
      <c r="D32" s="18"/>
      <c r="E32" s="18"/>
      <c r="F32" s="18"/>
      <c r="G32" s="18"/>
      <c r="H32" s="7"/>
      <c r="I32" s="7"/>
      <c r="J32" s="7"/>
    </row>
    <row r="33" spans="1:10" ht="16" customHeight="1">
      <c r="A33" s="7"/>
      <c r="B33" s="7"/>
      <c r="C33" s="17"/>
      <c r="D33" s="17"/>
      <c r="E33" s="17"/>
      <c r="F33" s="17"/>
      <c r="G33" s="17"/>
      <c r="H33" s="7"/>
      <c r="I33" s="7"/>
      <c r="J33" s="7"/>
    </row>
    <row r="34" spans="1:10" ht="16" customHeight="1">
      <c r="A34" s="7"/>
      <c r="B34" s="7"/>
      <c r="C34" s="18"/>
      <c r="D34" s="18"/>
      <c r="E34" s="18"/>
      <c r="F34" s="18"/>
      <c r="G34" s="18"/>
      <c r="H34" s="7"/>
      <c r="I34" s="7"/>
      <c r="J34" s="7"/>
    </row>
    <row r="35" spans="1:10" ht="16" customHeight="1">
      <c r="A35" s="7"/>
      <c r="B35" s="7"/>
      <c r="C35" s="17"/>
      <c r="D35" s="17"/>
      <c r="E35" s="17"/>
      <c r="F35" s="17"/>
      <c r="G35" s="17"/>
      <c r="H35" s="7"/>
      <c r="I35" s="7"/>
      <c r="J35" s="7"/>
    </row>
    <row r="36" spans="1:10" ht="16" customHeight="1">
      <c r="A36" s="7"/>
      <c r="B36" s="7"/>
      <c r="C36" s="18"/>
      <c r="D36" s="18"/>
      <c r="E36" s="18"/>
      <c r="F36" s="18"/>
      <c r="G36" s="18"/>
      <c r="H36" s="7"/>
      <c r="I36" s="7"/>
      <c r="J36" s="7"/>
    </row>
    <row r="37" spans="1:10" ht="16" customHeight="1">
      <c r="A37" s="7"/>
      <c r="B37" s="7"/>
      <c r="C37" s="17"/>
      <c r="D37" s="17"/>
      <c r="E37" s="17"/>
      <c r="F37" s="17"/>
      <c r="G37" s="17"/>
      <c r="H37" s="7"/>
      <c r="I37" s="7"/>
      <c r="J37" s="7"/>
    </row>
    <row r="38" spans="1:10" ht="16" customHeight="1">
      <c r="A38" s="7"/>
      <c r="B38" s="7"/>
      <c r="C38" s="18"/>
      <c r="D38" s="18"/>
      <c r="E38" s="18"/>
      <c r="F38" s="18"/>
      <c r="G38" s="18"/>
      <c r="H38" s="7"/>
      <c r="I38" s="7"/>
      <c r="J38" s="7"/>
    </row>
    <row r="39" spans="1:10" ht="16" customHeight="1">
      <c r="A39" s="7"/>
      <c r="B39" s="7"/>
      <c r="C39" s="17"/>
      <c r="D39" s="17"/>
      <c r="E39" s="17"/>
      <c r="F39" s="17"/>
      <c r="G39" s="17"/>
      <c r="H39" s="7"/>
      <c r="I39" s="7"/>
      <c r="J39" s="7"/>
    </row>
    <row r="40" spans="1:10" ht="16" customHeight="1">
      <c r="A40" s="7"/>
      <c r="B40" s="7"/>
      <c r="C40" s="18"/>
      <c r="D40" s="18"/>
      <c r="E40" s="18"/>
      <c r="F40" s="18"/>
      <c r="G40" s="18"/>
      <c r="H40" s="7"/>
      <c r="I40" s="7"/>
      <c r="J40" s="7"/>
    </row>
    <row r="41" spans="1:10" ht="16" customHeight="1">
      <c r="A41" s="7"/>
      <c r="B41" s="7"/>
      <c r="C41" s="17"/>
      <c r="D41" s="17"/>
      <c r="E41" s="17"/>
      <c r="F41" s="17"/>
      <c r="G41" s="17"/>
      <c r="H41" s="7"/>
      <c r="I41" s="7"/>
      <c r="J41" s="7"/>
    </row>
    <row r="42" spans="1:10" ht="16" customHeight="1">
      <c r="A42" s="7"/>
      <c r="B42" s="7"/>
      <c r="C42" s="18"/>
      <c r="D42" s="18"/>
      <c r="E42" s="18"/>
      <c r="F42" s="18"/>
      <c r="G42" s="18"/>
      <c r="H42" s="7"/>
      <c r="I42" s="7"/>
      <c r="J42" s="7"/>
    </row>
    <row r="43" spans="1:10">
      <c r="A43" s="7"/>
      <c r="B43" s="19" t="s">
        <v>117</v>
      </c>
      <c r="C43" s="19"/>
      <c r="D43" s="19"/>
      <c r="E43" s="19"/>
      <c r="F43" s="19"/>
      <c r="G43" s="19"/>
      <c r="H43" s="19"/>
      <c r="I43" s="19"/>
      <c r="J43" s="19"/>
    </row>
    <row r="44" spans="1:10">
      <c r="A44" s="7"/>
      <c r="B44" s="19"/>
      <c r="C44" s="19"/>
      <c r="D44" s="19"/>
      <c r="E44" s="19"/>
      <c r="F44" s="19"/>
      <c r="G44" s="19"/>
      <c r="H44" s="19"/>
      <c r="I44" s="19"/>
      <c r="J44" s="19"/>
    </row>
    <row r="45" spans="1:10" ht="24" customHeight="1">
      <c r="A45" s="7"/>
      <c r="B45" s="11" t="s">
        <v>118</v>
      </c>
      <c r="C45" s="11"/>
      <c r="D45" s="11"/>
      <c r="E45" s="11"/>
      <c r="F45" s="11"/>
      <c r="G45" s="11"/>
      <c r="H45" s="11"/>
      <c r="I45" s="11"/>
      <c r="J45" s="11"/>
    </row>
    <row r="46" spans="1:10" ht="20" customHeight="1">
      <c r="A46" s="7"/>
      <c r="B46" s="7"/>
      <c r="C46" s="16" t="s">
        <v>119</v>
      </c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20" t="s">
        <v>120</v>
      </c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20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30" customHeight="1">
      <c r="A52" s="7"/>
      <c r="B52" s="21" t="s">
        <v>121</v>
      </c>
      <c r="C52" s="21"/>
      <c r="D52" s="21"/>
      <c r="E52" s="21"/>
      <c r="F52" s="21"/>
      <c r="G52" s="21"/>
      <c r="H52" s="21"/>
      <c r="I52" s="21"/>
      <c r="J52" s="21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24" customHeight="1">
      <c r="A54" s="7"/>
      <c r="B54" s="22" t="s">
        <v>122</v>
      </c>
      <c r="C54" s="22"/>
      <c r="D54" s="23" t="s">
        <v>123</v>
      </c>
      <c r="E54" s="23"/>
      <c r="F54" s="24" t="s">
        <v>124</v>
      </c>
      <c r="G54" s="24"/>
      <c r="H54" s="25" t="s">
        <v>125</v>
      </c>
      <c r="I54" s="25"/>
      <c r="J54" s="7"/>
    </row>
    <row r="55" spans="1:10" ht="24" customHeight="1">
      <c r="A55" s="7"/>
      <c r="B55" s="26" t="s">
        <v>41</v>
      </c>
      <c r="C55" s="26"/>
      <c r="D55" s="27" t="s">
        <v>126</v>
      </c>
      <c r="E55" s="27"/>
      <c r="F55" s="28" t="s">
        <v>127</v>
      </c>
      <c r="G55" s="28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16">
    <mergeCell ref="B2:G2"/>
    <mergeCell ref="B3:G3"/>
    <mergeCell ref="H3:J3"/>
    <mergeCell ref="B5:J5"/>
    <mergeCell ref="B9:J9"/>
    <mergeCell ref="B21:J21"/>
    <mergeCell ref="B43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hyperlinks>
    <hyperlink ref="H3" location="'📊 Dashboard'!A1" display="🏠  Back to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M80"/>
  <sheetViews>
    <sheetView showGridLines="0" tabSelected="1" zoomScale="85" zoomScaleNormal="85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4" customHeight="1">
      <c r="A2" s="7"/>
      <c r="B2" s="29" t="str">
        <f>IF(BusinessName="","🧶  Craft Fair Command Center","🧶  "&amp;BusinessName&amp;"   •   Craft Fair Command Center")</f>
        <v>🧶  Craft Fair Command Center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26" customHeight="1">
      <c r="A3" s="7"/>
      <c r="B3" s="30">
        <f>IFERROR(TEXT(MIN('_Data'!$AG$2:$AG$25),"dd mmm")&amp;"  —  "&amp;INDEX('🏪 Craft Fairs'!$B$8:$B$31,MATCH(MIN('_Data'!$AG$2:$AG$25),'🏪 Craft Fairs'!$C$8:$C$31,0))&amp;"  is next —  pack the van!","🌴  No upcoming fairs logged — add one on the 🏪 Craft Fairs tab!")</f>
        <v/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ht="20" customHeight="1">
      <c r="A4" s="7"/>
      <c r="B4" s="21">
        <f>TEXT(TODAY(),"dddd, dd mmmm yyyy")&amp;"   •   "&amp;'_Data'!$AI$12&amp;" fairs on the books   •   "&amp;Currency&amp;TEXT('_Data'!$AI$2,"#,##0")&amp;" taken at the till   •   "&amp;Currency&amp;TEXT('_Data'!$AI$6,"#,##0")&amp;" net profit so far"</f>
        <v/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22" customHeight="1">
      <c r="A5" s="7"/>
      <c r="B5" s="31">
        <f>IF('⚙️ Lists &amp; Settings'!$C$7="","","📣  "&amp;'⚙️ Lists &amp; Settings'!$C$7)</f>
        <v/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128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2" t="s">
        <v>129</v>
      </c>
      <c r="C8" s="32"/>
      <c r="D8" s="33" t="s">
        <v>130</v>
      </c>
      <c r="E8" s="33"/>
      <c r="F8" s="34" t="s">
        <v>131</v>
      </c>
      <c r="G8" s="34"/>
      <c r="H8" s="35" t="s">
        <v>132</v>
      </c>
      <c r="I8" s="35"/>
      <c r="J8" s="36" t="s">
        <v>133</v>
      </c>
      <c r="K8" s="36"/>
      <c r="L8" s="37" t="s">
        <v>134</v>
      </c>
      <c r="M8" s="37"/>
    </row>
    <row r="9" spans="1:13" ht="26" customHeight="1">
      <c r="A9" s="7"/>
      <c r="B9" s="38">
        <f>Currency&amp;TEXT('_Data'!$AI$2,"#,##0")</f>
        <v>0</v>
      </c>
      <c r="C9" s="38"/>
      <c r="D9" s="39">
        <f>Currency&amp;TEXT('_Data'!$AI$6,"#,##0")</f>
        <v>0</v>
      </c>
      <c r="E9" s="39"/>
      <c r="F9" s="40" t="str">
        <f>TEXT('_Data'!$AI$7,"0%")</f>
        <v>0%</v>
      </c>
      <c r="G9" s="40"/>
      <c r="H9" s="41">
        <f>'_Data'!$AI$8</f>
        <v>0</v>
      </c>
      <c r="I9" s="41"/>
      <c r="J9" s="42">
        <f>'_Data'!$AI$13</f>
        <v>0</v>
      </c>
      <c r="K9" s="42"/>
      <c r="L9" s="43">
        <f>Currency&amp;TEXT('_Data'!$AI$10,"#,##0.00")</f>
        <v>0</v>
      </c>
      <c r="M9" s="43"/>
    </row>
    <row r="10" spans="1:13" ht="18" customHeight="1">
      <c r="A10" s="7"/>
      <c r="B10" s="35" t="s">
        <v>135</v>
      </c>
      <c r="C10" s="35"/>
      <c r="D10" s="44" t="s">
        <v>136</v>
      </c>
      <c r="E10" s="44"/>
      <c r="F10" s="34" t="s">
        <v>137</v>
      </c>
      <c r="G10" s="34"/>
      <c r="H10" s="32" t="s">
        <v>138</v>
      </c>
      <c r="I10" s="32"/>
      <c r="J10" s="37" t="s">
        <v>139</v>
      </c>
      <c r="K10" s="37"/>
      <c r="L10" s="44" t="s">
        <v>140</v>
      </c>
      <c r="M10" s="44"/>
    </row>
    <row r="11" spans="1:13" ht="26" customHeight="1">
      <c r="A11" s="7"/>
      <c r="B11" s="41">
        <f>Currency&amp;TEXT('_Data'!$AI$14,"#,##0.00")</f>
        <v>0</v>
      </c>
      <c r="C11" s="41"/>
      <c r="D11" s="45">
        <f>'_Data'!$AI$15+'_Data'!$AI$16</f>
        <v>0</v>
      </c>
      <c r="E11" s="45"/>
      <c r="F11" s="40" t="str">
        <f>TEXT('_Data'!$AI$18,"0%")</f>
        <v>0%</v>
      </c>
      <c r="G11" s="40"/>
      <c r="H11" s="38">
        <f>'_Data'!$AI$22</f>
        <v/>
      </c>
      <c r="I11" s="38"/>
      <c r="J11" s="43">
        <f>'_Data'!$AI$21</f>
        <v/>
      </c>
      <c r="K11" s="43"/>
      <c r="L11" s="45">
        <f>Currency&amp;TEXT('_Data'!$AI$17,"#,##0.00")</f>
        <v>0</v>
      </c>
      <c r="M11" s="45"/>
    </row>
    <row r="12" spans="1:13" ht="20" customHeight="1">
      <c r="A12" s="7"/>
      <c r="B12" s="46" t="s">
        <v>141</v>
      </c>
      <c r="C12" s="46"/>
      <c r="D12" s="47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░░░░░░░░░░░░░░░░░░░░░░░░░░░░░░░░░░</v>
      </c>
      <c r="E12" s="47"/>
      <c r="F12" s="47"/>
      <c r="G12" s="47"/>
      <c r="H12" s="47"/>
      <c r="I12" s="47"/>
      <c r="J12" s="47"/>
      <c r="K12" s="48" t="str">
        <f>TEXT(IFERROR('_Data'!$AI$6/'_Data'!$AI$2,0),"0.0%")</f>
        <v>0.0%</v>
      </c>
      <c r="L12" s="48"/>
      <c r="M12" s="48"/>
    </row>
    <row r="13" spans="1:13" ht="20" customHeight="1">
      <c r="A13" s="7"/>
      <c r="B13" s="46" t="s">
        <v>142</v>
      </c>
      <c r="C13" s="46"/>
      <c r="D13" s="47" t="str">
        <f>IFERROR(REPT("█",ROUND(MIN(1,IFERROR(('_Data'!$AI$8)/('_Data'!$AI$19),0))*34,0))&amp;REPT("░",34-ROUND(MIN(1,IFERROR(('_Data'!$AI$8)/('_Data'!$AI$19),0))*34,0)),"░░░░░░░░░░░░░░░░░░░░░░░░░░░░░░░░░░")</f>
        <v>░░░░░░░░░░░░░░░░░░░░░░░░░░░░░░░░░░</v>
      </c>
      <c r="E13" s="47"/>
      <c r="F13" s="47"/>
      <c r="G13" s="47"/>
      <c r="H13" s="47"/>
      <c r="I13" s="47"/>
      <c r="J13" s="47"/>
      <c r="K13" s="48" t="str">
        <f>TEXT(IFERROR('_Data'!$AI$8/'_Data'!$AI$19,0),"0.0%")</f>
        <v>0.0%</v>
      </c>
      <c r="L13" s="48"/>
      <c r="M13" s="48"/>
    </row>
    <row r="14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</row>
    <row r="54" spans="1:1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22" customHeight="1">
      <c r="A65" s="7"/>
      <c r="B65" s="49" t="s">
        <v>143</v>
      </c>
      <c r="C65" s="49"/>
      <c r="D65" s="49"/>
      <c r="E65" s="49"/>
      <c r="F65" s="49"/>
      <c r="G65" s="49"/>
      <c r="H65" s="49" t="s">
        <v>144</v>
      </c>
      <c r="I65" s="49"/>
      <c r="J65" s="49"/>
      <c r="K65" s="49"/>
      <c r="L65" s="49"/>
      <c r="M65" s="49"/>
    </row>
    <row r="66" spans="1:13" ht="18" customHeight="1">
      <c r="A66" s="7"/>
      <c r="B66" s="50" t="s">
        <v>145</v>
      </c>
      <c r="C66" s="50"/>
      <c r="D66" s="51">
        <f>'_Data'!$AI$22</f>
        <v/>
      </c>
      <c r="E66" s="51"/>
      <c r="F66" s="51"/>
      <c r="G66" s="51"/>
      <c r="H66" s="18">
        <f>IFERROR(INDEX('🧶 Product Catalog'!$C$8:$C$31,MATCH(1,'_Data'!$AK$2:$AK$25,0)),"")</f>
        <v/>
      </c>
      <c r="I66" s="18"/>
      <c r="J66" s="18"/>
      <c r="K66" s="18"/>
      <c r="L66" s="52">
        <f>IFERROR(INDEX('🧶 Product Catalog'!$M$8:$M$31,MATCH(1,'_Data'!$AK$2:$AK$25,0))&amp;" left (min "&amp;INDEX('🧶 Product Catalog'!$N$8:$N$31,MATCH(1,'_Data'!$AK$2:$AK$25,0))&amp;")","")</f>
        <v/>
      </c>
      <c r="M66" s="52"/>
    </row>
    <row r="67" spans="1:13" ht="18" customHeight="1">
      <c r="A67" s="7"/>
      <c r="B67" s="50" t="s">
        <v>146</v>
      </c>
      <c r="C67" s="50"/>
      <c r="D67" s="51">
        <f>'_Data'!$AI$23</f>
        <v/>
      </c>
      <c r="E67" s="51"/>
      <c r="F67" s="51"/>
      <c r="G67" s="51"/>
      <c r="H67" s="18">
        <f>IFERROR(INDEX('🧶 Product Catalog'!$C$8:$C$31,MATCH(2,'_Data'!$AK$2:$AK$25,0)),"")</f>
        <v/>
      </c>
      <c r="I67" s="18"/>
      <c r="J67" s="18"/>
      <c r="K67" s="18"/>
      <c r="L67" s="52">
        <f>IFERROR(INDEX('🧶 Product Catalog'!$M$8:$M$31,MATCH(2,'_Data'!$AK$2:$AK$25,0))&amp;" left (min "&amp;INDEX('🧶 Product Catalog'!$N$8:$N$31,MATCH(2,'_Data'!$AK$2:$AK$25,0))&amp;")","")</f>
        <v/>
      </c>
      <c r="M67" s="52"/>
    </row>
    <row r="68" spans="1:13" ht="18" customHeight="1">
      <c r="A68" s="7"/>
      <c r="B68" s="50" t="s">
        <v>147</v>
      </c>
      <c r="C68" s="50"/>
      <c r="D68" s="51">
        <f>'_Data'!$AI$24</f>
        <v/>
      </c>
      <c r="E68" s="51"/>
      <c r="F68" s="51"/>
      <c r="G68" s="51"/>
      <c r="H68" s="18">
        <f>IFERROR(INDEX('🧶 Product Catalog'!$C$8:$C$31,MATCH(3,'_Data'!$AK$2:$AK$25,0)),"")</f>
        <v/>
      </c>
      <c r="I68" s="18"/>
      <c r="J68" s="18"/>
      <c r="K68" s="18"/>
      <c r="L68" s="52">
        <f>IFERROR(INDEX('🧶 Product Catalog'!$M$8:$M$31,MATCH(3,'_Data'!$AK$2:$AK$25,0))&amp;" left (min "&amp;INDEX('🧶 Product Catalog'!$N$8:$N$31,MATCH(3,'_Data'!$AK$2:$AK$25,0))&amp;")","")</f>
        <v/>
      </c>
      <c r="M68" s="52"/>
    </row>
    <row r="69" spans="1:13" ht="18" customHeight="1">
      <c r="A69" s="7"/>
      <c r="B69" s="50" t="s">
        <v>148</v>
      </c>
      <c r="C69" s="50"/>
      <c r="D69" s="51">
        <f>'_Data'!$AI$25</f>
        <v/>
      </c>
      <c r="E69" s="51"/>
      <c r="F69" s="51"/>
      <c r="G69" s="51"/>
      <c r="H69" s="18">
        <f>IFERROR(INDEX('🧶 Product Catalog'!$C$8:$C$31,MATCH(4,'_Data'!$AK$2:$AK$25,0)),"")</f>
        <v/>
      </c>
      <c r="I69" s="18"/>
      <c r="J69" s="18"/>
      <c r="K69" s="18"/>
      <c r="L69" s="52">
        <f>IFERROR(INDEX('🧶 Product Catalog'!$M$8:$M$31,MATCH(4,'_Data'!$AK$2:$AK$25,0))&amp;" left (min "&amp;INDEX('🧶 Product Catalog'!$N$8:$N$31,MATCH(4,'_Data'!$AK$2:$AK$25,0))&amp;")","")</f>
        <v/>
      </c>
      <c r="M69" s="52"/>
    </row>
    <row r="70" spans="1:13" ht="18" customHeight="1">
      <c r="A70" s="7"/>
      <c r="B70" s="50" t="s">
        <v>149</v>
      </c>
      <c r="C70" s="50"/>
      <c r="D70" s="51">
        <f>'_Data'!$AI$26</f>
        <v/>
      </c>
      <c r="E70" s="51"/>
      <c r="F70" s="51"/>
      <c r="G70" s="51"/>
      <c r="H70" s="18">
        <f>IFERROR(INDEX('🧶 Product Catalog'!$C$8:$C$31,MATCH(5,'_Data'!$AK$2:$AK$25,0)),"")</f>
        <v/>
      </c>
      <c r="I70" s="18"/>
      <c r="J70" s="18"/>
      <c r="K70" s="18"/>
      <c r="L70" s="52">
        <f>IFERROR(INDEX('🧶 Product Catalog'!$M$8:$M$31,MATCH(5,'_Data'!$AK$2:$AK$25,0))&amp;" left (min "&amp;INDEX('🧶 Product Catalog'!$N$8:$N$31,MATCH(5,'_Data'!$AK$2:$AK$25,0))&amp;")","")</f>
        <v/>
      </c>
      <c r="M70" s="52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30" customHeight="1">
      <c r="A73" s="7"/>
      <c r="B73" s="21" t="s">
        <v>150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24" customHeight="1">
      <c r="A75" s="7"/>
      <c r="B75" s="22" t="s">
        <v>151</v>
      </c>
      <c r="C75" s="22"/>
      <c r="D75" s="23" t="s">
        <v>152</v>
      </c>
      <c r="E75" s="23"/>
      <c r="F75" s="24" t="s">
        <v>124</v>
      </c>
      <c r="G75" s="24"/>
      <c r="H75" s="25" t="s">
        <v>125</v>
      </c>
      <c r="I75" s="25"/>
      <c r="J75" s="26" t="s">
        <v>41</v>
      </c>
      <c r="K75" s="26"/>
      <c r="L75" s="27" t="s">
        <v>126</v>
      </c>
      <c r="M75" s="27"/>
    </row>
    <row r="76" spans="1:13" ht="24" customHeight="1">
      <c r="A76" s="7"/>
      <c r="B76" s="28" t="s">
        <v>127</v>
      </c>
      <c r="C76" s="28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</sheetData>
  <mergeCells count="65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5:G65"/>
    <mergeCell ref="H65:M65"/>
    <mergeCell ref="B66:C66"/>
    <mergeCell ref="D66:G66"/>
    <mergeCell ref="B67:C67"/>
    <mergeCell ref="D67:G67"/>
    <mergeCell ref="B68:C68"/>
    <mergeCell ref="D68:G68"/>
    <mergeCell ref="B69:C69"/>
    <mergeCell ref="D69:G69"/>
    <mergeCell ref="B70:C70"/>
    <mergeCell ref="D70:G70"/>
    <mergeCell ref="H66:K66"/>
    <mergeCell ref="L66:M66"/>
    <mergeCell ref="H67:K67"/>
    <mergeCell ref="L67:M67"/>
    <mergeCell ref="H68:K68"/>
    <mergeCell ref="L68:M68"/>
    <mergeCell ref="H69:K69"/>
    <mergeCell ref="L69:M69"/>
    <mergeCell ref="H70:K70"/>
    <mergeCell ref="L70:M70"/>
    <mergeCell ref="B73:M73"/>
    <mergeCell ref="B75:C75"/>
    <mergeCell ref="D75:E75"/>
    <mergeCell ref="F75:G75"/>
    <mergeCell ref="H75:I75"/>
    <mergeCell ref="J75:K75"/>
    <mergeCell ref="L75:M75"/>
    <mergeCell ref="B76:C76"/>
  </mergeCells>
  <hyperlinks>
    <hyperlink ref="B75" location="'⚙️ Lists &amp; Settings'!A1" display="Settings"/>
    <hyperlink ref="D75" location="'📊 Dashboard'!A1" display="▶ 🏠 Home"/>
    <hyperlink ref="F75" location="'🧶 Product Catalog'!A1" display="Products"/>
    <hyperlink ref="H75" location="'🏪 Craft Fairs'!A1" display="Fairs"/>
    <hyperlink ref="J75" location="'💰 Sales Log'!A1" display="Sales"/>
    <hyperlink ref="L75" location="'💵 Pricing Calculator'!A1" display="Pricing"/>
    <hyperlink ref="B7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E2725B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9.7109375" customWidth="1"/>
    <col min="12" max="12" width="8.7109375" customWidth="1"/>
    <col min="13" max="13" width="8.7109375" customWidth="1"/>
    <col min="14" max="14" width="8.7109375" customWidth="1"/>
    <col min="15" max="15" width="15.7109375" customWidth="1"/>
    <col min="16" max="16" width="18.7109375" customWidth="1"/>
  </cols>
  <sheetData>
    <row r="1" spans="1:16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32" customHeight="1">
      <c r="A2" s="7"/>
      <c r="B2" s="8" t="s">
        <v>153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  <c r="O2" s="7"/>
      <c r="P2" s="7"/>
    </row>
    <row r="3" spans="1:16" ht="18" customHeight="1">
      <c r="A3" s="7"/>
      <c r="B3" s="9" t="s">
        <v>154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155</v>
      </c>
      <c r="O3" s="10"/>
      <c r="P3" s="10"/>
    </row>
    <row r="4" spans="1:16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22" customHeight="1">
      <c r="A5" s="7"/>
      <c r="B5" s="53" t="str">
        <f>"🧶 Products: "&amp;COUNTA('🧶 Product Catalog'!$C$8:$C$31)</f>
        <v>Products: 0</v>
      </c>
      <c r="C5" s="53"/>
      <c r="D5" s="53"/>
      <c r="E5" s="54" t="str">
        <f>"💰 Stock value: "&amp;Currency&amp;TEXT(SUMPRODUCT(IFERROR('🧶 Product Catalog'!$M$8:$M$31*1,0)*IFERROR('🧶 Product Catalog'!$I$8:$I$31*1,0)),"#,##0.00")</f>
        <v>Stock value: $0.00</v>
      </c>
      <c r="F5" s="54"/>
      <c r="G5" s="54"/>
      <c r="H5" s="54"/>
      <c r="I5" s="55" t="str">
        <f>"🔴 Below minimum: "&amp;'_Data'!$AI$15</f>
        <v>Below minimum: 0</v>
      </c>
      <c r="J5" s="55"/>
      <c r="K5" s="55"/>
      <c r="L5" s="55"/>
      <c r="M5" s="56" t="str">
        <f>"📈 Avg margin: "&amp;TEXT(IFERROR(AVERAGE('🧶 Product Catalog'!$K$8:$K$31),0),"0%")</f>
        <v>Avg margin: 0%</v>
      </c>
      <c r="N5" s="56"/>
      <c r="O5" s="56"/>
      <c r="P5" s="7"/>
    </row>
    <row r="6" spans="1:16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36" customHeight="1">
      <c r="A7" s="16" t="s">
        <v>156</v>
      </c>
      <c r="B7" s="16" t="s">
        <v>157</v>
      </c>
      <c r="C7" s="16" t="s">
        <v>158</v>
      </c>
      <c r="D7" s="16" t="s">
        <v>28</v>
      </c>
      <c r="E7" s="16" t="s">
        <v>159</v>
      </c>
      <c r="F7" s="16" t="s">
        <v>160</v>
      </c>
      <c r="G7" s="16" t="s">
        <v>161</v>
      </c>
      <c r="H7" s="16" t="s">
        <v>162</v>
      </c>
      <c r="I7" s="57" t="s">
        <v>163</v>
      </c>
      <c r="J7" s="57" t="s">
        <v>164</v>
      </c>
      <c r="K7" s="57" t="s">
        <v>165</v>
      </c>
      <c r="L7" s="16" t="s">
        <v>166</v>
      </c>
      <c r="M7" s="16" t="s">
        <v>36</v>
      </c>
      <c r="N7" s="16" t="s">
        <v>167</v>
      </c>
      <c r="O7" s="16" t="s">
        <v>168</v>
      </c>
      <c r="P7" s="16" t="s">
        <v>169</v>
      </c>
    </row>
    <row r="8" spans="1:16" ht="32" customHeight="1">
      <c r="A8" s="58">
        <v>1</v>
      </c>
      <c r="B8" s="59"/>
      <c r="C8" s="59"/>
      <c r="D8" s="60"/>
      <c r="E8" s="61"/>
      <c r="F8" s="62"/>
      <c r="G8" s="62"/>
      <c r="H8" s="62"/>
      <c r="I8" s="63">
        <f>IF($C8="","",$G8+$H8)</f>
        <v>0</v>
      </c>
      <c r="J8" s="63">
        <f>IF($F8="","",$F8-$I8)</f>
        <v>0</v>
      </c>
      <c r="K8" s="64">
        <f>IF($F8="","",$J8/$F8)</f>
        <v>0</v>
      </c>
      <c r="L8" s="65"/>
      <c r="M8" s="66"/>
      <c r="N8" s="66"/>
      <c r="O8" s="67">
        <f>IF($C8="","",IF($M8&lt;=0,"🔴 Out of stock",IF($M8&lt;$N8,"🟠 Low stock","🟢 In stock")))</f>
        <v>0</v>
      </c>
      <c r="P8" s="68"/>
    </row>
    <row r="9" spans="1:16" ht="32" customHeight="1">
      <c r="A9" s="69">
        <v>2</v>
      </c>
      <c r="B9" s="70"/>
      <c r="C9" s="70"/>
      <c r="D9" s="71"/>
      <c r="E9" s="72"/>
      <c r="F9" s="73"/>
      <c r="G9" s="73"/>
      <c r="H9" s="73"/>
      <c r="I9" s="63">
        <f>IF($C9="","",$G9+$H9)</f>
        <v>0</v>
      </c>
      <c r="J9" s="63">
        <f>IF($F9="","",$F9-$I9)</f>
        <v>0</v>
      </c>
      <c r="K9" s="64">
        <f>IF($F9="","",$J9/$F9)</f>
        <v>0</v>
      </c>
      <c r="L9" s="74"/>
      <c r="M9" s="75"/>
      <c r="N9" s="75"/>
      <c r="O9" s="67">
        <f>IF($C9="","",IF($M9&lt;=0,"🔴 Out of stock",IF($M9&lt;$N9,"🟠 Low stock","🟢 In stock")))</f>
        <v>0</v>
      </c>
      <c r="P9" s="76"/>
    </row>
    <row r="10" spans="1:16" ht="32" customHeight="1">
      <c r="A10" s="58">
        <v>3</v>
      </c>
      <c r="B10" s="59"/>
      <c r="C10" s="59"/>
      <c r="D10" s="60"/>
      <c r="E10" s="61"/>
      <c r="F10" s="62"/>
      <c r="G10" s="62"/>
      <c r="H10" s="62"/>
      <c r="I10" s="63">
        <f>IF($C10="","",$G10+$H10)</f>
        <v>0</v>
      </c>
      <c r="J10" s="63">
        <f>IF($F10="","",$F10-$I10)</f>
        <v>0</v>
      </c>
      <c r="K10" s="64">
        <f>IF($F10="","",$J10/$F10)</f>
        <v>0</v>
      </c>
      <c r="L10" s="65"/>
      <c r="M10" s="66"/>
      <c r="N10" s="66"/>
      <c r="O10" s="67">
        <f>IF($C10="","",IF($M10&lt;=0,"🔴 Out of stock",IF($M10&lt;$N10,"🟠 Low stock","🟢 In stock")))</f>
        <v>0</v>
      </c>
      <c r="P10" s="68"/>
    </row>
    <row r="11" spans="1:16" ht="32" customHeight="1">
      <c r="A11" s="69">
        <v>4</v>
      </c>
      <c r="B11" s="70"/>
      <c r="C11" s="70"/>
      <c r="D11" s="71"/>
      <c r="E11" s="72"/>
      <c r="F11" s="73"/>
      <c r="G11" s="73"/>
      <c r="H11" s="73"/>
      <c r="I11" s="63">
        <f>IF($C11="","",$G11+$H11)</f>
        <v>0</v>
      </c>
      <c r="J11" s="63">
        <f>IF($F11="","",$F11-$I11)</f>
        <v>0</v>
      </c>
      <c r="K11" s="64">
        <f>IF($F11="","",$J11/$F11)</f>
        <v>0</v>
      </c>
      <c r="L11" s="74"/>
      <c r="M11" s="75"/>
      <c r="N11" s="75"/>
      <c r="O11" s="67">
        <f>IF($C11="","",IF($M11&lt;=0,"🔴 Out of stock",IF($M11&lt;$N11,"🟠 Low stock","🟢 In stock")))</f>
        <v>0</v>
      </c>
      <c r="P11" s="76"/>
    </row>
    <row r="12" spans="1:16" ht="32" customHeight="1">
      <c r="A12" s="58">
        <v>5</v>
      </c>
      <c r="B12" s="59"/>
      <c r="C12" s="59"/>
      <c r="D12" s="60"/>
      <c r="E12" s="61"/>
      <c r="F12" s="62"/>
      <c r="G12" s="62"/>
      <c r="H12" s="62"/>
      <c r="I12" s="63">
        <f>IF($C12="","",$G12+$H12)</f>
        <v>0</v>
      </c>
      <c r="J12" s="63">
        <f>IF($F12="","",$F12-$I12)</f>
        <v>0</v>
      </c>
      <c r="K12" s="64">
        <f>IF($F12="","",$J12/$F12)</f>
        <v>0</v>
      </c>
      <c r="L12" s="65"/>
      <c r="M12" s="66"/>
      <c r="N12" s="66"/>
      <c r="O12" s="67">
        <f>IF($C12="","",IF($M12&lt;=0,"🔴 Out of stock",IF($M12&lt;$N12,"🟠 Low stock","🟢 In stock")))</f>
        <v>0</v>
      </c>
      <c r="P12" s="68"/>
    </row>
    <row r="13" spans="1:16" ht="32" customHeight="1">
      <c r="A13" s="69">
        <v>6</v>
      </c>
      <c r="B13" s="70"/>
      <c r="C13" s="70"/>
      <c r="D13" s="71"/>
      <c r="E13" s="72"/>
      <c r="F13" s="73"/>
      <c r="G13" s="73"/>
      <c r="H13" s="73"/>
      <c r="I13" s="63">
        <f>IF($C13="","",$G13+$H13)</f>
        <v>0</v>
      </c>
      <c r="J13" s="63">
        <f>IF($F13="","",$F13-$I13)</f>
        <v>0</v>
      </c>
      <c r="K13" s="64">
        <f>IF($F13="","",$J13/$F13)</f>
        <v>0</v>
      </c>
      <c r="L13" s="74"/>
      <c r="M13" s="75"/>
      <c r="N13" s="75"/>
      <c r="O13" s="67">
        <f>IF($C13="","",IF($M13&lt;=0,"🔴 Out of stock",IF($M13&lt;$N13,"🟠 Low stock","🟢 In stock")))</f>
        <v>0</v>
      </c>
      <c r="P13" s="76"/>
    </row>
    <row r="14" spans="1:16" ht="32" customHeight="1">
      <c r="A14" s="58">
        <v>7</v>
      </c>
      <c r="B14" s="59"/>
      <c r="C14" s="59"/>
      <c r="D14" s="60"/>
      <c r="E14" s="61"/>
      <c r="F14" s="62"/>
      <c r="G14" s="62"/>
      <c r="H14" s="62"/>
      <c r="I14" s="63">
        <f>IF($C14="","",$G14+$H14)</f>
        <v>0</v>
      </c>
      <c r="J14" s="63">
        <f>IF($F14="","",$F14-$I14)</f>
        <v>0</v>
      </c>
      <c r="K14" s="64">
        <f>IF($F14="","",$J14/$F14)</f>
        <v>0</v>
      </c>
      <c r="L14" s="65"/>
      <c r="M14" s="66"/>
      <c r="N14" s="66"/>
      <c r="O14" s="67">
        <f>IF($C14="","",IF($M14&lt;=0,"🔴 Out of stock",IF($M14&lt;$N14,"🟠 Low stock","🟢 In stock")))</f>
        <v>0</v>
      </c>
      <c r="P14" s="68"/>
    </row>
    <row r="15" spans="1:16" ht="32" customHeight="1">
      <c r="A15" s="69">
        <v>8</v>
      </c>
      <c r="B15" s="70"/>
      <c r="C15" s="70"/>
      <c r="D15" s="71"/>
      <c r="E15" s="72"/>
      <c r="F15" s="73"/>
      <c r="G15" s="73"/>
      <c r="H15" s="73"/>
      <c r="I15" s="63">
        <f>IF($C15="","",$G15+$H15)</f>
        <v>0</v>
      </c>
      <c r="J15" s="63">
        <f>IF($F15="","",$F15-$I15)</f>
        <v>0</v>
      </c>
      <c r="K15" s="64">
        <f>IF($F15="","",$J15/$F15)</f>
        <v>0</v>
      </c>
      <c r="L15" s="74"/>
      <c r="M15" s="75"/>
      <c r="N15" s="75"/>
      <c r="O15" s="67">
        <f>IF($C15="","",IF($M15&lt;=0,"🔴 Out of stock",IF($M15&lt;$N15,"🟠 Low stock","🟢 In stock")))</f>
        <v>0</v>
      </c>
      <c r="P15" s="76"/>
    </row>
    <row r="16" spans="1:16" ht="32" customHeight="1">
      <c r="A16" s="58">
        <v>9</v>
      </c>
      <c r="B16" s="59"/>
      <c r="C16" s="59"/>
      <c r="D16" s="60"/>
      <c r="E16" s="61"/>
      <c r="F16" s="62"/>
      <c r="G16" s="62"/>
      <c r="H16" s="62"/>
      <c r="I16" s="63">
        <f>IF($C16="","",$G16+$H16)</f>
        <v>0</v>
      </c>
      <c r="J16" s="63">
        <f>IF($F16="","",$F16-$I16)</f>
        <v>0</v>
      </c>
      <c r="K16" s="64">
        <f>IF($F16="","",$J16/$F16)</f>
        <v>0</v>
      </c>
      <c r="L16" s="65"/>
      <c r="M16" s="66"/>
      <c r="N16" s="66"/>
      <c r="O16" s="67">
        <f>IF($C16="","",IF($M16&lt;=0,"🔴 Out of stock",IF($M16&lt;$N16,"🟠 Low stock","🟢 In stock")))</f>
        <v>0</v>
      </c>
      <c r="P16" s="68"/>
    </row>
    <row r="17" spans="1:16" ht="32" customHeight="1">
      <c r="A17" s="69">
        <v>10</v>
      </c>
      <c r="B17" s="70"/>
      <c r="C17" s="70"/>
      <c r="D17" s="71"/>
      <c r="E17" s="72"/>
      <c r="F17" s="73"/>
      <c r="G17" s="73"/>
      <c r="H17" s="73"/>
      <c r="I17" s="63">
        <f>IF($C17="","",$G17+$H17)</f>
        <v>0</v>
      </c>
      <c r="J17" s="63">
        <f>IF($F17="","",$F17-$I17)</f>
        <v>0</v>
      </c>
      <c r="K17" s="64">
        <f>IF($F17="","",$J17/$F17)</f>
        <v>0</v>
      </c>
      <c r="L17" s="74"/>
      <c r="M17" s="75"/>
      <c r="N17" s="75"/>
      <c r="O17" s="67">
        <f>IF($C17="","",IF($M17&lt;=0,"🔴 Out of stock",IF($M17&lt;$N17,"🟠 Low stock","🟢 In stock")))</f>
        <v>0</v>
      </c>
      <c r="P17" s="76"/>
    </row>
    <row r="18" spans="1:16" ht="32" customHeight="1">
      <c r="A18" s="58">
        <v>11</v>
      </c>
      <c r="B18" s="59"/>
      <c r="C18" s="59"/>
      <c r="D18" s="60"/>
      <c r="E18" s="61"/>
      <c r="F18" s="62"/>
      <c r="G18" s="62"/>
      <c r="H18" s="62"/>
      <c r="I18" s="63">
        <f>IF($C18="","",$G18+$H18)</f>
        <v>0</v>
      </c>
      <c r="J18" s="63">
        <f>IF($F18="","",$F18-$I18)</f>
        <v>0</v>
      </c>
      <c r="K18" s="64">
        <f>IF($F18="","",$J18/$F18)</f>
        <v>0</v>
      </c>
      <c r="L18" s="65"/>
      <c r="M18" s="66"/>
      <c r="N18" s="66"/>
      <c r="O18" s="67">
        <f>IF($C18="","",IF($M18&lt;=0,"🔴 Out of stock",IF($M18&lt;$N18,"🟠 Low stock","🟢 In stock")))</f>
        <v>0</v>
      </c>
      <c r="P18" s="68"/>
    </row>
    <row r="19" spans="1:16" ht="32" customHeight="1">
      <c r="A19" s="69">
        <v>12</v>
      </c>
      <c r="B19" s="70"/>
      <c r="C19" s="70"/>
      <c r="D19" s="71"/>
      <c r="E19" s="72"/>
      <c r="F19" s="73"/>
      <c r="G19" s="73"/>
      <c r="H19" s="73"/>
      <c r="I19" s="63">
        <f>IF($C19="","",$G19+$H19)</f>
        <v>0</v>
      </c>
      <c r="J19" s="63">
        <f>IF($F19="","",$F19-$I19)</f>
        <v>0</v>
      </c>
      <c r="K19" s="64">
        <f>IF($F19="","",$J19/$F19)</f>
        <v>0</v>
      </c>
      <c r="L19" s="74"/>
      <c r="M19" s="75"/>
      <c r="N19" s="75"/>
      <c r="O19" s="67">
        <f>IF($C19="","",IF($M19&lt;=0,"🔴 Out of stock",IF($M19&lt;$N19,"🟠 Low stock","🟢 In stock")))</f>
        <v>0</v>
      </c>
      <c r="P19" s="76"/>
    </row>
    <row r="20" spans="1:16" ht="32" customHeight="1">
      <c r="A20" s="58">
        <v>13</v>
      </c>
      <c r="B20" s="59"/>
      <c r="C20" s="59"/>
      <c r="D20" s="60"/>
      <c r="E20" s="61"/>
      <c r="F20" s="62"/>
      <c r="G20" s="62"/>
      <c r="H20" s="62"/>
      <c r="I20" s="63">
        <f>IF($C20="","",$G20+$H20)</f>
        <v>0</v>
      </c>
      <c r="J20" s="63">
        <f>IF($F20="","",$F20-$I20)</f>
        <v>0</v>
      </c>
      <c r="K20" s="64">
        <f>IF($F20="","",$J20/$F20)</f>
        <v>0</v>
      </c>
      <c r="L20" s="65"/>
      <c r="M20" s="66"/>
      <c r="N20" s="66"/>
      <c r="O20" s="67">
        <f>IF($C20="","",IF($M20&lt;=0,"🔴 Out of stock",IF($M20&lt;$N20,"🟠 Low stock","🟢 In stock")))</f>
        <v>0</v>
      </c>
      <c r="P20" s="68"/>
    </row>
    <row r="21" spans="1:16" ht="32" customHeight="1">
      <c r="A21" s="69">
        <v>14</v>
      </c>
      <c r="B21" s="70"/>
      <c r="C21" s="70"/>
      <c r="D21" s="71"/>
      <c r="E21" s="72"/>
      <c r="F21" s="73"/>
      <c r="G21" s="73"/>
      <c r="H21" s="73"/>
      <c r="I21" s="63">
        <f>IF($C21="","",$G21+$H21)</f>
        <v>0</v>
      </c>
      <c r="J21" s="63">
        <f>IF($F21="","",$F21-$I21)</f>
        <v>0</v>
      </c>
      <c r="K21" s="64">
        <f>IF($F21="","",$J21/$F21)</f>
        <v>0</v>
      </c>
      <c r="L21" s="74"/>
      <c r="M21" s="75"/>
      <c r="N21" s="75"/>
      <c r="O21" s="67">
        <f>IF($C21="","",IF($M21&lt;=0,"🔴 Out of stock",IF($M21&lt;$N21,"🟠 Low stock","🟢 In stock")))</f>
        <v>0</v>
      </c>
      <c r="P21" s="76"/>
    </row>
    <row r="22" spans="1:16" ht="32" customHeight="1">
      <c r="A22" s="58">
        <v>15</v>
      </c>
      <c r="B22" s="59"/>
      <c r="C22" s="59"/>
      <c r="D22" s="60"/>
      <c r="E22" s="61"/>
      <c r="F22" s="62"/>
      <c r="G22" s="62"/>
      <c r="H22" s="62"/>
      <c r="I22" s="63">
        <f>IF($C22="","",$G22+$H22)</f>
        <v>0</v>
      </c>
      <c r="J22" s="63">
        <f>IF($F22="","",$F22-$I22)</f>
        <v>0</v>
      </c>
      <c r="K22" s="64">
        <f>IF($F22="","",$J22/$F22)</f>
        <v>0</v>
      </c>
      <c r="L22" s="65"/>
      <c r="M22" s="66"/>
      <c r="N22" s="66"/>
      <c r="O22" s="67">
        <f>IF($C22="","",IF($M22&lt;=0,"🔴 Out of stock",IF($M22&lt;$N22,"🟠 Low stock","🟢 In stock")))</f>
        <v>0</v>
      </c>
      <c r="P22" s="68"/>
    </row>
    <row r="23" spans="1:16" ht="32" customHeight="1">
      <c r="A23" s="69">
        <v>16</v>
      </c>
      <c r="B23" s="70"/>
      <c r="C23" s="70"/>
      <c r="D23" s="71"/>
      <c r="E23" s="72"/>
      <c r="F23" s="73"/>
      <c r="G23" s="73"/>
      <c r="H23" s="73"/>
      <c r="I23" s="63">
        <f>IF($C23="","",$G23+$H23)</f>
        <v>0</v>
      </c>
      <c r="J23" s="63">
        <f>IF($F23="","",$F23-$I23)</f>
        <v>0</v>
      </c>
      <c r="K23" s="64">
        <f>IF($F23="","",$J23/$F23)</f>
        <v>0</v>
      </c>
      <c r="L23" s="74"/>
      <c r="M23" s="75"/>
      <c r="N23" s="75"/>
      <c r="O23" s="67">
        <f>IF($C23="","",IF($M23&lt;=0,"🔴 Out of stock",IF($M23&lt;$N23,"🟠 Low stock","🟢 In stock")))</f>
        <v>0</v>
      </c>
      <c r="P23" s="76"/>
    </row>
    <row r="24" spans="1:16" ht="32" customHeight="1">
      <c r="A24" s="58">
        <v>17</v>
      </c>
      <c r="B24" s="59"/>
      <c r="C24" s="59"/>
      <c r="D24" s="60"/>
      <c r="E24" s="61"/>
      <c r="F24" s="62"/>
      <c r="G24" s="62"/>
      <c r="H24" s="62"/>
      <c r="I24" s="63">
        <f>IF($C24="","",$G24+$H24)</f>
        <v>0</v>
      </c>
      <c r="J24" s="63">
        <f>IF($F24="","",$F24-$I24)</f>
        <v>0</v>
      </c>
      <c r="K24" s="64">
        <f>IF($F24="","",$J24/$F24)</f>
        <v>0</v>
      </c>
      <c r="L24" s="65"/>
      <c r="M24" s="66"/>
      <c r="N24" s="66"/>
      <c r="O24" s="67">
        <f>IF($C24="","",IF($M24&lt;=0,"🔴 Out of stock",IF($M24&lt;$N24,"🟠 Low stock","🟢 In stock")))</f>
        <v>0</v>
      </c>
      <c r="P24" s="68"/>
    </row>
    <row r="25" spans="1:16" ht="32" customHeight="1">
      <c r="A25" s="69">
        <v>18</v>
      </c>
      <c r="B25" s="70"/>
      <c r="C25" s="70"/>
      <c r="D25" s="71"/>
      <c r="E25" s="72"/>
      <c r="F25" s="73"/>
      <c r="G25" s="73"/>
      <c r="H25" s="73"/>
      <c r="I25" s="63">
        <f>IF($C25="","",$G25+$H25)</f>
        <v>0</v>
      </c>
      <c r="J25" s="63">
        <f>IF($F25="","",$F25-$I25)</f>
        <v>0</v>
      </c>
      <c r="K25" s="64">
        <f>IF($F25="","",$J25/$F25)</f>
        <v>0</v>
      </c>
      <c r="L25" s="74"/>
      <c r="M25" s="75"/>
      <c r="N25" s="75"/>
      <c r="O25" s="67">
        <f>IF($C25="","",IF($M25&lt;=0,"🔴 Out of stock",IF($M25&lt;$N25,"🟠 Low stock","🟢 In stock")))</f>
        <v>0</v>
      </c>
      <c r="P25" s="76"/>
    </row>
    <row r="26" spans="1:16" ht="32" customHeight="1">
      <c r="A26" s="58">
        <v>19</v>
      </c>
      <c r="B26" s="59"/>
      <c r="C26" s="59"/>
      <c r="D26" s="60"/>
      <c r="E26" s="61"/>
      <c r="F26" s="62"/>
      <c r="G26" s="62"/>
      <c r="H26" s="62"/>
      <c r="I26" s="63">
        <f>IF($C26="","",$G26+$H26)</f>
        <v>0</v>
      </c>
      <c r="J26" s="63">
        <f>IF($F26="","",$F26-$I26)</f>
        <v>0</v>
      </c>
      <c r="K26" s="64">
        <f>IF($F26="","",$J26/$F26)</f>
        <v>0</v>
      </c>
      <c r="L26" s="65"/>
      <c r="M26" s="66"/>
      <c r="N26" s="66"/>
      <c r="O26" s="67">
        <f>IF($C26="","",IF($M26&lt;=0,"🔴 Out of stock",IF($M26&lt;$N26,"🟠 Low stock","🟢 In stock")))</f>
        <v>0</v>
      </c>
      <c r="P26" s="68"/>
    </row>
    <row r="27" spans="1:16" ht="32" customHeight="1">
      <c r="A27" s="69">
        <v>20</v>
      </c>
      <c r="B27" s="70"/>
      <c r="C27" s="70"/>
      <c r="D27" s="71"/>
      <c r="E27" s="72"/>
      <c r="F27" s="73"/>
      <c r="G27" s="73"/>
      <c r="H27" s="73"/>
      <c r="I27" s="63">
        <f>IF($C27="","",$G27+$H27)</f>
        <v>0</v>
      </c>
      <c r="J27" s="63">
        <f>IF($F27="","",$F27-$I27)</f>
        <v>0</v>
      </c>
      <c r="K27" s="64">
        <f>IF($F27="","",$J27/$F27)</f>
        <v>0</v>
      </c>
      <c r="L27" s="74"/>
      <c r="M27" s="75"/>
      <c r="N27" s="75"/>
      <c r="O27" s="67">
        <f>IF($C27="","",IF($M27&lt;=0,"🔴 Out of stock",IF($M27&lt;$N27,"🟠 Low stock","🟢 In stock")))</f>
        <v>0</v>
      </c>
      <c r="P27" s="76"/>
    </row>
    <row r="28" spans="1:16" ht="32" customHeight="1">
      <c r="A28" s="58">
        <v>21</v>
      </c>
      <c r="B28" s="59"/>
      <c r="C28" s="59"/>
      <c r="D28" s="60"/>
      <c r="E28" s="61"/>
      <c r="F28" s="62"/>
      <c r="G28" s="62"/>
      <c r="H28" s="62"/>
      <c r="I28" s="63">
        <f>IF($C28="","",$G28+$H28)</f>
        <v>0</v>
      </c>
      <c r="J28" s="63">
        <f>IF($F28="","",$F28-$I28)</f>
        <v>0</v>
      </c>
      <c r="K28" s="64">
        <f>IF($F28="","",$J28/$F28)</f>
        <v>0</v>
      </c>
      <c r="L28" s="65"/>
      <c r="M28" s="66"/>
      <c r="N28" s="66"/>
      <c r="O28" s="67">
        <f>IF($C28="","",IF($M28&lt;=0,"🔴 Out of stock",IF($M28&lt;$N28,"🟠 Low stock","🟢 In stock")))</f>
        <v>0</v>
      </c>
      <c r="P28" s="68"/>
    </row>
    <row r="29" spans="1:16" ht="32" customHeight="1">
      <c r="A29" s="69">
        <v>22</v>
      </c>
      <c r="B29" s="70"/>
      <c r="C29" s="70"/>
      <c r="D29" s="71"/>
      <c r="E29" s="72"/>
      <c r="F29" s="73"/>
      <c r="G29" s="73"/>
      <c r="H29" s="73"/>
      <c r="I29" s="63">
        <f>IF($C29="","",$G29+$H29)</f>
        <v>0</v>
      </c>
      <c r="J29" s="63">
        <f>IF($F29="","",$F29-$I29)</f>
        <v>0</v>
      </c>
      <c r="K29" s="64">
        <f>IF($F29="","",$J29/$F29)</f>
        <v>0</v>
      </c>
      <c r="L29" s="74"/>
      <c r="M29" s="75"/>
      <c r="N29" s="75"/>
      <c r="O29" s="67">
        <f>IF($C29="","",IF($M29&lt;=0,"🔴 Out of stock",IF($M29&lt;$N29,"🟠 Low stock","🟢 In stock")))</f>
        <v>0</v>
      </c>
      <c r="P29" s="76"/>
    </row>
    <row r="30" spans="1:16" ht="32" customHeight="1">
      <c r="A30" s="58">
        <v>23</v>
      </c>
      <c r="B30" s="59"/>
      <c r="C30" s="59"/>
      <c r="D30" s="60"/>
      <c r="E30" s="61"/>
      <c r="F30" s="62"/>
      <c r="G30" s="62"/>
      <c r="H30" s="62"/>
      <c r="I30" s="63">
        <f>IF($C30="","",$G30+$H30)</f>
        <v>0</v>
      </c>
      <c r="J30" s="63">
        <f>IF($F30="","",$F30-$I30)</f>
        <v>0</v>
      </c>
      <c r="K30" s="64">
        <f>IF($F30="","",$J30/$F30)</f>
        <v>0</v>
      </c>
      <c r="L30" s="65"/>
      <c r="M30" s="66"/>
      <c r="N30" s="66"/>
      <c r="O30" s="67">
        <f>IF($C30="","",IF($M30&lt;=0,"🔴 Out of stock",IF($M30&lt;$N30,"🟠 Low stock","🟢 In stock")))</f>
        <v>0</v>
      </c>
      <c r="P30" s="68"/>
    </row>
    <row r="31" spans="1:16" ht="32" customHeight="1">
      <c r="A31" s="69">
        <v>24</v>
      </c>
      <c r="B31" s="70"/>
      <c r="C31" s="70"/>
      <c r="D31" s="71"/>
      <c r="E31" s="72"/>
      <c r="F31" s="73"/>
      <c r="G31" s="73"/>
      <c r="H31" s="73"/>
      <c r="I31" s="63">
        <f>IF($C31="","",$G31+$H31)</f>
        <v>0</v>
      </c>
      <c r="J31" s="63">
        <f>IF($F31="","",$F31-$I31)</f>
        <v>0</v>
      </c>
      <c r="K31" s="64">
        <f>IF($F31="","",$J31/$F31)</f>
        <v>0</v>
      </c>
      <c r="L31" s="74"/>
      <c r="M31" s="75"/>
      <c r="N31" s="75"/>
      <c r="O31" s="67">
        <f>IF($C31="","",IF($M31&lt;=0,"🔴 Out of stock",IF($M31&lt;$N31,"🟠 Low stock","🟢 In stock")))</f>
        <v>0</v>
      </c>
      <c r="P31" s="76"/>
    </row>
    <row r="32" spans="1:1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customHeight="1">
      <c r="A34" s="7"/>
      <c r="B34" s="21" t="s">
        <v>170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24" customHeight="1">
      <c r="A36" s="7"/>
      <c r="B36" s="22" t="s">
        <v>151</v>
      </c>
      <c r="C36" s="22"/>
      <c r="D36" s="23" t="s">
        <v>123</v>
      </c>
      <c r="E36" s="23"/>
      <c r="F36" s="24" t="s">
        <v>171</v>
      </c>
      <c r="G36" s="24"/>
      <c r="H36" s="25" t="s">
        <v>125</v>
      </c>
      <c r="I36" s="25"/>
      <c r="J36" s="26" t="s">
        <v>41</v>
      </c>
      <c r="K36" s="26"/>
      <c r="L36" s="27" t="s">
        <v>126</v>
      </c>
      <c r="M36" s="27"/>
      <c r="N36" s="28" t="s">
        <v>127</v>
      </c>
      <c r="O36" s="28"/>
      <c r="P36" s="7"/>
    </row>
    <row r="37" spans="1:1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</sheetData>
  <mergeCells count="15">
    <mergeCell ref="B2:M2"/>
    <mergeCell ref="B3:M3"/>
    <mergeCell ref="N3:P3"/>
    <mergeCell ref="B5:D5"/>
    <mergeCell ref="E5:H5"/>
    <mergeCell ref="I5:L5"/>
    <mergeCell ref="M5:O5"/>
    <mergeCell ref="B34:P34"/>
    <mergeCell ref="B36:C36"/>
    <mergeCell ref="D36:E36"/>
    <mergeCell ref="F36:G36"/>
    <mergeCell ref="H36:I36"/>
    <mergeCell ref="J36:K36"/>
    <mergeCell ref="L36:M36"/>
    <mergeCell ref="N36:O36"/>
  </mergeCells>
  <conditionalFormatting sqref="K8:K31">
    <cfRule type="cellIs" dxfId="3" priority="4" operator="lessThan">
      <formula>0.3</formula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5">
    <dataValidation type="list" allowBlank="1" showInputMessage="1" promptTitle="Product category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100000</formula2>
    </dataValidation>
  </dataValidations>
  <hyperlinks>
    <hyperlink ref="N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▶ Products"/>
    <hyperlink ref="H36" location="'🏪 Craft Fairs'!A1" display="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227"/>
    <pageSetUpPr fitToPage="1"/>
  </sheetPr>
  <dimension ref="A1:R42"/>
  <sheetViews>
    <sheetView showGridLines="0" zoomScale="90" zoomScaleNormal="90" workbookViewId="0"/>
  </sheetViews>
  <sheetFormatPr defaultRowHeight="15" x14ac:dyDescent="0.2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10.7109375" customWidth="1"/>
    <col min="12" max="12" width="8.7109375" customWidth="1"/>
    <col min="13" max="13" width="8.7109375" customWidth="1"/>
    <col min="14" max="14" width="10.7109375" customWidth="1"/>
    <col min="15" max="15" width="10.7109375" customWidth="1"/>
    <col min="16" max="16" width="10.7109375" customWidth="1"/>
    <col min="17" max="17" width="9.7109375" customWidth="1"/>
    <col min="18" max="18" width="22.7109375" customWidth="1"/>
  </cols>
  <sheetData>
    <row r="1" spans="1:18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2" customHeight="1" x14ac:dyDescent="0.25">
      <c r="A2" s="7"/>
      <c r="B2" s="8" t="s">
        <v>172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 x14ac:dyDescent="0.25">
      <c r="A3" s="7"/>
      <c r="B3" s="9" t="s">
        <v>173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155</v>
      </c>
      <c r="Q3" s="10"/>
      <c r="R3" s="10"/>
    </row>
    <row r="4" spans="1:18" ht="8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2" customHeight="1" x14ac:dyDescent="0.25">
      <c r="A5" s="7"/>
      <c r="B5" s="53" t="str">
        <f>"🏪 Fairs logged: "&amp;COUNTA('🏪 Craft Fairs'!$B$8:$B$31)</f>
        <v>Fairs logged: 0</v>
      </c>
      <c r="C5" s="53"/>
      <c r="D5" s="53"/>
      <c r="E5" s="56" t="str">
        <f>"✅ Worked: "&amp;'_Data'!$AI$13</f>
        <v>Worked: 0</v>
      </c>
      <c r="F5" s="56"/>
      <c r="G5" s="56"/>
      <c r="H5" s="54" t="str">
        <f>"💰 Takings: "&amp;Currency&amp;TEXT(SUM('🏪 Craft Fairs'!$N$8:$N$31),"#,##0")</f>
        <v>Takings: $0</v>
      </c>
      <c r="I5" s="54"/>
      <c r="J5" s="54"/>
      <c r="K5" s="77" t="str">
        <f>"🏆 Best fair: "&amp;'_Data'!$AI$21</f>
        <v>Best fair: </v>
      </c>
      <c r="L5" s="77"/>
      <c r="M5" s="77"/>
      <c r="N5" s="77"/>
      <c r="O5" s="77"/>
      <c r="P5" s="7"/>
      <c r="Q5" s="7"/>
      <c r="R5" s="7"/>
    </row>
    <row r="6" spans="1:18" ht="8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 x14ac:dyDescent="0.25">
      <c r="A7" s="16" t="s">
        <v>156</v>
      </c>
      <c r="B7" s="16" t="s">
        <v>174</v>
      </c>
      <c r="C7" s="16" t="s">
        <v>175</v>
      </c>
      <c r="D7" s="16" t="s">
        <v>176</v>
      </c>
      <c r="E7" s="16" t="s">
        <v>177</v>
      </c>
      <c r="F7" s="16" t="s">
        <v>178</v>
      </c>
      <c r="G7" s="16" t="s">
        <v>31</v>
      </c>
      <c r="H7" s="16" t="s">
        <v>32</v>
      </c>
      <c r="I7" s="16" t="s">
        <v>179</v>
      </c>
      <c r="J7" s="16" t="s">
        <v>180</v>
      </c>
      <c r="K7" s="78" t="s">
        <v>181</v>
      </c>
      <c r="L7" s="16" t="s">
        <v>182</v>
      </c>
      <c r="M7" s="57" t="s">
        <v>183</v>
      </c>
      <c r="N7" s="57" t="s">
        <v>184</v>
      </c>
      <c r="O7" s="57" t="s">
        <v>185</v>
      </c>
      <c r="P7" s="79" t="s">
        <v>49</v>
      </c>
      <c r="Q7" s="79" t="s">
        <v>186</v>
      </c>
      <c r="R7" s="16" t="s">
        <v>187</v>
      </c>
    </row>
    <row r="8" spans="1:18" ht="26" customHeight="1" x14ac:dyDescent="0.25">
      <c r="A8" s="58">
        <v>1</v>
      </c>
      <c r="B8" s="59"/>
      <c r="C8" s="80"/>
      <c r="D8" s="59"/>
      <c r="E8" s="59"/>
      <c r="F8" s="81"/>
      <c r="G8" s="81"/>
      <c r="H8" s="81"/>
      <c r="I8" s="81"/>
      <c r="J8" s="81"/>
      <c r="K8" s="63">
        <f>IF($B8="","",SUM($F8:$J8))</f>
        <v>0</v>
      </c>
      <c r="L8" s="66"/>
      <c r="M8" s="82">
        <f>IF($B8="","",SUMIFS('💰 Sales Log'!$E$8:$E$67,'💰 Sales Log'!$C$8:$C$67,$B8))</f>
        <v>0</v>
      </c>
      <c r="N8" s="63">
        <f>IF($B8="","",SUMIFS('💰 Sales Log'!$H$8:$H$67,'💰 Sales Log'!$C$8:$C$67,$B8))</f>
        <v>0</v>
      </c>
      <c r="O8" s="63">
        <f>IF($B8="","",SUMIFS('💰 Sales Log'!$M$8:$M$67,'💰 Sales Log'!$C$8:$C$67,$B8))</f>
        <v>0</v>
      </c>
      <c r="P8" s="63">
        <f>IF($N8="","",$N8-$K8-$O8)</f>
        <v>0</v>
      </c>
      <c r="Q8" s="64">
        <f>IF($N8="","",IF($N8=0,"",$P8/$N8))</f>
        <v>0</v>
      </c>
      <c r="R8" s="83">
        <f>IF($B8="","",IFERROR(INDEX('💰 Sales Log'!$D$8:$D$67,MATCH(1,INDEX(('💰 Sales Log'!$C$8:$C$67=$B8)*('💰 Sales Log'!$L$8:$L$67=SUMPRODUCT(MAX(('💰 Sales Log'!$C$8:$C$67=$B8)*'💰 Sales Log'!$L$8:$L$67))),0),0)),""))</f>
        <v>0</v>
      </c>
    </row>
    <row r="9" spans="1:18" ht="26" customHeight="1" x14ac:dyDescent="0.25">
      <c r="A9" s="69">
        <v>2</v>
      </c>
      <c r="B9" s="70"/>
      <c r="C9" s="84"/>
      <c r="D9" s="70"/>
      <c r="E9" s="70"/>
      <c r="F9" s="85"/>
      <c r="G9" s="85"/>
      <c r="H9" s="85"/>
      <c r="I9" s="85"/>
      <c r="J9" s="85"/>
      <c r="K9" s="63">
        <f>IF($B9="","",SUM($F9:$J9))</f>
        <v>0</v>
      </c>
      <c r="L9" s="75"/>
      <c r="M9" s="82">
        <f>IF($B9="","",SUMIFS('💰 Sales Log'!$E$8:$E$67,'💰 Sales Log'!$C$8:$C$67,$B9))</f>
        <v>0</v>
      </c>
      <c r="N9" s="63">
        <f>IF($B9="","",SUMIFS('💰 Sales Log'!$H$8:$H$67,'💰 Sales Log'!$C$8:$C$67,$B9))</f>
        <v>0</v>
      </c>
      <c r="O9" s="63">
        <f>IF($B9="","",SUMIFS('💰 Sales Log'!$M$8:$M$67,'💰 Sales Log'!$C$8:$C$67,$B9))</f>
        <v>0</v>
      </c>
      <c r="P9" s="63">
        <f>IF($N9="","",$N9-$K9-$O9)</f>
        <v>0</v>
      </c>
      <c r="Q9" s="64">
        <f>IF($N9="","",IF($N9=0,"",$P9/$N9))</f>
        <v>0</v>
      </c>
      <c r="R9" s="83">
        <f>IF($B9="","",IFERROR(INDEX('💰 Sales Log'!$D$8:$D$67,MATCH(1,INDEX(('💰 Sales Log'!$C$8:$C$67=$B9)*('💰 Sales Log'!$L$8:$L$67=SUMPRODUCT(MAX(('💰 Sales Log'!$C$8:$C$67=$B9)*'💰 Sales Log'!$L$8:$L$67))),0),0)),""))</f>
        <v>0</v>
      </c>
    </row>
    <row r="10" spans="1:18" ht="26" customHeight="1" x14ac:dyDescent="0.25">
      <c r="A10" s="58">
        <v>3</v>
      </c>
      <c r="B10" s="59"/>
      <c r="C10" s="80"/>
      <c r="D10" s="59"/>
      <c r="E10" s="59"/>
      <c r="F10" s="81"/>
      <c r="G10" s="81"/>
      <c r="H10" s="81"/>
      <c r="I10" s="81"/>
      <c r="J10" s="81"/>
      <c r="K10" s="63">
        <f>IF($B10="","",SUM($F10:$J10))</f>
        <v>0</v>
      </c>
      <c r="L10" s="66"/>
      <c r="M10" s="82">
        <f>IF($B10="","",SUMIFS('💰 Sales Log'!$E$8:$E$67,'💰 Sales Log'!$C$8:$C$67,$B10))</f>
        <v>0</v>
      </c>
      <c r="N10" s="63">
        <f>IF($B10="","",SUMIFS('💰 Sales Log'!$H$8:$H$67,'💰 Sales Log'!$C$8:$C$67,$B10))</f>
        <v>0</v>
      </c>
      <c r="O10" s="63">
        <f>IF($B10="","",SUMIFS('💰 Sales Log'!$M$8:$M$67,'💰 Sales Log'!$C$8:$C$67,$B10))</f>
        <v>0</v>
      </c>
      <c r="P10" s="63">
        <f>IF($N10="","",$N10-$K10-$O10)</f>
        <v>0</v>
      </c>
      <c r="Q10" s="64">
        <f>IF($N10="","",IF($N10=0,"",$P10/$N10))</f>
        <v>0</v>
      </c>
      <c r="R10" s="83">
        <f>IF($B10="","",IFERROR(INDEX('💰 Sales Log'!$D$8:$D$67,MATCH(1,INDEX(('💰 Sales Log'!$C$8:$C$67=$B10)*('💰 Sales Log'!$L$8:$L$67=SUMPRODUCT(MAX(('💰 Sales Log'!$C$8:$C$67=$B10)*'💰 Sales Log'!$L$8:$L$67))),0),0)),""))</f>
        <v>0</v>
      </c>
    </row>
    <row r="11" spans="1:18" ht="26" customHeight="1" x14ac:dyDescent="0.25">
      <c r="A11" s="69">
        <v>4</v>
      </c>
      <c r="B11" s="70"/>
      <c r="C11" s="84"/>
      <c r="D11" s="70"/>
      <c r="E11" s="70"/>
      <c r="F11" s="85"/>
      <c r="G11" s="85"/>
      <c r="H11" s="85"/>
      <c r="I11" s="85"/>
      <c r="J11" s="85"/>
      <c r="K11" s="63">
        <f>IF($B11="","",SUM($F11:$J11))</f>
        <v>0</v>
      </c>
      <c r="L11" s="75"/>
      <c r="M11" s="82">
        <f>IF($B11="","",SUMIFS('💰 Sales Log'!$E$8:$E$67,'💰 Sales Log'!$C$8:$C$67,$B11))</f>
        <v>0</v>
      </c>
      <c r="N11" s="63">
        <f>IF($B11="","",SUMIFS('💰 Sales Log'!$H$8:$H$67,'💰 Sales Log'!$C$8:$C$67,$B11))</f>
        <v>0</v>
      </c>
      <c r="O11" s="63">
        <f>IF($B11="","",SUMIFS('💰 Sales Log'!$M$8:$M$67,'💰 Sales Log'!$C$8:$C$67,$B11))</f>
        <v>0</v>
      </c>
      <c r="P11" s="63">
        <f>IF($N11="","",$N11-$K11-$O11)</f>
        <v>0</v>
      </c>
      <c r="Q11" s="64">
        <f>IF($N11="","",IF($N11=0,"",$P11/$N11))</f>
        <v>0</v>
      </c>
      <c r="R11" s="83">
        <f>IF($B11="","",IFERROR(INDEX('💰 Sales Log'!$D$8:$D$67,MATCH(1,INDEX(('💰 Sales Log'!$C$8:$C$67=$B11)*('💰 Sales Log'!$L$8:$L$67=SUMPRODUCT(MAX(('💰 Sales Log'!$C$8:$C$67=$B11)*'💰 Sales Log'!$L$8:$L$67))),0),0)),""))</f>
        <v>0</v>
      </c>
    </row>
    <row r="12" spans="1:18" ht="26" customHeight="1" x14ac:dyDescent="0.25">
      <c r="A12" s="58">
        <v>5</v>
      </c>
      <c r="B12" s="59"/>
      <c r="C12" s="80"/>
      <c r="D12" s="59"/>
      <c r="E12" s="59"/>
      <c r="F12" s="81"/>
      <c r="G12" s="81"/>
      <c r="H12" s="81"/>
      <c r="I12" s="81"/>
      <c r="J12" s="81"/>
      <c r="K12" s="63">
        <f>IF($B12="","",SUM($F12:$J12))</f>
        <v>0</v>
      </c>
      <c r="L12" s="66"/>
      <c r="M12" s="82">
        <f>IF($B12="","",SUMIFS('💰 Sales Log'!$E$8:$E$67,'💰 Sales Log'!$C$8:$C$67,$B12))</f>
        <v>0</v>
      </c>
      <c r="N12" s="63">
        <f>IF($B12="","",SUMIFS('💰 Sales Log'!$H$8:$H$67,'💰 Sales Log'!$C$8:$C$67,$B12))</f>
        <v>0</v>
      </c>
      <c r="O12" s="63">
        <f>IF($B12="","",SUMIFS('💰 Sales Log'!$M$8:$M$67,'💰 Sales Log'!$C$8:$C$67,$B12))</f>
        <v>0</v>
      </c>
      <c r="P12" s="63">
        <f>IF($N12="","",$N12-$K12-$O12)</f>
        <v>0</v>
      </c>
      <c r="Q12" s="64">
        <f>IF($N12="","",IF($N12=0,"",$P12/$N12))</f>
        <v>0</v>
      </c>
      <c r="R12" s="83">
        <f>IF($B12="","",IFERROR(INDEX('💰 Sales Log'!$D$8:$D$67,MATCH(1,INDEX(('💰 Sales Log'!$C$8:$C$67=$B12)*('💰 Sales Log'!$L$8:$L$67=SUMPRODUCT(MAX(('💰 Sales Log'!$C$8:$C$67=$B12)*'💰 Sales Log'!$L$8:$L$67))),0),0)),""))</f>
        <v>0</v>
      </c>
    </row>
    <row r="13" spans="1:18" ht="26" customHeight="1" x14ac:dyDescent="0.25">
      <c r="A13" s="69">
        <v>6</v>
      </c>
      <c r="B13" s="70"/>
      <c r="C13" s="84"/>
      <c r="D13" s="70"/>
      <c r="E13" s="70"/>
      <c r="F13" s="85"/>
      <c r="G13" s="85"/>
      <c r="H13" s="85"/>
      <c r="I13" s="85"/>
      <c r="J13" s="85"/>
      <c r="K13" s="63">
        <f>IF($B13="","",SUM($F13:$J13))</f>
        <v>0</v>
      </c>
      <c r="L13" s="75"/>
      <c r="M13" s="82">
        <f>IF($B13="","",SUMIFS('💰 Sales Log'!$E$8:$E$67,'💰 Sales Log'!$C$8:$C$67,$B13))</f>
        <v>0</v>
      </c>
      <c r="N13" s="63">
        <f>IF($B13="","",SUMIFS('💰 Sales Log'!$H$8:$H$67,'💰 Sales Log'!$C$8:$C$67,$B13))</f>
        <v>0</v>
      </c>
      <c r="O13" s="63">
        <f>IF($B13="","",SUMIFS('💰 Sales Log'!$M$8:$M$67,'💰 Sales Log'!$C$8:$C$67,$B13))</f>
        <v>0</v>
      </c>
      <c r="P13" s="63">
        <f>IF($N13="","",$N13-$K13-$O13)</f>
        <v>0</v>
      </c>
      <c r="Q13" s="64">
        <f>IF($N13="","",IF($N13=0,"",$P13/$N13))</f>
        <v>0</v>
      </c>
      <c r="R13" s="83">
        <f>IF($B13="","",IFERROR(INDEX('💰 Sales Log'!$D$8:$D$67,MATCH(1,INDEX(('💰 Sales Log'!$C$8:$C$67=$B13)*('💰 Sales Log'!$L$8:$L$67=SUMPRODUCT(MAX(('💰 Sales Log'!$C$8:$C$67=$B13)*'💰 Sales Log'!$L$8:$L$67))),0),0)),""))</f>
        <v>0</v>
      </c>
    </row>
    <row r="14" spans="1:18" ht="26" customHeight="1" x14ac:dyDescent="0.25">
      <c r="A14" s="58">
        <v>7</v>
      </c>
      <c r="B14" s="59"/>
      <c r="C14" s="80"/>
      <c r="D14" s="59"/>
      <c r="E14" s="59"/>
      <c r="F14" s="81"/>
      <c r="G14" s="81"/>
      <c r="H14" s="81"/>
      <c r="I14" s="81"/>
      <c r="J14" s="81"/>
      <c r="K14" s="63">
        <f>IF($B14="","",SUM($F14:$J14))</f>
        <v>0</v>
      </c>
      <c r="L14" s="66"/>
      <c r="M14" s="82">
        <f>IF($B14="","",SUMIFS('💰 Sales Log'!$E$8:$E$67,'💰 Sales Log'!$C$8:$C$67,$B14))</f>
        <v>0</v>
      </c>
      <c r="N14" s="63">
        <f>IF($B14="","",SUMIFS('💰 Sales Log'!$H$8:$H$67,'💰 Sales Log'!$C$8:$C$67,$B14))</f>
        <v>0</v>
      </c>
      <c r="O14" s="63">
        <f>IF($B14="","",SUMIFS('💰 Sales Log'!$M$8:$M$67,'💰 Sales Log'!$C$8:$C$67,$B14))</f>
        <v>0</v>
      </c>
      <c r="P14" s="63">
        <f>IF($N14="","",$N14-$K14-$O14)</f>
        <v>0</v>
      </c>
      <c r="Q14" s="64">
        <f>IF($N14="","",IF($N14=0,"",$P14/$N14))</f>
        <v>0</v>
      </c>
      <c r="R14" s="83">
        <f>IF($B14="","",IFERROR(INDEX('💰 Sales Log'!$D$8:$D$67,MATCH(1,INDEX(('💰 Sales Log'!$C$8:$C$67=$B14)*('💰 Sales Log'!$L$8:$L$67=SUMPRODUCT(MAX(('💰 Sales Log'!$C$8:$C$67=$B14)*'💰 Sales Log'!$L$8:$L$67))),0),0)),""))</f>
        <v>0</v>
      </c>
    </row>
    <row r="15" spans="1:18" ht="26" customHeight="1" x14ac:dyDescent="0.25">
      <c r="A15" s="69">
        <v>8</v>
      </c>
      <c r="B15" s="70"/>
      <c r="C15" s="84"/>
      <c r="D15" s="70"/>
      <c r="E15" s="70"/>
      <c r="F15" s="85"/>
      <c r="G15" s="85"/>
      <c r="H15" s="85"/>
      <c r="I15" s="85"/>
      <c r="J15" s="85"/>
      <c r="K15" s="63">
        <f>IF($B15="","",SUM($F15:$J15))</f>
        <v>0</v>
      </c>
      <c r="L15" s="75"/>
      <c r="M15" s="82">
        <f>IF($B15="","",SUMIFS('💰 Sales Log'!$E$8:$E$67,'💰 Sales Log'!$C$8:$C$67,$B15))</f>
        <v>0</v>
      </c>
      <c r="N15" s="63">
        <f>IF($B15="","",SUMIFS('💰 Sales Log'!$H$8:$H$67,'💰 Sales Log'!$C$8:$C$67,$B15))</f>
        <v>0</v>
      </c>
      <c r="O15" s="63">
        <f>IF($B15="","",SUMIFS('💰 Sales Log'!$M$8:$M$67,'💰 Sales Log'!$C$8:$C$67,$B15))</f>
        <v>0</v>
      </c>
      <c r="P15" s="63">
        <f>IF($N15="","",$N15-$K15-$O15)</f>
        <v>0</v>
      </c>
      <c r="Q15" s="64">
        <f>IF($N15="","",IF($N15=0,"",$P15/$N15))</f>
        <v>0</v>
      </c>
      <c r="R15" s="83">
        <f>IF($B15="","",IFERROR(INDEX('💰 Sales Log'!$D$8:$D$67,MATCH(1,INDEX(('💰 Sales Log'!$C$8:$C$67=$B15)*('💰 Sales Log'!$L$8:$L$67=SUMPRODUCT(MAX(('💰 Sales Log'!$C$8:$C$67=$B15)*'💰 Sales Log'!$L$8:$L$67))),0),0)),""))</f>
        <v>0</v>
      </c>
    </row>
    <row r="16" spans="1:18" ht="26" customHeight="1" x14ac:dyDescent="0.25">
      <c r="A16" s="58">
        <v>9</v>
      </c>
      <c r="B16" s="59"/>
      <c r="C16" s="80"/>
      <c r="D16" s="59"/>
      <c r="E16" s="59"/>
      <c r="F16" s="81"/>
      <c r="G16" s="81"/>
      <c r="H16" s="81"/>
      <c r="I16" s="81"/>
      <c r="J16" s="81"/>
      <c r="K16" s="63">
        <f>IF($B16="","",SUM($F16:$J16))</f>
        <v>0</v>
      </c>
      <c r="L16" s="66"/>
      <c r="M16" s="82">
        <f>IF($B16="","",SUMIFS('💰 Sales Log'!$E$8:$E$67,'💰 Sales Log'!$C$8:$C$67,$B16))</f>
        <v>0</v>
      </c>
      <c r="N16" s="63">
        <f>IF($B16="","",SUMIFS('💰 Sales Log'!$H$8:$H$67,'💰 Sales Log'!$C$8:$C$67,$B16))</f>
        <v>0</v>
      </c>
      <c r="O16" s="63">
        <f>IF($B16="","",SUMIFS('💰 Sales Log'!$M$8:$M$67,'💰 Sales Log'!$C$8:$C$67,$B16))</f>
        <v>0</v>
      </c>
      <c r="P16" s="63">
        <f>IF($N16="","",$N16-$K16-$O16)</f>
        <v>0</v>
      </c>
      <c r="Q16" s="64">
        <f>IF($N16="","",IF($N16=0,"",$P16/$N16))</f>
        <v>0</v>
      </c>
      <c r="R16" s="83">
        <f>IF($B16="","",IFERROR(INDEX('💰 Sales Log'!$D$8:$D$67,MATCH(1,INDEX(('💰 Sales Log'!$C$8:$C$67=$B16)*('💰 Sales Log'!$L$8:$L$67=SUMPRODUCT(MAX(('💰 Sales Log'!$C$8:$C$67=$B16)*'💰 Sales Log'!$L$8:$L$67))),0),0)),""))</f>
        <v>0</v>
      </c>
    </row>
    <row r="17" spans="1:18" ht="26" customHeight="1" x14ac:dyDescent="0.25">
      <c r="A17" s="69">
        <v>10</v>
      </c>
      <c r="B17" s="70"/>
      <c r="C17" s="84"/>
      <c r="D17" s="70"/>
      <c r="E17" s="70"/>
      <c r="F17" s="85"/>
      <c r="G17" s="85"/>
      <c r="H17" s="85"/>
      <c r="I17" s="85"/>
      <c r="J17" s="85"/>
      <c r="K17" s="63">
        <f>IF($B17="","",SUM($F17:$J17))</f>
        <v>0</v>
      </c>
      <c r="L17" s="75"/>
      <c r="M17" s="82">
        <f>IF($B17="","",SUMIFS('💰 Sales Log'!$E$8:$E$67,'💰 Sales Log'!$C$8:$C$67,$B17))</f>
        <v>0</v>
      </c>
      <c r="N17" s="63">
        <f>IF($B17="","",SUMIFS('💰 Sales Log'!$H$8:$H$67,'💰 Sales Log'!$C$8:$C$67,$B17))</f>
        <v>0</v>
      </c>
      <c r="O17" s="63">
        <f>IF($B17="","",SUMIFS('💰 Sales Log'!$M$8:$M$67,'💰 Sales Log'!$C$8:$C$67,$B17))</f>
        <v>0</v>
      </c>
      <c r="P17" s="63">
        <f>IF($N17="","",$N17-$K17-$O17)</f>
        <v>0</v>
      </c>
      <c r="Q17" s="64">
        <f>IF($N17="","",IF($N17=0,"",$P17/$N17))</f>
        <v>0</v>
      </c>
      <c r="R17" s="83">
        <f>IF($B17="","",IFERROR(INDEX('💰 Sales Log'!$D$8:$D$67,MATCH(1,INDEX(('💰 Sales Log'!$C$8:$C$67=$B17)*('💰 Sales Log'!$L$8:$L$67=SUMPRODUCT(MAX(('💰 Sales Log'!$C$8:$C$67=$B17)*'💰 Sales Log'!$L$8:$L$67))),0),0)),""))</f>
        <v>0</v>
      </c>
    </row>
    <row r="18" spans="1:18" ht="26" customHeight="1" x14ac:dyDescent="0.25">
      <c r="A18" s="58">
        <v>11</v>
      </c>
      <c r="B18" s="59"/>
      <c r="C18" s="80"/>
      <c r="D18" s="59"/>
      <c r="E18" s="59"/>
      <c r="F18" s="81"/>
      <c r="G18" s="81"/>
      <c r="H18" s="81"/>
      <c r="I18" s="81"/>
      <c r="J18" s="81"/>
      <c r="K18" s="63">
        <f>IF($B18="","",SUM($F18:$J18))</f>
        <v>0</v>
      </c>
      <c r="L18" s="66"/>
      <c r="M18" s="82">
        <f>IF($B18="","",SUMIFS('💰 Sales Log'!$E$8:$E$67,'💰 Sales Log'!$C$8:$C$67,$B18))</f>
        <v>0</v>
      </c>
      <c r="N18" s="63">
        <f>IF($B18="","",SUMIFS('💰 Sales Log'!$H$8:$H$67,'💰 Sales Log'!$C$8:$C$67,$B18))</f>
        <v>0</v>
      </c>
      <c r="O18" s="63">
        <f>IF($B18="","",SUMIFS('💰 Sales Log'!$M$8:$M$67,'💰 Sales Log'!$C$8:$C$67,$B18))</f>
        <v>0</v>
      </c>
      <c r="P18" s="63">
        <f>IF($N18="","",$N18-$K18-$O18)</f>
        <v>0</v>
      </c>
      <c r="Q18" s="64">
        <f>IF($N18="","",IF($N18=0,"",$P18/$N18))</f>
        <v>0</v>
      </c>
      <c r="R18" s="83">
        <f>IF($B18="","",IFERROR(INDEX('💰 Sales Log'!$D$8:$D$67,MATCH(1,INDEX(('💰 Sales Log'!$C$8:$C$67=$B18)*('💰 Sales Log'!$L$8:$L$67=SUMPRODUCT(MAX(('💰 Sales Log'!$C$8:$C$67=$B18)*'💰 Sales Log'!$L$8:$L$67))),0),0)),""))</f>
        <v>0</v>
      </c>
    </row>
    <row r="19" spans="1:18" ht="26" customHeight="1" x14ac:dyDescent="0.25">
      <c r="A19" s="69">
        <v>12</v>
      </c>
      <c r="B19" s="70"/>
      <c r="C19" s="84"/>
      <c r="D19" s="70"/>
      <c r="E19" s="70"/>
      <c r="F19" s="85"/>
      <c r="G19" s="85"/>
      <c r="H19" s="85"/>
      <c r="I19" s="85"/>
      <c r="J19" s="85"/>
      <c r="K19" s="63">
        <f>IF($B19="","",SUM($F19:$J19))</f>
        <v>0</v>
      </c>
      <c r="L19" s="75"/>
      <c r="M19" s="82">
        <f>IF($B19="","",SUMIFS('💰 Sales Log'!$E$8:$E$67,'💰 Sales Log'!$C$8:$C$67,$B19))</f>
        <v>0</v>
      </c>
      <c r="N19" s="63">
        <f>IF($B19="","",SUMIFS('💰 Sales Log'!$H$8:$H$67,'💰 Sales Log'!$C$8:$C$67,$B19))</f>
        <v>0</v>
      </c>
      <c r="O19" s="63">
        <f>IF($B19="","",SUMIFS('💰 Sales Log'!$M$8:$M$67,'💰 Sales Log'!$C$8:$C$67,$B19))</f>
        <v>0</v>
      </c>
      <c r="P19" s="63">
        <f>IF($N19="","",$N19-$K19-$O19)</f>
        <v>0</v>
      </c>
      <c r="Q19" s="64">
        <f>IF($N19="","",IF($N19=0,"",$P19/$N19))</f>
        <v>0</v>
      </c>
      <c r="R19" s="83">
        <f>IF($B19="","",IFERROR(INDEX('💰 Sales Log'!$D$8:$D$67,MATCH(1,INDEX(('💰 Sales Log'!$C$8:$C$67=$B19)*('💰 Sales Log'!$L$8:$L$67=SUMPRODUCT(MAX(('💰 Sales Log'!$C$8:$C$67=$B19)*'💰 Sales Log'!$L$8:$L$67))),0),0)),""))</f>
        <v>0</v>
      </c>
    </row>
    <row r="20" spans="1:18" ht="26" customHeight="1" x14ac:dyDescent="0.25">
      <c r="A20" s="58">
        <v>13</v>
      </c>
      <c r="B20" s="59"/>
      <c r="C20" s="80"/>
      <c r="D20" s="59"/>
      <c r="E20" s="59"/>
      <c r="F20" s="81"/>
      <c r="G20" s="81"/>
      <c r="H20" s="81"/>
      <c r="I20" s="81"/>
      <c r="J20" s="81"/>
      <c r="K20" s="63">
        <f>IF($B20="","",SUM($F20:$J20))</f>
        <v>0</v>
      </c>
      <c r="L20" s="66"/>
      <c r="M20" s="82">
        <f>IF($B20="","",SUMIFS('💰 Sales Log'!$E$8:$E$67,'💰 Sales Log'!$C$8:$C$67,$B20))</f>
        <v>0</v>
      </c>
      <c r="N20" s="63">
        <f>IF($B20="","",SUMIFS('💰 Sales Log'!$H$8:$H$67,'💰 Sales Log'!$C$8:$C$67,$B20))</f>
        <v>0</v>
      </c>
      <c r="O20" s="63">
        <f>IF($B20="","",SUMIFS('💰 Sales Log'!$M$8:$M$67,'💰 Sales Log'!$C$8:$C$67,$B20))</f>
        <v>0</v>
      </c>
      <c r="P20" s="63">
        <f>IF($N20="","",$N20-$K20-$O20)</f>
        <v>0</v>
      </c>
      <c r="Q20" s="64">
        <f>IF($N20="","",IF($N20=0,"",$P20/$N20))</f>
        <v>0</v>
      </c>
      <c r="R20" s="83">
        <f>IF($B20="","",IFERROR(INDEX('💰 Sales Log'!$D$8:$D$67,MATCH(1,INDEX(('💰 Sales Log'!$C$8:$C$67=$B20)*('💰 Sales Log'!$L$8:$L$67=SUMPRODUCT(MAX(('💰 Sales Log'!$C$8:$C$67=$B20)*'💰 Sales Log'!$L$8:$L$67))),0),0)),""))</f>
        <v>0</v>
      </c>
    </row>
    <row r="21" spans="1:18" ht="26" customHeight="1" x14ac:dyDescent="0.25">
      <c r="A21" s="69">
        <v>14</v>
      </c>
      <c r="B21" s="70"/>
      <c r="C21" s="84"/>
      <c r="D21" s="70"/>
      <c r="E21" s="70"/>
      <c r="F21" s="85"/>
      <c r="G21" s="85"/>
      <c r="H21" s="85"/>
      <c r="I21" s="85"/>
      <c r="J21" s="85"/>
      <c r="K21" s="63">
        <f>IF($B21="","",SUM($F21:$J21))</f>
        <v>0</v>
      </c>
      <c r="L21" s="75"/>
      <c r="M21" s="82">
        <f>IF($B21="","",SUMIFS('💰 Sales Log'!$E$8:$E$67,'💰 Sales Log'!$C$8:$C$67,$B21))</f>
        <v>0</v>
      </c>
      <c r="N21" s="63">
        <f>IF($B21="","",SUMIFS('💰 Sales Log'!$H$8:$H$67,'💰 Sales Log'!$C$8:$C$67,$B21))</f>
        <v>0</v>
      </c>
      <c r="O21" s="63">
        <f>IF($B21="","",SUMIFS('💰 Sales Log'!$M$8:$M$67,'💰 Sales Log'!$C$8:$C$67,$B21))</f>
        <v>0</v>
      </c>
      <c r="P21" s="63">
        <f>IF($N21="","",$N21-$K21-$O21)</f>
        <v>0</v>
      </c>
      <c r="Q21" s="64">
        <f>IF($N21="","",IF($N21=0,"",$P21/$N21))</f>
        <v>0</v>
      </c>
      <c r="R21" s="83">
        <f>IF($B21="","",IFERROR(INDEX('💰 Sales Log'!$D$8:$D$67,MATCH(1,INDEX(('💰 Sales Log'!$C$8:$C$67=$B21)*('💰 Sales Log'!$L$8:$L$67=SUMPRODUCT(MAX(('💰 Sales Log'!$C$8:$C$67=$B21)*'💰 Sales Log'!$L$8:$L$67))),0),0)),""))</f>
        <v>0</v>
      </c>
    </row>
    <row r="22" spans="1:18" ht="26" customHeight="1" x14ac:dyDescent="0.25">
      <c r="A22" s="58">
        <v>15</v>
      </c>
      <c r="B22" s="59"/>
      <c r="C22" s="80"/>
      <c r="D22" s="59"/>
      <c r="E22" s="59"/>
      <c r="F22" s="81"/>
      <c r="G22" s="81"/>
      <c r="H22" s="81"/>
      <c r="I22" s="81"/>
      <c r="J22" s="81"/>
      <c r="K22" s="63">
        <f>IF($B22="","",SUM($F22:$J22))</f>
        <v>0</v>
      </c>
      <c r="L22" s="66"/>
      <c r="M22" s="82">
        <f>IF($B22="","",SUMIFS('💰 Sales Log'!$E$8:$E$67,'💰 Sales Log'!$C$8:$C$67,$B22))</f>
        <v>0</v>
      </c>
      <c r="N22" s="63">
        <f>IF($B22="","",SUMIFS('💰 Sales Log'!$H$8:$H$67,'💰 Sales Log'!$C$8:$C$67,$B22))</f>
        <v>0</v>
      </c>
      <c r="O22" s="63">
        <f>IF($B22="","",SUMIFS('💰 Sales Log'!$M$8:$M$67,'💰 Sales Log'!$C$8:$C$67,$B22))</f>
        <v>0</v>
      </c>
      <c r="P22" s="63">
        <f>IF($N22="","",$N22-$K22-$O22)</f>
        <v>0</v>
      </c>
      <c r="Q22" s="64">
        <f>IF($N22="","",IF($N22=0,"",$P22/$N22))</f>
        <v>0</v>
      </c>
      <c r="R22" s="83">
        <f>IF($B22="","",IFERROR(INDEX('💰 Sales Log'!$D$8:$D$67,MATCH(1,INDEX(('💰 Sales Log'!$C$8:$C$67=$B22)*('💰 Sales Log'!$L$8:$L$67=SUMPRODUCT(MAX(('💰 Sales Log'!$C$8:$C$67=$B22)*'💰 Sales Log'!$L$8:$L$67))),0),0)),""))</f>
        <v>0</v>
      </c>
    </row>
    <row r="23" spans="1:18" ht="26" customHeight="1" x14ac:dyDescent="0.25">
      <c r="A23" s="69">
        <v>16</v>
      </c>
      <c r="B23" s="70"/>
      <c r="C23" s="84"/>
      <c r="D23" s="70"/>
      <c r="E23" s="70"/>
      <c r="F23" s="85"/>
      <c r="G23" s="85"/>
      <c r="H23" s="85"/>
      <c r="I23" s="85"/>
      <c r="J23" s="85"/>
      <c r="K23" s="63">
        <f>IF($B23="","",SUM($F23:$J23))</f>
        <v>0</v>
      </c>
      <c r="L23" s="75"/>
      <c r="M23" s="82">
        <f>IF($B23="","",SUMIFS('💰 Sales Log'!$E$8:$E$67,'💰 Sales Log'!$C$8:$C$67,$B23))</f>
        <v>0</v>
      </c>
      <c r="N23" s="63">
        <f>IF($B23="","",SUMIFS('💰 Sales Log'!$H$8:$H$67,'💰 Sales Log'!$C$8:$C$67,$B23))</f>
        <v>0</v>
      </c>
      <c r="O23" s="63">
        <f>IF($B23="","",SUMIFS('💰 Sales Log'!$M$8:$M$67,'💰 Sales Log'!$C$8:$C$67,$B23))</f>
        <v>0</v>
      </c>
      <c r="P23" s="63">
        <f>IF($N23="","",$N23-$K23-$O23)</f>
        <v>0</v>
      </c>
      <c r="Q23" s="64">
        <f>IF($N23="","",IF($N23=0,"",$P23/$N23))</f>
        <v>0</v>
      </c>
      <c r="R23" s="83">
        <f>IF($B23="","",IFERROR(INDEX('💰 Sales Log'!$D$8:$D$67,MATCH(1,INDEX(('💰 Sales Log'!$C$8:$C$67=$B23)*('💰 Sales Log'!$L$8:$L$67=SUMPRODUCT(MAX(('💰 Sales Log'!$C$8:$C$67=$B23)*'💰 Sales Log'!$L$8:$L$67))),0),0)),""))</f>
        <v>0</v>
      </c>
    </row>
    <row r="24" spans="1:18" ht="26" customHeight="1" x14ac:dyDescent="0.25">
      <c r="A24" s="58">
        <v>17</v>
      </c>
      <c r="B24" s="59"/>
      <c r="C24" s="80"/>
      <c r="D24" s="59"/>
      <c r="E24" s="59"/>
      <c r="F24" s="81"/>
      <c r="G24" s="81"/>
      <c r="H24" s="81"/>
      <c r="I24" s="81"/>
      <c r="J24" s="81"/>
      <c r="K24" s="63">
        <f>IF($B24="","",SUM($F24:$J24))</f>
        <v>0</v>
      </c>
      <c r="L24" s="66"/>
      <c r="M24" s="82">
        <f>IF($B24="","",SUMIFS('💰 Sales Log'!$E$8:$E$67,'💰 Sales Log'!$C$8:$C$67,$B24))</f>
        <v>0</v>
      </c>
      <c r="N24" s="63">
        <f>IF($B24="","",SUMIFS('💰 Sales Log'!$H$8:$H$67,'💰 Sales Log'!$C$8:$C$67,$B24))</f>
        <v>0</v>
      </c>
      <c r="O24" s="63">
        <f>IF($B24="","",SUMIFS('💰 Sales Log'!$M$8:$M$67,'💰 Sales Log'!$C$8:$C$67,$B24))</f>
        <v>0</v>
      </c>
      <c r="P24" s="63">
        <f>IF($N24="","",$N24-$K24-$O24)</f>
        <v>0</v>
      </c>
      <c r="Q24" s="64">
        <f>IF($N24="","",IF($N24=0,"",$P24/$N24))</f>
        <v>0</v>
      </c>
      <c r="R24" s="83">
        <f>IF($B24="","",IFERROR(INDEX('💰 Sales Log'!$D$8:$D$67,MATCH(1,INDEX(('💰 Sales Log'!$C$8:$C$67=$B24)*('💰 Sales Log'!$L$8:$L$67=SUMPRODUCT(MAX(('💰 Sales Log'!$C$8:$C$67=$B24)*'💰 Sales Log'!$L$8:$L$67))),0),0)),""))</f>
        <v>0</v>
      </c>
    </row>
    <row r="25" spans="1:18" ht="26" customHeight="1" x14ac:dyDescent="0.25">
      <c r="A25" s="69">
        <v>18</v>
      </c>
      <c r="B25" s="70"/>
      <c r="C25" s="84"/>
      <c r="D25" s="70"/>
      <c r="E25" s="70"/>
      <c r="F25" s="85"/>
      <c r="G25" s="85"/>
      <c r="H25" s="85"/>
      <c r="I25" s="85"/>
      <c r="J25" s="85"/>
      <c r="K25" s="63">
        <f>IF($B25="","",SUM($F25:$J25))</f>
        <v>0</v>
      </c>
      <c r="L25" s="75"/>
      <c r="M25" s="82">
        <f>IF($B25="","",SUMIFS('💰 Sales Log'!$E$8:$E$67,'💰 Sales Log'!$C$8:$C$67,$B25))</f>
        <v>0</v>
      </c>
      <c r="N25" s="63">
        <f>IF($B25="","",SUMIFS('💰 Sales Log'!$H$8:$H$67,'💰 Sales Log'!$C$8:$C$67,$B25))</f>
        <v>0</v>
      </c>
      <c r="O25" s="63">
        <f>IF($B25="","",SUMIFS('💰 Sales Log'!$M$8:$M$67,'💰 Sales Log'!$C$8:$C$67,$B25))</f>
        <v>0</v>
      </c>
      <c r="P25" s="63">
        <f>IF($N25="","",$N25-$K25-$O25)</f>
        <v>0</v>
      </c>
      <c r="Q25" s="64">
        <f>IF($N25="","",IF($N25=0,"",$P25/$N25))</f>
        <v>0</v>
      </c>
      <c r="R25" s="83">
        <f>IF($B25="","",IFERROR(INDEX('💰 Sales Log'!$D$8:$D$67,MATCH(1,INDEX(('💰 Sales Log'!$C$8:$C$67=$B25)*('💰 Sales Log'!$L$8:$L$67=SUMPRODUCT(MAX(('💰 Sales Log'!$C$8:$C$67=$B25)*'💰 Sales Log'!$L$8:$L$67))),0),0)),""))</f>
        <v>0</v>
      </c>
    </row>
    <row r="26" spans="1:18" ht="26" customHeight="1" x14ac:dyDescent="0.25">
      <c r="A26" s="58">
        <v>19</v>
      </c>
      <c r="B26" s="59"/>
      <c r="C26" s="80"/>
      <c r="D26" s="59"/>
      <c r="E26" s="59"/>
      <c r="F26" s="81"/>
      <c r="G26" s="81"/>
      <c r="H26" s="81"/>
      <c r="I26" s="81"/>
      <c r="J26" s="81"/>
      <c r="K26" s="63">
        <f>IF($B26="","",SUM($F26:$J26))</f>
        <v>0</v>
      </c>
      <c r="L26" s="66"/>
      <c r="M26" s="82">
        <f>IF($B26="","",SUMIFS('💰 Sales Log'!$E$8:$E$67,'💰 Sales Log'!$C$8:$C$67,$B26))</f>
        <v>0</v>
      </c>
      <c r="N26" s="63">
        <f>IF($B26="","",SUMIFS('💰 Sales Log'!$H$8:$H$67,'💰 Sales Log'!$C$8:$C$67,$B26))</f>
        <v>0</v>
      </c>
      <c r="O26" s="63">
        <f>IF($B26="","",SUMIFS('💰 Sales Log'!$M$8:$M$67,'💰 Sales Log'!$C$8:$C$67,$B26))</f>
        <v>0</v>
      </c>
      <c r="P26" s="63">
        <f>IF($N26="","",$N26-$K26-$O26)</f>
        <v>0</v>
      </c>
      <c r="Q26" s="64">
        <f>IF($N26="","",IF($N26=0,"",$P26/$N26))</f>
        <v>0</v>
      </c>
      <c r="R26" s="83">
        <f>IF($B26="","",IFERROR(INDEX('💰 Sales Log'!$D$8:$D$67,MATCH(1,INDEX(('💰 Sales Log'!$C$8:$C$67=$B26)*('💰 Sales Log'!$L$8:$L$67=SUMPRODUCT(MAX(('💰 Sales Log'!$C$8:$C$67=$B26)*'💰 Sales Log'!$L$8:$L$67))),0),0)),""))</f>
        <v>0</v>
      </c>
    </row>
    <row r="27" spans="1:18" ht="26" customHeight="1" x14ac:dyDescent="0.25">
      <c r="A27" s="69">
        <v>20</v>
      </c>
      <c r="B27" s="70"/>
      <c r="C27" s="84"/>
      <c r="D27" s="70"/>
      <c r="E27" s="70"/>
      <c r="F27" s="85"/>
      <c r="G27" s="85"/>
      <c r="H27" s="85"/>
      <c r="I27" s="85"/>
      <c r="J27" s="85"/>
      <c r="K27" s="63">
        <f>IF($B27="","",SUM($F27:$J27))</f>
        <v>0</v>
      </c>
      <c r="L27" s="75"/>
      <c r="M27" s="82">
        <f>IF($B27="","",SUMIFS('💰 Sales Log'!$E$8:$E$67,'💰 Sales Log'!$C$8:$C$67,$B27))</f>
        <v>0</v>
      </c>
      <c r="N27" s="63">
        <f>IF($B27="","",SUMIFS('💰 Sales Log'!$H$8:$H$67,'💰 Sales Log'!$C$8:$C$67,$B27))</f>
        <v>0</v>
      </c>
      <c r="O27" s="63">
        <f>IF($B27="","",SUMIFS('💰 Sales Log'!$M$8:$M$67,'💰 Sales Log'!$C$8:$C$67,$B27))</f>
        <v>0</v>
      </c>
      <c r="P27" s="63">
        <f>IF($N27="","",$N27-$K27-$O27)</f>
        <v>0</v>
      </c>
      <c r="Q27" s="64">
        <f>IF($N27="","",IF($N27=0,"",$P27/$N27))</f>
        <v>0</v>
      </c>
      <c r="R27" s="83">
        <f>IF($B27="","",IFERROR(INDEX('💰 Sales Log'!$D$8:$D$67,MATCH(1,INDEX(('💰 Sales Log'!$C$8:$C$67=$B27)*('💰 Sales Log'!$L$8:$L$67=SUMPRODUCT(MAX(('💰 Sales Log'!$C$8:$C$67=$B27)*'💰 Sales Log'!$L$8:$L$67))),0),0)),""))</f>
        <v>0</v>
      </c>
    </row>
    <row r="28" spans="1:18" ht="26" customHeight="1" x14ac:dyDescent="0.25">
      <c r="A28" s="58">
        <v>21</v>
      </c>
      <c r="B28" s="59"/>
      <c r="C28" s="80"/>
      <c r="D28" s="59"/>
      <c r="E28" s="59"/>
      <c r="F28" s="81"/>
      <c r="G28" s="81"/>
      <c r="H28" s="81"/>
      <c r="I28" s="81"/>
      <c r="J28" s="81"/>
      <c r="K28" s="63">
        <f>IF($B28="","",SUM($F28:$J28))</f>
        <v>0</v>
      </c>
      <c r="L28" s="66"/>
      <c r="M28" s="82">
        <f>IF($B28="","",SUMIFS('💰 Sales Log'!$E$8:$E$67,'💰 Sales Log'!$C$8:$C$67,$B28))</f>
        <v>0</v>
      </c>
      <c r="N28" s="63">
        <f>IF($B28="","",SUMIFS('💰 Sales Log'!$H$8:$H$67,'💰 Sales Log'!$C$8:$C$67,$B28))</f>
        <v>0</v>
      </c>
      <c r="O28" s="63">
        <f>IF($B28="","",SUMIFS('💰 Sales Log'!$M$8:$M$67,'💰 Sales Log'!$C$8:$C$67,$B28))</f>
        <v>0</v>
      </c>
      <c r="P28" s="63">
        <f>IF($N28="","",$N28-$K28-$O28)</f>
        <v>0</v>
      </c>
      <c r="Q28" s="64">
        <f>IF($N28="","",IF($N28=0,"",$P28/$N28))</f>
        <v>0</v>
      </c>
      <c r="R28" s="83">
        <f>IF($B28="","",IFERROR(INDEX('💰 Sales Log'!$D$8:$D$67,MATCH(1,INDEX(('💰 Sales Log'!$C$8:$C$67=$B28)*('💰 Sales Log'!$L$8:$L$67=SUMPRODUCT(MAX(('💰 Sales Log'!$C$8:$C$67=$B28)*'💰 Sales Log'!$L$8:$L$67))),0),0)),""))</f>
        <v>0</v>
      </c>
    </row>
    <row r="29" spans="1:18" ht="26" customHeight="1" x14ac:dyDescent="0.25">
      <c r="A29" s="69">
        <v>22</v>
      </c>
      <c r="B29" s="70"/>
      <c r="C29" s="84"/>
      <c r="D29" s="70"/>
      <c r="E29" s="70"/>
      <c r="F29" s="85"/>
      <c r="G29" s="85"/>
      <c r="H29" s="85"/>
      <c r="I29" s="85"/>
      <c r="J29" s="85"/>
      <c r="K29" s="63">
        <f>IF($B29="","",SUM($F29:$J29))</f>
        <v>0</v>
      </c>
      <c r="L29" s="75"/>
      <c r="M29" s="82">
        <f>IF($B29="","",SUMIFS('💰 Sales Log'!$E$8:$E$67,'💰 Sales Log'!$C$8:$C$67,$B29))</f>
        <v>0</v>
      </c>
      <c r="N29" s="63">
        <f>IF($B29="","",SUMIFS('💰 Sales Log'!$H$8:$H$67,'💰 Sales Log'!$C$8:$C$67,$B29))</f>
        <v>0</v>
      </c>
      <c r="O29" s="63">
        <f>IF($B29="","",SUMIFS('💰 Sales Log'!$M$8:$M$67,'💰 Sales Log'!$C$8:$C$67,$B29))</f>
        <v>0</v>
      </c>
      <c r="P29" s="63">
        <f>IF($N29="","",$N29-$K29-$O29)</f>
        <v>0</v>
      </c>
      <c r="Q29" s="64">
        <f>IF($N29="","",IF($N29=0,"",$P29/$N29))</f>
        <v>0</v>
      </c>
      <c r="R29" s="83">
        <f>IF($B29="","",IFERROR(INDEX('💰 Sales Log'!$D$8:$D$67,MATCH(1,INDEX(('💰 Sales Log'!$C$8:$C$67=$B29)*('💰 Sales Log'!$L$8:$L$67=SUMPRODUCT(MAX(('💰 Sales Log'!$C$8:$C$67=$B29)*'💰 Sales Log'!$L$8:$L$67))),0),0)),""))</f>
        <v>0</v>
      </c>
    </row>
    <row r="30" spans="1:18" ht="26" customHeight="1" x14ac:dyDescent="0.25">
      <c r="A30" s="58">
        <v>23</v>
      </c>
      <c r="B30" s="59"/>
      <c r="C30" s="80"/>
      <c r="D30" s="59"/>
      <c r="E30" s="59"/>
      <c r="F30" s="81"/>
      <c r="G30" s="81"/>
      <c r="H30" s="81"/>
      <c r="I30" s="81"/>
      <c r="J30" s="81"/>
      <c r="K30" s="63">
        <f>IF($B30="","",SUM($F30:$J30))</f>
        <v>0</v>
      </c>
      <c r="L30" s="66"/>
      <c r="M30" s="82">
        <f>IF($B30="","",SUMIFS('💰 Sales Log'!$E$8:$E$67,'💰 Sales Log'!$C$8:$C$67,$B30))</f>
        <v>0</v>
      </c>
      <c r="N30" s="63">
        <f>IF($B30="","",SUMIFS('💰 Sales Log'!$H$8:$H$67,'💰 Sales Log'!$C$8:$C$67,$B30))</f>
        <v>0</v>
      </c>
      <c r="O30" s="63">
        <f>IF($B30="","",SUMIFS('💰 Sales Log'!$M$8:$M$67,'💰 Sales Log'!$C$8:$C$67,$B30))</f>
        <v>0</v>
      </c>
      <c r="P30" s="63">
        <f>IF($N30="","",$N30-$K30-$O30)</f>
        <v>0</v>
      </c>
      <c r="Q30" s="64">
        <f>IF($N30="","",IF($N30=0,"",$P30/$N30))</f>
        <v>0</v>
      </c>
      <c r="R30" s="83">
        <f>IF($B30="","",IFERROR(INDEX('💰 Sales Log'!$D$8:$D$67,MATCH(1,INDEX(('💰 Sales Log'!$C$8:$C$67=$B30)*('💰 Sales Log'!$L$8:$L$67=SUMPRODUCT(MAX(('💰 Sales Log'!$C$8:$C$67=$B30)*'💰 Sales Log'!$L$8:$L$67))),0),0)),""))</f>
        <v>0</v>
      </c>
    </row>
    <row r="31" spans="1:18" ht="26" customHeight="1" x14ac:dyDescent="0.25">
      <c r="A31" s="69">
        <v>24</v>
      </c>
      <c r="B31" s="70"/>
      <c r="C31" s="84"/>
      <c r="D31" s="70"/>
      <c r="E31" s="70"/>
      <c r="F31" s="85"/>
      <c r="G31" s="85"/>
      <c r="H31" s="85"/>
      <c r="I31" s="85"/>
      <c r="J31" s="85"/>
      <c r="K31" s="63">
        <f>IF($B31="","",SUM($F31:$J31))</f>
        <v>0</v>
      </c>
      <c r="L31" s="75"/>
      <c r="M31" s="82">
        <f>IF($B31="","",SUMIFS('💰 Sales Log'!$E$8:$E$67,'💰 Sales Log'!$C$8:$C$67,$B31))</f>
        <v>0</v>
      </c>
      <c r="N31" s="63">
        <f>IF($B31="","",SUMIFS('💰 Sales Log'!$H$8:$H$67,'💰 Sales Log'!$C$8:$C$67,$B31))</f>
        <v>0</v>
      </c>
      <c r="O31" s="63">
        <f>IF($B31="","",SUMIFS('💰 Sales Log'!$M$8:$M$67,'💰 Sales Log'!$C$8:$C$67,$B31))</f>
        <v>0</v>
      </c>
      <c r="P31" s="63">
        <f>IF($N31="","",$N31-$K31-$O31)</f>
        <v>0</v>
      </c>
      <c r="Q31" s="64">
        <f>IF($N31="","",IF($N31=0,"",$P31/$N31))</f>
        <v>0</v>
      </c>
      <c r="R31" s="83">
        <f>IF($B31="","",IFERROR(INDEX('💰 Sales Log'!$D$8:$D$67,MATCH(1,INDEX(('💰 Sales Log'!$C$8:$C$67=$B31)*('💰 Sales Log'!$L$8:$L$67=SUMPRODUCT(MAX(('💰 Sales Log'!$C$8:$C$67=$B31)*'💰 Sales Log'!$L$8:$L$67))),0),0)),""))</f>
        <v>0</v>
      </c>
    </row>
    <row r="32" spans="1:18" ht="24" customHeight="1" x14ac:dyDescent="0.25">
      <c r="A32" s="7"/>
      <c r="B32" s="86" t="s">
        <v>188</v>
      </c>
      <c r="C32" s="87"/>
      <c r="D32" s="87"/>
      <c r="E32" s="87"/>
      <c r="F32" s="87"/>
      <c r="G32" s="87"/>
      <c r="H32" s="87"/>
      <c r="I32" s="87"/>
      <c r="J32" s="87"/>
      <c r="K32" s="88">
        <f>SUM(K8:K31)</f>
        <v>0</v>
      </c>
      <c r="L32" s="87"/>
      <c r="M32" s="87"/>
      <c r="N32" s="88">
        <f>SUM(N8:N31)</f>
        <v>0</v>
      </c>
      <c r="O32" s="87"/>
      <c r="P32" s="88">
        <f>SUM(P8:P31)</f>
        <v>0</v>
      </c>
      <c r="Q32" s="87"/>
      <c r="R32" s="87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30" customHeight="1" x14ac:dyDescent="0.25">
      <c r="A34" s="7"/>
      <c r="B34" s="21" t="s">
        <v>189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24" customHeight="1" x14ac:dyDescent="0.25">
      <c r="A36" s="7"/>
      <c r="B36" s="22" t="s">
        <v>151</v>
      </c>
      <c r="C36" s="22"/>
      <c r="D36" s="23" t="s">
        <v>123</v>
      </c>
      <c r="E36" s="23"/>
      <c r="F36" s="24" t="s">
        <v>124</v>
      </c>
      <c r="G36" s="24"/>
      <c r="H36" s="25" t="s">
        <v>190</v>
      </c>
      <c r="I36" s="25"/>
      <c r="J36" s="26" t="s">
        <v>41</v>
      </c>
      <c r="K36" s="26"/>
      <c r="L36" s="27" t="s">
        <v>126</v>
      </c>
      <c r="M36" s="27"/>
      <c r="N36" s="28" t="s">
        <v>127</v>
      </c>
      <c r="O36" s="28"/>
      <c r="P36" s="7"/>
      <c r="Q36" s="7"/>
      <c r="R36" s="7"/>
    </row>
    <row r="37" spans="1:1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</sheetData>
  <mergeCells count="16">
    <mergeCell ref="B2:O2"/>
    <mergeCell ref="B3:O3"/>
    <mergeCell ref="P3:R3"/>
    <mergeCell ref="B5:D5"/>
    <mergeCell ref="E5:G5"/>
    <mergeCell ref="H5:J5"/>
    <mergeCell ref="K5:O5"/>
    <mergeCell ref="P5:R5"/>
    <mergeCell ref="B34:R34"/>
    <mergeCell ref="B36:C36"/>
    <mergeCell ref="D36:E36"/>
    <mergeCell ref="F36:G36"/>
    <mergeCell ref="H36:I36"/>
    <mergeCell ref="J36:K36"/>
    <mergeCell ref="L36:M36"/>
    <mergeCell ref="N36:O36"/>
  </mergeCells>
  <conditionalFormatting sqref="P8:P31">
    <cfRule type="dataBar" priority="1">
      <dataBar>
        <cfvo type="num" val="0"/>
        <cfvo type="num" val="1"/>
        <color rgb="FF3E7C4F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  <cfRule type="cellIs" dxfId="4" priority="2" operator="lessThan">
      <formula>0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</dataValidations>
  <hyperlinks>
    <hyperlink ref="P3" location="'📊 Dashboard'!A1" display="🏠  Dashboard"/>
    <hyperlink ref="B36" location="'⚙️ Lists &amp; Settings'!A1" display="Settings"/>
    <hyperlink ref="D36" location="'📊 Dashboard'!A1" display="🏠 Home"/>
    <hyperlink ref="F36" location="'🧶 Product Catalog'!A1" display="Products"/>
    <hyperlink ref="H36" location="'🏪 Craft Fairs'!A1" display="▶ Fairs"/>
    <hyperlink ref="J36" location="'💰 Sales Log'!A1" display="Sales"/>
    <hyperlink ref="L36" location="'💵 Pricing Calculator'!A1" display="Pricing"/>
    <hyperlink ref="N36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E7C4F"/>
              <x14:negativeFillColor rgb="FFFF0000"/>
              <x14:negativeBorderColor rgb="FFFF0000"/>
              <x14:axisColor rgb="FF000000"/>
            </x14:dataBar>
          </x14:cfRule>
          <xm:sqref>P8:P31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E7C4F"/>
    <pageSetUpPr fitToPage="1"/>
  </sheetPr>
  <dimension ref="A1:M78"/>
  <sheetViews>
    <sheetView showGridLines="0" zoomScale="90" zoomScaleNormal="90" workbookViewId="0"/>
  </sheetViews>
  <sheetFormatPr defaultRowHeight="1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6" width="9.7109375" customWidth="1"/>
    <col min="7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2" customHeight="1">
      <c r="A2" s="7"/>
      <c r="B2" s="8" t="s">
        <v>191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192</v>
      </c>
      <c r="C3" s="9"/>
      <c r="D3" s="9"/>
      <c r="E3" s="9"/>
      <c r="F3" s="9"/>
      <c r="G3" s="9"/>
      <c r="H3" s="9"/>
      <c r="I3" s="9"/>
      <c r="J3" s="9"/>
      <c r="K3" s="10" t="s">
        <v>155</v>
      </c>
      <c r="L3" s="10"/>
      <c r="M3" s="10"/>
    </row>
    <row r="4" spans="1:13" ht="8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2" customHeight="1">
      <c r="A5" s="7"/>
      <c r="B5" s="56" t="str">
        <f>"💰 Takings: "&amp;Currency&amp;TEXT(SUM('💰 Sales Log'!$H$8:$H$67),"#,##0.00")</f>
        <v>Takings: $0.00</v>
      </c>
      <c r="C5" s="56"/>
      <c r="D5" s="56"/>
      <c r="E5" s="56"/>
      <c r="F5" s="53" t="str">
        <f>"🧶 Units: "&amp;'_Data'!$AI$8</f>
        <v>Units: 0</v>
      </c>
      <c r="G5" s="53"/>
      <c r="H5" s="54" t="str">
        <f>"🧾 Sales logged: "&amp;'_Data'!$AI$9</f>
        <v>Sales logged: 0</v>
      </c>
      <c r="I5" s="54"/>
      <c r="J5" s="54"/>
      <c r="K5" s="77" t="str">
        <f>"🏷️ Discounts: "&amp;Currency&amp;TEXT(SUM('💰 Sales Log'!$G$8:$G$67),"#,##0.00")</f>
        <v>Discounts: $0.00</v>
      </c>
      <c r="L5" s="77"/>
      <c r="M5" s="77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16" t="s">
        <v>156</v>
      </c>
      <c r="B7" s="16" t="s">
        <v>175</v>
      </c>
      <c r="C7" s="16" t="s">
        <v>174</v>
      </c>
      <c r="D7" s="16" t="s">
        <v>35</v>
      </c>
      <c r="E7" s="16" t="s">
        <v>193</v>
      </c>
      <c r="F7" s="16" t="s">
        <v>194</v>
      </c>
      <c r="G7" s="16" t="s">
        <v>195</v>
      </c>
      <c r="H7" s="79" t="s">
        <v>196</v>
      </c>
      <c r="I7" s="16" t="s">
        <v>197</v>
      </c>
      <c r="J7" s="16" t="s">
        <v>198</v>
      </c>
      <c r="K7" s="16" t="s">
        <v>199</v>
      </c>
      <c r="L7" s="57" t="s">
        <v>200</v>
      </c>
      <c r="M7" s="57" t="s">
        <v>201</v>
      </c>
    </row>
    <row r="8" spans="1:13" ht="22" customHeight="1">
      <c r="A8" s="58">
        <v>1</v>
      </c>
      <c r="B8" s="80"/>
      <c r="C8" s="59"/>
      <c r="D8" s="59"/>
      <c r="E8" s="66"/>
      <c r="F8" s="62"/>
      <c r="G8" s="62"/>
      <c r="H8" s="63">
        <f>IF($D8="","",IF($E8="","",E8*F8)-IF($G8="",0,$G8))</f>
        <v>0</v>
      </c>
      <c r="I8" s="60"/>
      <c r="J8" s="59"/>
      <c r="K8" s="61"/>
      <c r="L8" s="82">
        <f>IF($C8="","",SUMIFS($E$8:$E$67,$C$8:$C$67,$C8,$D$8:$D$67,$D8))</f>
        <v>0</v>
      </c>
      <c r="M8" s="63">
        <f>IF($D8="","",$E8*IFERROR(INDEX('🧶 Product Catalog'!$I$8:$I$31,MATCH($D8,'🧶 Product Catalog'!$C$8:$C$31,0)),0))</f>
        <v>0</v>
      </c>
    </row>
    <row r="9" spans="1:13" ht="22" customHeight="1">
      <c r="A9" s="69">
        <v>2</v>
      </c>
      <c r="B9" s="84"/>
      <c r="C9" s="70"/>
      <c r="D9" s="70"/>
      <c r="E9" s="75"/>
      <c r="F9" s="73"/>
      <c r="G9" s="73"/>
      <c r="H9" s="63">
        <f>IF($D9="","",IF($E9="","",E9*F9)-IF($G9="",0,$G9))</f>
        <v>0</v>
      </c>
      <c r="I9" s="71"/>
      <c r="J9" s="70"/>
      <c r="K9" s="72"/>
      <c r="L9" s="82">
        <f>IF($C9="","",SUMIFS($E$8:$E$67,$C$8:$C$67,$C9,$D$8:$D$67,$D9))</f>
        <v>0</v>
      </c>
      <c r="M9" s="63">
        <f>IF($D9="","",$E9*IFERROR(INDEX('🧶 Product Catalog'!$I$8:$I$31,MATCH($D9,'🧶 Product Catalog'!$C$8:$C$31,0)),0))</f>
        <v>0</v>
      </c>
    </row>
    <row r="10" spans="1:13" ht="22" customHeight="1">
      <c r="A10" s="58">
        <v>3</v>
      </c>
      <c r="B10" s="80"/>
      <c r="C10" s="59"/>
      <c r="D10" s="59"/>
      <c r="E10" s="66"/>
      <c r="F10" s="62"/>
      <c r="G10" s="62"/>
      <c r="H10" s="63">
        <f>IF($D10="","",IF($E10="","",E10*F10)-IF($G10="",0,$G10))</f>
        <v>0</v>
      </c>
      <c r="I10" s="60"/>
      <c r="J10" s="59"/>
      <c r="K10" s="61"/>
      <c r="L10" s="82">
        <f>IF($C10="","",SUMIFS($E$8:$E$67,$C$8:$C$67,$C10,$D$8:$D$67,$D10))</f>
        <v>0</v>
      </c>
      <c r="M10" s="63">
        <f>IF($D10="","",$E10*IFERROR(INDEX('🧶 Product Catalog'!$I$8:$I$31,MATCH($D10,'🧶 Product Catalog'!$C$8:$C$31,0)),0))</f>
        <v>0</v>
      </c>
    </row>
    <row r="11" spans="1:13" ht="22" customHeight="1">
      <c r="A11" s="69">
        <v>4</v>
      </c>
      <c r="B11" s="84"/>
      <c r="C11" s="70"/>
      <c r="D11" s="70"/>
      <c r="E11" s="75"/>
      <c r="F11" s="73"/>
      <c r="G11" s="73"/>
      <c r="H11" s="63">
        <f>IF($D11="","",IF($E11="","",E11*F11)-IF($G11="",0,$G11))</f>
        <v>0</v>
      </c>
      <c r="I11" s="71"/>
      <c r="J11" s="70"/>
      <c r="K11" s="72"/>
      <c r="L11" s="82">
        <f>IF($C11="","",SUMIFS($E$8:$E$67,$C$8:$C$67,$C11,$D$8:$D$67,$D11))</f>
        <v>0</v>
      </c>
      <c r="M11" s="63">
        <f>IF($D11="","",$E11*IFERROR(INDEX('🧶 Product Catalog'!$I$8:$I$31,MATCH($D11,'🧶 Product Catalog'!$C$8:$C$31,0)),0))</f>
        <v>0</v>
      </c>
    </row>
    <row r="12" spans="1:13" ht="22" customHeight="1">
      <c r="A12" s="58">
        <v>5</v>
      </c>
      <c r="B12" s="80"/>
      <c r="C12" s="59"/>
      <c r="D12" s="59"/>
      <c r="E12" s="66"/>
      <c r="F12" s="62"/>
      <c r="G12" s="62"/>
      <c r="H12" s="63">
        <f>IF($D12="","",IF($E12="","",E12*F12)-IF($G12="",0,$G12))</f>
        <v>0</v>
      </c>
      <c r="I12" s="60"/>
      <c r="J12" s="59"/>
      <c r="K12" s="61"/>
      <c r="L12" s="82">
        <f>IF($C12="","",SUMIFS($E$8:$E$67,$C$8:$C$67,$C12,$D$8:$D$67,$D12))</f>
        <v>0</v>
      </c>
      <c r="M12" s="63">
        <f>IF($D12="","",$E12*IFERROR(INDEX('🧶 Product Catalog'!$I$8:$I$31,MATCH($D12,'🧶 Product Catalog'!$C$8:$C$31,0)),0))</f>
        <v>0</v>
      </c>
    </row>
    <row r="13" spans="1:13" ht="22" customHeight="1">
      <c r="A13" s="69">
        <v>6</v>
      </c>
      <c r="B13" s="84"/>
      <c r="C13" s="70"/>
      <c r="D13" s="70"/>
      <c r="E13" s="75"/>
      <c r="F13" s="73"/>
      <c r="G13" s="73"/>
      <c r="H13" s="63">
        <f>IF($D13="","",IF($E13="","",E13*F13)-IF($G13="",0,$G13))</f>
        <v>0</v>
      </c>
      <c r="I13" s="71"/>
      <c r="J13" s="70"/>
      <c r="K13" s="72"/>
      <c r="L13" s="82">
        <f>IF($C13="","",SUMIFS($E$8:$E$67,$C$8:$C$67,$C13,$D$8:$D$67,$D13))</f>
        <v>0</v>
      </c>
      <c r="M13" s="63">
        <f>IF($D13="","",$E13*IFERROR(INDEX('🧶 Product Catalog'!$I$8:$I$31,MATCH($D13,'🧶 Product Catalog'!$C$8:$C$31,0)),0))</f>
        <v>0</v>
      </c>
    </row>
    <row r="14" spans="1:13" ht="22" customHeight="1">
      <c r="A14" s="58">
        <v>7</v>
      </c>
      <c r="B14" s="80"/>
      <c r="C14" s="59"/>
      <c r="D14" s="59"/>
      <c r="E14" s="66"/>
      <c r="F14" s="62"/>
      <c r="G14" s="62"/>
      <c r="H14" s="63">
        <f>IF($D14="","",IF($E14="","",E14*F14)-IF($G14="",0,$G14))</f>
        <v>0</v>
      </c>
      <c r="I14" s="60"/>
      <c r="J14" s="59"/>
      <c r="K14" s="61"/>
      <c r="L14" s="82">
        <f>IF($C14="","",SUMIFS($E$8:$E$67,$C$8:$C$67,$C14,$D$8:$D$67,$D14))</f>
        <v>0</v>
      </c>
      <c r="M14" s="63">
        <f>IF($D14="","",$E14*IFERROR(INDEX('🧶 Product Catalog'!$I$8:$I$31,MATCH($D14,'🧶 Product Catalog'!$C$8:$C$31,0)),0))</f>
        <v>0</v>
      </c>
    </row>
    <row r="15" spans="1:13" ht="22" customHeight="1">
      <c r="A15" s="69">
        <v>8</v>
      </c>
      <c r="B15" s="84"/>
      <c r="C15" s="70"/>
      <c r="D15" s="70"/>
      <c r="E15" s="75"/>
      <c r="F15" s="73"/>
      <c r="G15" s="73"/>
      <c r="H15" s="63">
        <f>IF($D15="","",IF($E15="","",E15*F15)-IF($G15="",0,$G15))</f>
        <v>0</v>
      </c>
      <c r="I15" s="71"/>
      <c r="J15" s="70"/>
      <c r="K15" s="72"/>
      <c r="L15" s="82">
        <f>IF($C15="","",SUMIFS($E$8:$E$67,$C$8:$C$67,$C15,$D$8:$D$67,$D15))</f>
        <v>0</v>
      </c>
      <c r="M15" s="63">
        <f>IF($D15="","",$E15*IFERROR(INDEX('🧶 Product Catalog'!$I$8:$I$31,MATCH($D15,'🧶 Product Catalog'!$C$8:$C$31,0)),0))</f>
        <v>0</v>
      </c>
    </row>
    <row r="16" spans="1:13" ht="22" customHeight="1">
      <c r="A16" s="58">
        <v>9</v>
      </c>
      <c r="B16" s="80"/>
      <c r="C16" s="59"/>
      <c r="D16" s="59"/>
      <c r="E16" s="66"/>
      <c r="F16" s="62"/>
      <c r="G16" s="62"/>
      <c r="H16" s="63">
        <f>IF($D16="","",IF($E16="","",E16*F16)-IF($G16="",0,$G16))</f>
        <v>0</v>
      </c>
      <c r="I16" s="60"/>
      <c r="J16" s="59"/>
      <c r="K16" s="61"/>
      <c r="L16" s="82">
        <f>IF($C16="","",SUMIFS($E$8:$E$67,$C$8:$C$67,$C16,$D$8:$D$67,$D16))</f>
        <v>0</v>
      </c>
      <c r="M16" s="63">
        <f>IF($D16="","",$E16*IFERROR(INDEX('🧶 Product Catalog'!$I$8:$I$31,MATCH($D16,'🧶 Product Catalog'!$C$8:$C$31,0)),0))</f>
        <v>0</v>
      </c>
    </row>
    <row r="17" spans="1:13" ht="22" customHeight="1">
      <c r="A17" s="69">
        <v>10</v>
      </c>
      <c r="B17" s="84"/>
      <c r="C17" s="70"/>
      <c r="D17" s="70"/>
      <c r="E17" s="75"/>
      <c r="F17" s="73"/>
      <c r="G17" s="73"/>
      <c r="H17" s="63">
        <f>IF($D17="","",IF($E17="","",E17*F17)-IF($G17="",0,$G17))</f>
        <v>0</v>
      </c>
      <c r="I17" s="71"/>
      <c r="J17" s="70"/>
      <c r="K17" s="72"/>
      <c r="L17" s="82">
        <f>IF($C17="","",SUMIFS($E$8:$E$67,$C$8:$C$67,$C17,$D$8:$D$67,$D17))</f>
        <v>0</v>
      </c>
      <c r="M17" s="63">
        <f>IF($D17="","",$E17*IFERROR(INDEX('🧶 Product Catalog'!$I$8:$I$31,MATCH($D17,'🧶 Product Catalog'!$C$8:$C$31,0)),0))</f>
        <v>0</v>
      </c>
    </row>
    <row r="18" spans="1:13" ht="22" customHeight="1">
      <c r="A18" s="58">
        <v>11</v>
      </c>
      <c r="B18" s="80"/>
      <c r="C18" s="59"/>
      <c r="D18" s="59"/>
      <c r="E18" s="66"/>
      <c r="F18" s="62"/>
      <c r="G18" s="62"/>
      <c r="H18" s="63">
        <f>IF($D18="","",IF($E18="","",E18*F18)-IF($G18="",0,$G18))</f>
        <v>0</v>
      </c>
      <c r="I18" s="60"/>
      <c r="J18" s="59"/>
      <c r="K18" s="61"/>
      <c r="L18" s="82">
        <f>IF($C18="","",SUMIFS($E$8:$E$67,$C$8:$C$67,$C18,$D$8:$D$67,$D18))</f>
        <v>0</v>
      </c>
      <c r="M18" s="63">
        <f>IF($D18="","",$E18*IFERROR(INDEX('🧶 Product Catalog'!$I$8:$I$31,MATCH($D18,'🧶 Product Catalog'!$C$8:$C$31,0)),0))</f>
        <v>0</v>
      </c>
    </row>
    <row r="19" spans="1:13" ht="22" customHeight="1">
      <c r="A19" s="69">
        <v>12</v>
      </c>
      <c r="B19" s="84"/>
      <c r="C19" s="70"/>
      <c r="D19" s="70"/>
      <c r="E19" s="75"/>
      <c r="F19" s="73"/>
      <c r="G19" s="73"/>
      <c r="H19" s="63">
        <f>IF($D19="","",IF($E19="","",E19*F19)-IF($G19="",0,$G19))</f>
        <v>0</v>
      </c>
      <c r="I19" s="71"/>
      <c r="J19" s="70"/>
      <c r="K19" s="72"/>
      <c r="L19" s="82">
        <f>IF($C19="","",SUMIFS($E$8:$E$67,$C$8:$C$67,$C19,$D$8:$D$67,$D19))</f>
        <v>0</v>
      </c>
      <c r="M19" s="63">
        <f>IF($D19="","",$E19*IFERROR(INDEX('🧶 Product Catalog'!$I$8:$I$31,MATCH($D19,'🧶 Product Catalog'!$C$8:$C$31,0)),0))</f>
        <v>0</v>
      </c>
    </row>
    <row r="20" spans="1:13" ht="22" customHeight="1">
      <c r="A20" s="58">
        <v>13</v>
      </c>
      <c r="B20" s="80"/>
      <c r="C20" s="59"/>
      <c r="D20" s="59"/>
      <c r="E20" s="66"/>
      <c r="F20" s="62"/>
      <c r="G20" s="62"/>
      <c r="H20" s="63">
        <f>IF($D20="","",IF($E20="","",E20*F20)-IF($G20="",0,$G20))</f>
        <v>0</v>
      </c>
      <c r="I20" s="60"/>
      <c r="J20" s="59"/>
      <c r="K20" s="61"/>
      <c r="L20" s="82">
        <f>IF($C20="","",SUMIFS($E$8:$E$67,$C$8:$C$67,$C20,$D$8:$D$67,$D20))</f>
        <v>0</v>
      </c>
      <c r="M20" s="63">
        <f>IF($D20="","",$E20*IFERROR(INDEX('🧶 Product Catalog'!$I$8:$I$31,MATCH($D20,'🧶 Product Catalog'!$C$8:$C$31,0)),0))</f>
        <v>0</v>
      </c>
    </row>
    <row r="21" spans="1:13" ht="22" customHeight="1">
      <c r="A21" s="69">
        <v>14</v>
      </c>
      <c r="B21" s="84"/>
      <c r="C21" s="70"/>
      <c r="D21" s="70"/>
      <c r="E21" s="75"/>
      <c r="F21" s="73"/>
      <c r="G21" s="73"/>
      <c r="H21" s="63">
        <f>IF($D21="","",IF($E21="","",E21*F21)-IF($G21="",0,$G21))</f>
        <v>0</v>
      </c>
      <c r="I21" s="71"/>
      <c r="J21" s="70"/>
      <c r="K21" s="72"/>
      <c r="L21" s="82">
        <f>IF($C21="","",SUMIFS($E$8:$E$67,$C$8:$C$67,$C21,$D$8:$D$67,$D21))</f>
        <v>0</v>
      </c>
      <c r="M21" s="63">
        <f>IF($D21="","",$E21*IFERROR(INDEX('🧶 Product Catalog'!$I$8:$I$31,MATCH($D21,'🧶 Product Catalog'!$C$8:$C$31,0)),0))</f>
        <v>0</v>
      </c>
    </row>
    <row r="22" spans="1:13" ht="22" customHeight="1">
      <c r="A22" s="58">
        <v>15</v>
      </c>
      <c r="B22" s="80"/>
      <c r="C22" s="59"/>
      <c r="D22" s="59"/>
      <c r="E22" s="66"/>
      <c r="F22" s="62"/>
      <c r="G22" s="62"/>
      <c r="H22" s="63">
        <f>IF($D22="","",IF($E22="","",E22*F22)-IF($G22="",0,$G22))</f>
        <v>0</v>
      </c>
      <c r="I22" s="60"/>
      <c r="J22" s="59"/>
      <c r="K22" s="61"/>
      <c r="L22" s="82">
        <f>IF($C22="","",SUMIFS($E$8:$E$67,$C$8:$C$67,$C22,$D$8:$D$67,$D22))</f>
        <v>0</v>
      </c>
      <c r="M22" s="63">
        <f>IF($D22="","",$E22*IFERROR(INDEX('🧶 Product Catalog'!$I$8:$I$31,MATCH($D22,'🧶 Product Catalog'!$C$8:$C$31,0)),0))</f>
        <v>0</v>
      </c>
    </row>
    <row r="23" spans="1:13" ht="22" customHeight="1">
      <c r="A23" s="69">
        <v>16</v>
      </c>
      <c r="B23" s="84"/>
      <c r="C23" s="70"/>
      <c r="D23" s="70"/>
      <c r="E23" s="75"/>
      <c r="F23" s="73"/>
      <c r="G23" s="73"/>
      <c r="H23" s="63">
        <f>IF($D23="","",IF($E23="","",E23*F23)-IF($G23="",0,$G23))</f>
        <v>0</v>
      </c>
      <c r="I23" s="71"/>
      <c r="J23" s="70"/>
      <c r="K23" s="72"/>
      <c r="L23" s="82">
        <f>IF($C23="","",SUMIFS($E$8:$E$67,$C$8:$C$67,$C23,$D$8:$D$67,$D23))</f>
        <v>0</v>
      </c>
      <c r="M23" s="63">
        <f>IF($D23="","",$E23*IFERROR(INDEX('🧶 Product Catalog'!$I$8:$I$31,MATCH($D23,'🧶 Product Catalog'!$C$8:$C$31,0)),0))</f>
        <v>0</v>
      </c>
    </row>
    <row r="24" spans="1:13" ht="22" customHeight="1">
      <c r="A24" s="58">
        <v>17</v>
      </c>
      <c r="B24" s="80"/>
      <c r="C24" s="59"/>
      <c r="D24" s="59"/>
      <c r="E24" s="66"/>
      <c r="F24" s="62"/>
      <c r="G24" s="62"/>
      <c r="H24" s="63">
        <f>IF($D24="","",IF($E24="","",E24*F24)-IF($G24="",0,$G24))</f>
        <v>0</v>
      </c>
      <c r="I24" s="60"/>
      <c r="J24" s="59"/>
      <c r="K24" s="61"/>
      <c r="L24" s="82">
        <f>IF($C24="","",SUMIFS($E$8:$E$67,$C$8:$C$67,$C24,$D$8:$D$67,$D24))</f>
        <v>0</v>
      </c>
      <c r="M24" s="63">
        <f>IF($D24="","",$E24*IFERROR(INDEX('🧶 Product Catalog'!$I$8:$I$31,MATCH($D24,'🧶 Product Catalog'!$C$8:$C$31,0)),0))</f>
        <v>0</v>
      </c>
    </row>
    <row r="25" spans="1:13" ht="22" customHeight="1">
      <c r="A25" s="69">
        <v>18</v>
      </c>
      <c r="B25" s="84"/>
      <c r="C25" s="70"/>
      <c r="D25" s="70"/>
      <c r="E25" s="75"/>
      <c r="F25" s="73"/>
      <c r="G25" s="73"/>
      <c r="H25" s="63">
        <f>IF($D25="","",IF($E25="","",E25*F25)-IF($G25="",0,$G25))</f>
        <v>0</v>
      </c>
      <c r="I25" s="71"/>
      <c r="J25" s="70"/>
      <c r="K25" s="72"/>
      <c r="L25" s="82">
        <f>IF($C25="","",SUMIFS($E$8:$E$67,$C$8:$C$67,$C25,$D$8:$D$67,$D25))</f>
        <v>0</v>
      </c>
      <c r="M25" s="63">
        <f>IF($D25="","",$E25*IFERROR(INDEX('🧶 Product Catalog'!$I$8:$I$31,MATCH($D25,'🧶 Product Catalog'!$C$8:$C$31,0)),0))</f>
        <v>0</v>
      </c>
    </row>
    <row r="26" spans="1:13" ht="22" customHeight="1">
      <c r="A26" s="58">
        <v>19</v>
      </c>
      <c r="B26" s="80"/>
      <c r="C26" s="59"/>
      <c r="D26" s="59"/>
      <c r="E26" s="66"/>
      <c r="F26" s="62"/>
      <c r="G26" s="62"/>
      <c r="H26" s="63">
        <f>IF($D26="","",IF($E26="","",E26*F26)-IF($G26="",0,$G26))</f>
        <v>0</v>
      </c>
      <c r="I26" s="60"/>
      <c r="J26" s="59"/>
      <c r="K26" s="61"/>
      <c r="L26" s="82">
        <f>IF($C26="","",SUMIFS($E$8:$E$67,$C$8:$C$67,$C26,$D$8:$D$67,$D26))</f>
        <v>0</v>
      </c>
      <c r="M26" s="63">
        <f>IF($D26="","",$E26*IFERROR(INDEX('🧶 Product Catalog'!$I$8:$I$31,MATCH($D26,'🧶 Product Catalog'!$C$8:$C$31,0)),0))</f>
        <v>0</v>
      </c>
    </row>
    <row r="27" spans="1:13" ht="22" customHeight="1">
      <c r="A27" s="69">
        <v>20</v>
      </c>
      <c r="B27" s="84"/>
      <c r="C27" s="70"/>
      <c r="D27" s="70"/>
      <c r="E27" s="75"/>
      <c r="F27" s="73"/>
      <c r="G27" s="73"/>
      <c r="H27" s="63">
        <f>IF($D27="","",IF($E27="","",E27*F27)-IF($G27="",0,$G27))</f>
        <v>0</v>
      </c>
      <c r="I27" s="71"/>
      <c r="J27" s="70"/>
      <c r="K27" s="72"/>
      <c r="L27" s="82">
        <f>IF($C27="","",SUMIFS($E$8:$E$67,$C$8:$C$67,$C27,$D$8:$D$67,$D27))</f>
        <v>0</v>
      </c>
      <c r="M27" s="63">
        <f>IF($D27="","",$E27*IFERROR(INDEX('🧶 Product Catalog'!$I$8:$I$31,MATCH($D27,'🧶 Product Catalog'!$C$8:$C$31,0)),0))</f>
        <v>0</v>
      </c>
    </row>
    <row r="28" spans="1:13" ht="22" customHeight="1">
      <c r="A28" s="58">
        <v>21</v>
      </c>
      <c r="B28" s="80"/>
      <c r="C28" s="59"/>
      <c r="D28" s="59"/>
      <c r="E28" s="66"/>
      <c r="F28" s="62"/>
      <c r="G28" s="62"/>
      <c r="H28" s="63">
        <f>IF($D28="","",IF($E28="","",E28*F28)-IF($G28="",0,$G28))</f>
        <v>0</v>
      </c>
      <c r="I28" s="60"/>
      <c r="J28" s="59"/>
      <c r="K28" s="61"/>
      <c r="L28" s="82">
        <f>IF($C28="","",SUMIFS($E$8:$E$67,$C$8:$C$67,$C28,$D$8:$D$67,$D28))</f>
        <v>0</v>
      </c>
      <c r="M28" s="63">
        <f>IF($D28="","",$E28*IFERROR(INDEX('🧶 Product Catalog'!$I$8:$I$31,MATCH($D28,'🧶 Product Catalog'!$C$8:$C$31,0)),0))</f>
        <v>0</v>
      </c>
    </row>
    <row r="29" spans="1:13" ht="22" customHeight="1">
      <c r="A29" s="69">
        <v>22</v>
      </c>
      <c r="B29" s="84"/>
      <c r="C29" s="70"/>
      <c r="D29" s="70"/>
      <c r="E29" s="75"/>
      <c r="F29" s="73"/>
      <c r="G29" s="73"/>
      <c r="H29" s="63">
        <f>IF($D29="","",IF($E29="","",E29*F29)-IF($G29="",0,$G29))</f>
        <v>0</v>
      </c>
      <c r="I29" s="71"/>
      <c r="J29" s="70"/>
      <c r="K29" s="72"/>
      <c r="L29" s="82">
        <f>IF($C29="","",SUMIFS($E$8:$E$67,$C$8:$C$67,$C29,$D$8:$D$67,$D29))</f>
        <v>0</v>
      </c>
      <c r="M29" s="63">
        <f>IF($D29="","",$E29*IFERROR(INDEX('🧶 Product Catalog'!$I$8:$I$31,MATCH($D29,'🧶 Product Catalog'!$C$8:$C$31,0)),0))</f>
        <v>0</v>
      </c>
    </row>
    <row r="30" spans="1:13" ht="22" customHeight="1">
      <c r="A30" s="58">
        <v>23</v>
      </c>
      <c r="B30" s="80"/>
      <c r="C30" s="59"/>
      <c r="D30" s="59"/>
      <c r="E30" s="66"/>
      <c r="F30" s="62"/>
      <c r="G30" s="62"/>
      <c r="H30" s="63">
        <f>IF($D30="","",IF($E30="","",E30*F30)-IF($G30="",0,$G30))</f>
        <v>0</v>
      </c>
      <c r="I30" s="60"/>
      <c r="J30" s="59"/>
      <c r="K30" s="61"/>
      <c r="L30" s="82">
        <f>IF($C30="","",SUMIFS($E$8:$E$67,$C$8:$C$67,$C30,$D$8:$D$67,$D30))</f>
        <v>0</v>
      </c>
      <c r="M30" s="63">
        <f>IF($D30="","",$E30*IFERROR(INDEX('🧶 Product Catalog'!$I$8:$I$31,MATCH($D30,'🧶 Product Catalog'!$C$8:$C$31,0)),0))</f>
        <v>0</v>
      </c>
    </row>
    <row r="31" spans="1:13" ht="22" customHeight="1">
      <c r="A31" s="69">
        <v>24</v>
      </c>
      <c r="B31" s="84"/>
      <c r="C31" s="70"/>
      <c r="D31" s="70"/>
      <c r="E31" s="75"/>
      <c r="F31" s="73"/>
      <c r="G31" s="73"/>
      <c r="H31" s="63">
        <f>IF($D31="","",IF($E31="","",E31*F31)-IF($G31="",0,$G31))</f>
        <v>0</v>
      </c>
      <c r="I31" s="71"/>
      <c r="J31" s="70"/>
      <c r="K31" s="72"/>
      <c r="L31" s="82">
        <f>IF($C31="","",SUMIFS($E$8:$E$67,$C$8:$C$67,$C31,$D$8:$D$67,$D31))</f>
        <v>0</v>
      </c>
      <c r="M31" s="63">
        <f>IF($D31="","",$E31*IFERROR(INDEX('🧶 Product Catalog'!$I$8:$I$31,MATCH($D31,'🧶 Product Catalog'!$C$8:$C$31,0)),0))</f>
        <v>0</v>
      </c>
    </row>
    <row r="32" spans="1:13" ht="22" customHeight="1">
      <c r="A32" s="58">
        <v>25</v>
      </c>
      <c r="B32" s="80"/>
      <c r="C32" s="59"/>
      <c r="D32" s="59"/>
      <c r="E32" s="66"/>
      <c r="F32" s="62"/>
      <c r="G32" s="62"/>
      <c r="H32" s="63">
        <f>IF($D32="","",IF($E32="","",E32*F32)-IF($G32="",0,$G32))</f>
        <v>0</v>
      </c>
      <c r="I32" s="60"/>
      <c r="J32" s="59"/>
      <c r="K32" s="61"/>
      <c r="L32" s="82">
        <f>IF($C32="","",SUMIFS($E$8:$E$67,$C$8:$C$67,$C32,$D$8:$D$67,$D32))</f>
        <v>0</v>
      </c>
      <c r="M32" s="63">
        <f>IF($D32="","",$E32*IFERROR(INDEX('🧶 Product Catalog'!$I$8:$I$31,MATCH($D32,'🧶 Product Catalog'!$C$8:$C$31,0)),0))</f>
        <v>0</v>
      </c>
    </row>
    <row r="33" spans="1:13" ht="22" customHeight="1">
      <c r="A33" s="69">
        <v>26</v>
      </c>
      <c r="B33" s="84"/>
      <c r="C33" s="70"/>
      <c r="D33" s="70"/>
      <c r="E33" s="75"/>
      <c r="F33" s="73"/>
      <c r="G33" s="73"/>
      <c r="H33" s="63">
        <f>IF($D33="","",IF($E33="","",E33*F33)-IF($G33="",0,$G33))</f>
        <v>0</v>
      </c>
      <c r="I33" s="71"/>
      <c r="J33" s="70"/>
      <c r="K33" s="72"/>
      <c r="L33" s="82">
        <f>IF($C33="","",SUMIFS($E$8:$E$67,$C$8:$C$67,$C33,$D$8:$D$67,$D33))</f>
        <v>0</v>
      </c>
      <c r="M33" s="63">
        <f>IF($D33="","",$E33*IFERROR(INDEX('🧶 Product Catalog'!$I$8:$I$31,MATCH($D33,'🧶 Product Catalog'!$C$8:$C$31,0)),0))</f>
        <v>0</v>
      </c>
    </row>
    <row r="34" spans="1:13" ht="22" customHeight="1">
      <c r="A34" s="58">
        <v>27</v>
      </c>
      <c r="B34" s="80"/>
      <c r="C34" s="59"/>
      <c r="D34" s="59"/>
      <c r="E34" s="66"/>
      <c r="F34" s="62"/>
      <c r="G34" s="62"/>
      <c r="H34" s="63">
        <f>IF($D34="","",IF($E34="","",E34*F34)-IF($G34="",0,$G34))</f>
        <v>0</v>
      </c>
      <c r="I34" s="60"/>
      <c r="J34" s="59"/>
      <c r="K34" s="61"/>
      <c r="L34" s="82">
        <f>IF($C34="","",SUMIFS($E$8:$E$67,$C$8:$C$67,$C34,$D$8:$D$67,$D34))</f>
        <v>0</v>
      </c>
      <c r="M34" s="63">
        <f>IF($D34="","",$E34*IFERROR(INDEX('🧶 Product Catalog'!$I$8:$I$31,MATCH($D34,'🧶 Product Catalog'!$C$8:$C$31,0)),0))</f>
        <v>0</v>
      </c>
    </row>
    <row r="35" spans="1:13" ht="22" customHeight="1">
      <c r="A35" s="69">
        <v>28</v>
      </c>
      <c r="B35" s="84"/>
      <c r="C35" s="70"/>
      <c r="D35" s="70"/>
      <c r="E35" s="75"/>
      <c r="F35" s="73"/>
      <c r="G35" s="73"/>
      <c r="H35" s="63">
        <f>IF($D35="","",IF($E35="","",E35*F35)-IF($G35="",0,$G35))</f>
        <v>0</v>
      </c>
      <c r="I35" s="71"/>
      <c r="J35" s="70"/>
      <c r="K35" s="72"/>
      <c r="L35" s="82">
        <f>IF($C35="","",SUMIFS($E$8:$E$67,$C$8:$C$67,$C35,$D$8:$D$67,$D35))</f>
        <v>0</v>
      </c>
      <c r="M35" s="63">
        <f>IF($D35="","",$E35*IFERROR(INDEX('🧶 Product Catalog'!$I$8:$I$31,MATCH($D35,'🧶 Product Catalog'!$C$8:$C$31,0)),0))</f>
        <v>0</v>
      </c>
    </row>
    <row r="36" spans="1:13" ht="22" customHeight="1">
      <c r="A36" s="58">
        <v>29</v>
      </c>
      <c r="B36" s="80"/>
      <c r="C36" s="59"/>
      <c r="D36" s="59"/>
      <c r="E36" s="66"/>
      <c r="F36" s="62"/>
      <c r="G36" s="62"/>
      <c r="H36" s="63">
        <f>IF($D36="","",IF($E36="","",E36*F36)-IF($G36="",0,$G36))</f>
        <v>0</v>
      </c>
      <c r="I36" s="60"/>
      <c r="J36" s="59"/>
      <c r="K36" s="61"/>
      <c r="L36" s="82">
        <f>IF($C36="","",SUMIFS($E$8:$E$67,$C$8:$C$67,$C36,$D$8:$D$67,$D36))</f>
        <v>0</v>
      </c>
      <c r="M36" s="63">
        <f>IF($D36="","",$E36*IFERROR(INDEX('🧶 Product Catalog'!$I$8:$I$31,MATCH($D36,'🧶 Product Catalog'!$C$8:$C$31,0)),0))</f>
        <v>0</v>
      </c>
    </row>
    <row r="37" spans="1:13" ht="22" customHeight="1">
      <c r="A37" s="69">
        <v>30</v>
      </c>
      <c r="B37" s="84"/>
      <c r="C37" s="70"/>
      <c r="D37" s="70"/>
      <c r="E37" s="75"/>
      <c r="F37" s="73"/>
      <c r="G37" s="73"/>
      <c r="H37" s="63">
        <f>IF($D37="","",IF($E37="","",E37*F37)-IF($G37="",0,$G37))</f>
        <v>0</v>
      </c>
      <c r="I37" s="71"/>
      <c r="J37" s="70"/>
      <c r="K37" s="72"/>
      <c r="L37" s="82">
        <f>IF($C37="","",SUMIFS($E$8:$E$67,$C$8:$C$67,$C37,$D$8:$D$67,$D37))</f>
        <v>0</v>
      </c>
      <c r="M37" s="63">
        <f>IF($D37="","",$E37*IFERROR(INDEX('🧶 Product Catalog'!$I$8:$I$31,MATCH($D37,'🧶 Product Catalog'!$C$8:$C$31,0)),0))</f>
        <v>0</v>
      </c>
    </row>
    <row r="38" spans="1:13" ht="22" customHeight="1">
      <c r="A38" s="58">
        <v>31</v>
      </c>
      <c r="B38" s="80"/>
      <c r="C38" s="59"/>
      <c r="D38" s="59"/>
      <c r="E38" s="66"/>
      <c r="F38" s="62"/>
      <c r="G38" s="62"/>
      <c r="H38" s="63">
        <f>IF($D38="","",IF($E38="","",E38*F38)-IF($G38="",0,$G38))</f>
        <v>0</v>
      </c>
      <c r="I38" s="60"/>
      <c r="J38" s="59"/>
      <c r="K38" s="61"/>
      <c r="L38" s="82">
        <f>IF($C38="","",SUMIFS($E$8:$E$67,$C$8:$C$67,$C38,$D$8:$D$67,$D38))</f>
        <v>0</v>
      </c>
      <c r="M38" s="63">
        <f>IF($D38="","",$E38*IFERROR(INDEX('🧶 Product Catalog'!$I$8:$I$31,MATCH($D38,'🧶 Product Catalog'!$C$8:$C$31,0)),0))</f>
        <v>0</v>
      </c>
    </row>
    <row r="39" spans="1:13" ht="22" customHeight="1">
      <c r="A39" s="69">
        <v>32</v>
      </c>
      <c r="B39" s="84"/>
      <c r="C39" s="70"/>
      <c r="D39" s="70"/>
      <c r="E39" s="75"/>
      <c r="F39" s="73"/>
      <c r="G39" s="73"/>
      <c r="H39" s="63">
        <f>IF($D39="","",IF($E39="","",E39*F39)-IF($G39="",0,$G39))</f>
        <v>0</v>
      </c>
      <c r="I39" s="71"/>
      <c r="J39" s="70"/>
      <c r="K39" s="72"/>
      <c r="L39" s="82">
        <f>IF($C39="","",SUMIFS($E$8:$E$67,$C$8:$C$67,$C39,$D$8:$D$67,$D39))</f>
        <v>0</v>
      </c>
      <c r="M39" s="63">
        <f>IF($D39="","",$E39*IFERROR(INDEX('🧶 Product Catalog'!$I$8:$I$31,MATCH($D39,'🧶 Product Catalog'!$C$8:$C$31,0)),0))</f>
        <v>0</v>
      </c>
    </row>
    <row r="40" spans="1:13" ht="22" customHeight="1">
      <c r="A40" s="58">
        <v>33</v>
      </c>
      <c r="B40" s="80"/>
      <c r="C40" s="59"/>
      <c r="D40" s="59"/>
      <c r="E40" s="66"/>
      <c r="F40" s="62"/>
      <c r="G40" s="62"/>
      <c r="H40" s="63">
        <f>IF($D40="","",IF($E40="","",E40*F40)-IF($G40="",0,$G40))</f>
        <v>0</v>
      </c>
      <c r="I40" s="60"/>
      <c r="J40" s="59"/>
      <c r="K40" s="61"/>
      <c r="L40" s="82">
        <f>IF($C40="","",SUMIFS($E$8:$E$67,$C$8:$C$67,$C40,$D$8:$D$67,$D40))</f>
        <v>0</v>
      </c>
      <c r="M40" s="63">
        <f>IF($D40="","",$E40*IFERROR(INDEX('🧶 Product Catalog'!$I$8:$I$31,MATCH($D40,'🧶 Product Catalog'!$C$8:$C$31,0)),0))</f>
        <v>0</v>
      </c>
    </row>
    <row r="41" spans="1:13" ht="22" customHeight="1">
      <c r="A41" s="69">
        <v>34</v>
      </c>
      <c r="B41" s="84"/>
      <c r="C41" s="70"/>
      <c r="D41" s="70"/>
      <c r="E41" s="75"/>
      <c r="F41" s="73"/>
      <c r="G41" s="73"/>
      <c r="H41" s="63">
        <f>IF($D41="","",IF($E41="","",E41*F41)-IF($G41="",0,$G41))</f>
        <v>0</v>
      </c>
      <c r="I41" s="71"/>
      <c r="J41" s="70"/>
      <c r="K41" s="72"/>
      <c r="L41" s="82">
        <f>IF($C41="","",SUMIFS($E$8:$E$67,$C$8:$C$67,$C41,$D$8:$D$67,$D41))</f>
        <v>0</v>
      </c>
      <c r="M41" s="63">
        <f>IF($D41="","",$E41*IFERROR(INDEX('🧶 Product Catalog'!$I$8:$I$31,MATCH($D41,'🧶 Product Catalog'!$C$8:$C$31,0)),0))</f>
        <v>0</v>
      </c>
    </row>
    <row r="42" spans="1:13" ht="22" customHeight="1">
      <c r="A42" s="58">
        <v>35</v>
      </c>
      <c r="B42" s="80"/>
      <c r="C42" s="59"/>
      <c r="D42" s="59"/>
      <c r="E42" s="66"/>
      <c r="F42" s="62"/>
      <c r="G42" s="62"/>
      <c r="H42" s="63">
        <f>IF($D42="","",IF($E42="","",E42*F42)-IF($G42="",0,$G42))</f>
        <v>0</v>
      </c>
      <c r="I42" s="60"/>
      <c r="J42" s="59"/>
      <c r="K42" s="61"/>
      <c r="L42" s="82">
        <f>IF($C42="","",SUMIFS($E$8:$E$67,$C$8:$C$67,$C42,$D$8:$D$67,$D42))</f>
        <v>0</v>
      </c>
      <c r="M42" s="63">
        <f>IF($D42="","",$E42*IFERROR(INDEX('🧶 Product Catalog'!$I$8:$I$31,MATCH($D42,'🧶 Product Catalog'!$C$8:$C$31,0)),0))</f>
        <v>0</v>
      </c>
    </row>
    <row r="43" spans="1:13" ht="22" customHeight="1">
      <c r="A43" s="69">
        <v>36</v>
      </c>
      <c r="B43" s="84"/>
      <c r="C43" s="70"/>
      <c r="D43" s="70"/>
      <c r="E43" s="75"/>
      <c r="F43" s="73"/>
      <c r="G43" s="73"/>
      <c r="H43" s="63">
        <f>IF($D43="","",IF($E43="","",E43*F43)-IF($G43="",0,$G43))</f>
        <v>0</v>
      </c>
      <c r="I43" s="71"/>
      <c r="J43" s="70"/>
      <c r="K43" s="72"/>
      <c r="L43" s="82">
        <f>IF($C43="","",SUMIFS($E$8:$E$67,$C$8:$C$67,$C43,$D$8:$D$67,$D43))</f>
        <v>0</v>
      </c>
      <c r="M43" s="63">
        <f>IF($D43="","",$E43*IFERROR(INDEX('🧶 Product Catalog'!$I$8:$I$31,MATCH($D43,'🧶 Product Catalog'!$C$8:$C$31,0)),0))</f>
        <v>0</v>
      </c>
    </row>
    <row r="44" spans="1:13" ht="22" customHeight="1">
      <c r="A44" s="58">
        <v>37</v>
      </c>
      <c r="B44" s="80"/>
      <c r="C44" s="59"/>
      <c r="D44" s="59"/>
      <c r="E44" s="66"/>
      <c r="F44" s="62"/>
      <c r="G44" s="62"/>
      <c r="H44" s="63">
        <f>IF($D44="","",IF($E44="","",E44*F44)-IF($G44="",0,$G44))</f>
        <v>0</v>
      </c>
      <c r="I44" s="60"/>
      <c r="J44" s="59"/>
      <c r="K44" s="61"/>
      <c r="L44" s="82">
        <f>IF($C44="","",SUMIFS($E$8:$E$67,$C$8:$C$67,$C44,$D$8:$D$67,$D44))</f>
        <v>0</v>
      </c>
      <c r="M44" s="63">
        <f>IF($D44="","",$E44*IFERROR(INDEX('🧶 Product Catalog'!$I$8:$I$31,MATCH($D44,'🧶 Product Catalog'!$C$8:$C$31,0)),0))</f>
        <v>0</v>
      </c>
    </row>
    <row r="45" spans="1:13" ht="22" customHeight="1">
      <c r="A45" s="69">
        <v>38</v>
      </c>
      <c r="B45" s="84"/>
      <c r="C45" s="70"/>
      <c r="D45" s="70"/>
      <c r="E45" s="75"/>
      <c r="F45" s="73"/>
      <c r="G45" s="73"/>
      <c r="H45" s="63">
        <f>IF($D45="","",IF($E45="","",E45*F45)-IF($G45="",0,$G45))</f>
        <v>0</v>
      </c>
      <c r="I45" s="71"/>
      <c r="J45" s="70"/>
      <c r="K45" s="72"/>
      <c r="L45" s="82">
        <f>IF($C45="","",SUMIFS($E$8:$E$67,$C$8:$C$67,$C45,$D$8:$D$67,$D45))</f>
        <v>0</v>
      </c>
      <c r="M45" s="63">
        <f>IF($D45="","",$E45*IFERROR(INDEX('🧶 Product Catalog'!$I$8:$I$31,MATCH($D45,'🧶 Product Catalog'!$C$8:$C$31,0)),0))</f>
        <v>0</v>
      </c>
    </row>
    <row r="46" spans="1:13" ht="22" customHeight="1">
      <c r="A46" s="58">
        <v>39</v>
      </c>
      <c r="B46" s="80"/>
      <c r="C46" s="59"/>
      <c r="D46" s="59"/>
      <c r="E46" s="66"/>
      <c r="F46" s="62"/>
      <c r="G46" s="62"/>
      <c r="H46" s="63">
        <f>IF($D46="","",IF($E46="","",E46*F46)-IF($G46="",0,$G46))</f>
        <v>0</v>
      </c>
      <c r="I46" s="60"/>
      <c r="J46" s="59"/>
      <c r="K46" s="61"/>
      <c r="L46" s="82">
        <f>IF($C46="","",SUMIFS($E$8:$E$67,$C$8:$C$67,$C46,$D$8:$D$67,$D46))</f>
        <v>0</v>
      </c>
      <c r="M46" s="63">
        <f>IF($D46="","",$E46*IFERROR(INDEX('🧶 Product Catalog'!$I$8:$I$31,MATCH($D46,'🧶 Product Catalog'!$C$8:$C$31,0)),0))</f>
        <v>0</v>
      </c>
    </row>
    <row r="47" spans="1:13" ht="22" customHeight="1">
      <c r="A47" s="69">
        <v>40</v>
      </c>
      <c r="B47" s="84"/>
      <c r="C47" s="70"/>
      <c r="D47" s="70"/>
      <c r="E47" s="75"/>
      <c r="F47" s="73"/>
      <c r="G47" s="73"/>
      <c r="H47" s="63">
        <f>IF($D47="","",IF($E47="","",E47*F47)-IF($G47="",0,$G47))</f>
        <v>0</v>
      </c>
      <c r="I47" s="71"/>
      <c r="J47" s="70"/>
      <c r="K47" s="72"/>
      <c r="L47" s="82">
        <f>IF($C47="","",SUMIFS($E$8:$E$67,$C$8:$C$67,$C47,$D$8:$D$67,$D47))</f>
        <v>0</v>
      </c>
      <c r="M47" s="63">
        <f>IF($D47="","",$E47*IFERROR(INDEX('🧶 Product Catalog'!$I$8:$I$31,MATCH($D47,'🧶 Product Catalog'!$C$8:$C$31,0)),0))</f>
        <v>0</v>
      </c>
    </row>
    <row r="48" spans="1:13" ht="22" customHeight="1">
      <c r="A48" s="58">
        <v>41</v>
      </c>
      <c r="B48" s="80"/>
      <c r="C48" s="59"/>
      <c r="D48" s="59"/>
      <c r="E48" s="66"/>
      <c r="F48" s="62"/>
      <c r="G48" s="62"/>
      <c r="H48" s="63">
        <f>IF($D48="","",IF($E48="","",E48*F48)-IF($G48="",0,$G48))</f>
        <v>0</v>
      </c>
      <c r="I48" s="60"/>
      <c r="J48" s="59"/>
      <c r="K48" s="61"/>
      <c r="L48" s="82">
        <f>IF($C48="","",SUMIFS($E$8:$E$67,$C$8:$C$67,$C48,$D$8:$D$67,$D48))</f>
        <v>0</v>
      </c>
      <c r="M48" s="63">
        <f>IF($D48="","",$E48*IFERROR(INDEX('🧶 Product Catalog'!$I$8:$I$31,MATCH($D48,'🧶 Product Catalog'!$C$8:$C$31,0)),0))</f>
        <v>0</v>
      </c>
    </row>
    <row r="49" spans="1:13" ht="22" customHeight="1">
      <c r="A49" s="69">
        <v>42</v>
      </c>
      <c r="B49" s="84"/>
      <c r="C49" s="70"/>
      <c r="D49" s="70"/>
      <c r="E49" s="75"/>
      <c r="F49" s="73"/>
      <c r="G49" s="73"/>
      <c r="H49" s="63">
        <f>IF($D49="","",IF($E49="","",E49*F49)-IF($G49="",0,$G49))</f>
        <v>0</v>
      </c>
      <c r="I49" s="71"/>
      <c r="J49" s="70"/>
      <c r="K49" s="72"/>
      <c r="L49" s="82">
        <f>IF($C49="","",SUMIFS($E$8:$E$67,$C$8:$C$67,$C49,$D$8:$D$67,$D49))</f>
        <v>0</v>
      </c>
      <c r="M49" s="63">
        <f>IF($D49="","",$E49*IFERROR(INDEX('🧶 Product Catalog'!$I$8:$I$31,MATCH($D49,'🧶 Product Catalog'!$C$8:$C$31,0)),0))</f>
        <v>0</v>
      </c>
    </row>
    <row r="50" spans="1:13" ht="22" customHeight="1">
      <c r="A50" s="58">
        <v>43</v>
      </c>
      <c r="B50" s="80"/>
      <c r="C50" s="59"/>
      <c r="D50" s="59"/>
      <c r="E50" s="66"/>
      <c r="F50" s="62"/>
      <c r="G50" s="62"/>
      <c r="H50" s="63">
        <f>IF($D50="","",IF($E50="","",E50*F50)-IF($G50="",0,$G50))</f>
        <v>0</v>
      </c>
      <c r="I50" s="60"/>
      <c r="J50" s="59"/>
      <c r="K50" s="61"/>
      <c r="L50" s="82">
        <f>IF($C50="","",SUMIFS($E$8:$E$67,$C$8:$C$67,$C50,$D$8:$D$67,$D50))</f>
        <v>0</v>
      </c>
      <c r="M50" s="63">
        <f>IF($D50="","",$E50*IFERROR(INDEX('🧶 Product Catalog'!$I$8:$I$31,MATCH($D50,'🧶 Product Catalog'!$C$8:$C$31,0)),0))</f>
        <v>0</v>
      </c>
    </row>
    <row r="51" spans="1:13" ht="22" customHeight="1">
      <c r="A51" s="69">
        <v>44</v>
      </c>
      <c r="B51" s="84"/>
      <c r="C51" s="70"/>
      <c r="D51" s="70"/>
      <c r="E51" s="75"/>
      <c r="F51" s="73"/>
      <c r="G51" s="73"/>
      <c r="H51" s="63">
        <f>IF($D51="","",IF($E51="","",E51*F51)-IF($G51="",0,$G51))</f>
        <v>0</v>
      </c>
      <c r="I51" s="71"/>
      <c r="J51" s="70"/>
      <c r="K51" s="72"/>
      <c r="L51" s="82">
        <f>IF($C51="","",SUMIFS($E$8:$E$67,$C$8:$C$67,$C51,$D$8:$D$67,$D51))</f>
        <v>0</v>
      </c>
      <c r="M51" s="63">
        <f>IF($D51="","",$E51*IFERROR(INDEX('🧶 Product Catalog'!$I$8:$I$31,MATCH($D51,'🧶 Product Catalog'!$C$8:$C$31,0)),0))</f>
        <v>0</v>
      </c>
    </row>
    <row r="52" spans="1:13" ht="22" customHeight="1">
      <c r="A52" s="58">
        <v>45</v>
      </c>
      <c r="B52" s="80"/>
      <c r="C52" s="59"/>
      <c r="D52" s="59"/>
      <c r="E52" s="66"/>
      <c r="F52" s="62"/>
      <c r="G52" s="62"/>
      <c r="H52" s="63">
        <f>IF($D52="","",IF($E52="","",E52*F52)-IF($G52="",0,$G52))</f>
        <v>0</v>
      </c>
      <c r="I52" s="60"/>
      <c r="J52" s="59"/>
      <c r="K52" s="61"/>
      <c r="L52" s="82">
        <f>IF($C52="","",SUMIFS($E$8:$E$67,$C$8:$C$67,$C52,$D$8:$D$67,$D52))</f>
        <v>0</v>
      </c>
      <c r="M52" s="63">
        <f>IF($D52="","",$E52*IFERROR(INDEX('🧶 Product Catalog'!$I$8:$I$31,MATCH($D52,'🧶 Product Catalog'!$C$8:$C$31,0)),0))</f>
        <v>0</v>
      </c>
    </row>
    <row r="53" spans="1:13" ht="22" customHeight="1">
      <c r="A53" s="69">
        <v>46</v>
      </c>
      <c r="B53" s="84"/>
      <c r="C53" s="70"/>
      <c r="D53" s="70"/>
      <c r="E53" s="75"/>
      <c r="F53" s="73"/>
      <c r="G53" s="73"/>
      <c r="H53" s="63">
        <f>IF($D53="","",IF($E53="","",E53*F53)-IF($G53="",0,$G53))</f>
        <v>0</v>
      </c>
      <c r="I53" s="71"/>
      <c r="J53" s="70"/>
      <c r="K53" s="72"/>
      <c r="L53" s="82">
        <f>IF($C53="","",SUMIFS($E$8:$E$67,$C$8:$C$67,$C53,$D$8:$D$67,$D53))</f>
        <v>0</v>
      </c>
      <c r="M53" s="63">
        <f>IF($D53="","",$E53*IFERROR(INDEX('🧶 Product Catalog'!$I$8:$I$31,MATCH($D53,'🧶 Product Catalog'!$C$8:$C$31,0)),0))</f>
        <v>0</v>
      </c>
    </row>
    <row r="54" spans="1:13" ht="22" customHeight="1">
      <c r="A54" s="58">
        <v>47</v>
      </c>
      <c r="B54" s="80"/>
      <c r="C54" s="59"/>
      <c r="D54" s="59"/>
      <c r="E54" s="66"/>
      <c r="F54" s="62"/>
      <c r="G54" s="62"/>
      <c r="H54" s="63">
        <f>IF($D54="","",IF($E54="","",E54*F54)-IF($G54="",0,$G54))</f>
        <v>0</v>
      </c>
      <c r="I54" s="60"/>
      <c r="J54" s="59"/>
      <c r="K54" s="61"/>
      <c r="L54" s="82">
        <f>IF($C54="","",SUMIFS($E$8:$E$67,$C$8:$C$67,$C54,$D$8:$D$67,$D54))</f>
        <v>0</v>
      </c>
      <c r="M54" s="63">
        <f>IF($D54="","",$E54*IFERROR(INDEX('🧶 Product Catalog'!$I$8:$I$31,MATCH($D54,'🧶 Product Catalog'!$C$8:$C$31,0)),0))</f>
        <v>0</v>
      </c>
    </row>
    <row r="55" spans="1:13" ht="22" customHeight="1">
      <c r="A55" s="69">
        <v>48</v>
      </c>
      <c r="B55" s="84"/>
      <c r="C55" s="70"/>
      <c r="D55" s="70"/>
      <c r="E55" s="75"/>
      <c r="F55" s="73"/>
      <c r="G55" s="73"/>
      <c r="H55" s="63">
        <f>IF($D55="","",IF($E55="","",E55*F55)-IF($G55="",0,$G55))</f>
        <v>0</v>
      </c>
      <c r="I55" s="71"/>
      <c r="J55" s="70"/>
      <c r="K55" s="72"/>
      <c r="L55" s="82">
        <f>IF($C55="","",SUMIFS($E$8:$E$67,$C$8:$C$67,$C55,$D$8:$D$67,$D55))</f>
        <v>0</v>
      </c>
      <c r="M55" s="63">
        <f>IF($D55="","",$E55*IFERROR(INDEX('🧶 Product Catalog'!$I$8:$I$31,MATCH($D55,'🧶 Product Catalog'!$C$8:$C$31,0)),0))</f>
        <v>0</v>
      </c>
    </row>
    <row r="56" spans="1:13" ht="22" customHeight="1">
      <c r="A56" s="58">
        <v>49</v>
      </c>
      <c r="B56" s="80"/>
      <c r="C56" s="59"/>
      <c r="D56" s="59"/>
      <c r="E56" s="66"/>
      <c r="F56" s="62"/>
      <c r="G56" s="62"/>
      <c r="H56" s="63">
        <f>IF($D56="","",IF($E56="","",E56*F56)-IF($G56="",0,$G56))</f>
        <v>0</v>
      </c>
      <c r="I56" s="60"/>
      <c r="J56" s="59"/>
      <c r="K56" s="61"/>
      <c r="L56" s="82">
        <f>IF($C56="","",SUMIFS($E$8:$E$67,$C$8:$C$67,$C56,$D$8:$D$67,$D56))</f>
        <v>0</v>
      </c>
      <c r="M56" s="63">
        <f>IF($D56="","",$E56*IFERROR(INDEX('🧶 Product Catalog'!$I$8:$I$31,MATCH($D56,'🧶 Product Catalog'!$C$8:$C$31,0)),0))</f>
        <v>0</v>
      </c>
    </row>
    <row r="57" spans="1:13" ht="22" customHeight="1">
      <c r="A57" s="69">
        <v>50</v>
      </c>
      <c r="B57" s="84"/>
      <c r="C57" s="70"/>
      <c r="D57" s="70"/>
      <c r="E57" s="75"/>
      <c r="F57" s="73"/>
      <c r="G57" s="73"/>
      <c r="H57" s="63">
        <f>IF($D57="","",IF($E57="","",E57*F57)-IF($G57="",0,$G57))</f>
        <v>0</v>
      </c>
      <c r="I57" s="71"/>
      <c r="J57" s="70"/>
      <c r="K57" s="72"/>
      <c r="L57" s="82">
        <f>IF($C57="","",SUMIFS($E$8:$E$67,$C$8:$C$67,$C57,$D$8:$D$67,$D57))</f>
        <v>0</v>
      </c>
      <c r="M57" s="63">
        <f>IF($D57="","",$E57*IFERROR(INDEX('🧶 Product Catalog'!$I$8:$I$31,MATCH($D57,'🧶 Product Catalog'!$C$8:$C$31,0)),0))</f>
        <v>0</v>
      </c>
    </row>
    <row r="58" spans="1:13" ht="22" customHeight="1">
      <c r="A58" s="58">
        <v>51</v>
      </c>
      <c r="B58" s="80"/>
      <c r="C58" s="59"/>
      <c r="D58" s="59"/>
      <c r="E58" s="66"/>
      <c r="F58" s="62"/>
      <c r="G58" s="62"/>
      <c r="H58" s="63">
        <f>IF($D58="","",IF($E58="","",E58*F58)-IF($G58="",0,$G58))</f>
        <v>0</v>
      </c>
      <c r="I58" s="60"/>
      <c r="J58" s="59"/>
      <c r="K58" s="61"/>
      <c r="L58" s="82">
        <f>IF($C58="","",SUMIFS($E$8:$E$67,$C$8:$C$67,$C58,$D$8:$D$67,$D58))</f>
        <v>0</v>
      </c>
      <c r="M58" s="63">
        <f>IF($D58="","",$E58*IFERROR(INDEX('🧶 Product Catalog'!$I$8:$I$31,MATCH($D58,'🧶 Product Catalog'!$C$8:$C$31,0)),0))</f>
        <v>0</v>
      </c>
    </row>
    <row r="59" spans="1:13" ht="22" customHeight="1">
      <c r="A59" s="69">
        <v>52</v>
      </c>
      <c r="B59" s="84"/>
      <c r="C59" s="70"/>
      <c r="D59" s="70"/>
      <c r="E59" s="75"/>
      <c r="F59" s="73"/>
      <c r="G59" s="73"/>
      <c r="H59" s="63">
        <f>IF($D59="","",IF($E59="","",E59*F59)-IF($G59="",0,$G59))</f>
        <v>0</v>
      </c>
      <c r="I59" s="71"/>
      <c r="J59" s="70"/>
      <c r="K59" s="72"/>
      <c r="L59" s="82">
        <f>IF($C59="","",SUMIFS($E$8:$E$67,$C$8:$C$67,$C59,$D$8:$D$67,$D59))</f>
        <v>0</v>
      </c>
      <c r="M59" s="63">
        <f>IF($D59="","",$E59*IFERROR(INDEX('🧶 Product Catalog'!$I$8:$I$31,MATCH($D59,'🧶 Product Catalog'!$C$8:$C$31,0)),0))</f>
        <v>0</v>
      </c>
    </row>
    <row r="60" spans="1:13" ht="22" customHeight="1">
      <c r="A60" s="58">
        <v>53</v>
      </c>
      <c r="B60" s="80"/>
      <c r="C60" s="59"/>
      <c r="D60" s="59"/>
      <c r="E60" s="66"/>
      <c r="F60" s="62"/>
      <c r="G60" s="62"/>
      <c r="H60" s="63">
        <f>IF($D60="","",IF($E60="","",E60*F60)-IF($G60="",0,$G60))</f>
        <v>0</v>
      </c>
      <c r="I60" s="60"/>
      <c r="J60" s="59"/>
      <c r="K60" s="61"/>
      <c r="L60" s="82">
        <f>IF($C60="","",SUMIFS($E$8:$E$67,$C$8:$C$67,$C60,$D$8:$D$67,$D60))</f>
        <v>0</v>
      </c>
      <c r="M60" s="63">
        <f>IF($D60="","",$E60*IFERROR(INDEX('🧶 Product Catalog'!$I$8:$I$31,MATCH($D60,'🧶 Product Catalog'!$C$8:$C$31,0)),0))</f>
        <v>0</v>
      </c>
    </row>
    <row r="61" spans="1:13" ht="22" customHeight="1">
      <c r="A61" s="69">
        <v>54</v>
      </c>
      <c r="B61" s="84"/>
      <c r="C61" s="70"/>
      <c r="D61" s="70"/>
      <c r="E61" s="75"/>
      <c r="F61" s="73"/>
      <c r="G61" s="73"/>
      <c r="H61" s="63">
        <f>IF($D61="","",IF($E61="","",E61*F61)-IF($G61="",0,$G61))</f>
        <v>0</v>
      </c>
      <c r="I61" s="71"/>
      <c r="J61" s="70"/>
      <c r="K61" s="72"/>
      <c r="L61" s="82">
        <f>IF($C61="","",SUMIFS($E$8:$E$67,$C$8:$C$67,$C61,$D$8:$D$67,$D61))</f>
        <v>0</v>
      </c>
      <c r="M61" s="63">
        <f>IF($D61="","",$E61*IFERROR(INDEX('🧶 Product Catalog'!$I$8:$I$31,MATCH($D61,'🧶 Product Catalog'!$C$8:$C$31,0)),0))</f>
        <v>0</v>
      </c>
    </row>
    <row r="62" spans="1:13" ht="22" customHeight="1">
      <c r="A62" s="58">
        <v>55</v>
      </c>
      <c r="B62" s="80"/>
      <c r="C62" s="59"/>
      <c r="D62" s="59"/>
      <c r="E62" s="66"/>
      <c r="F62" s="62"/>
      <c r="G62" s="62"/>
      <c r="H62" s="63">
        <f>IF($D62="","",IF($E62="","",E62*F62)-IF($G62="",0,$G62))</f>
        <v>0</v>
      </c>
      <c r="I62" s="60"/>
      <c r="J62" s="59"/>
      <c r="K62" s="61"/>
      <c r="L62" s="82">
        <f>IF($C62="","",SUMIFS($E$8:$E$67,$C$8:$C$67,$C62,$D$8:$D$67,$D62))</f>
        <v>0</v>
      </c>
      <c r="M62" s="63">
        <f>IF($D62="","",$E62*IFERROR(INDEX('🧶 Product Catalog'!$I$8:$I$31,MATCH($D62,'🧶 Product Catalog'!$C$8:$C$31,0)),0))</f>
        <v>0</v>
      </c>
    </row>
    <row r="63" spans="1:13" ht="22" customHeight="1">
      <c r="A63" s="69">
        <v>56</v>
      </c>
      <c r="B63" s="84"/>
      <c r="C63" s="70"/>
      <c r="D63" s="70"/>
      <c r="E63" s="75"/>
      <c r="F63" s="73"/>
      <c r="G63" s="73"/>
      <c r="H63" s="63">
        <f>IF($D63="","",IF($E63="","",E63*F63)-IF($G63="",0,$G63))</f>
        <v>0</v>
      </c>
      <c r="I63" s="71"/>
      <c r="J63" s="70"/>
      <c r="K63" s="72"/>
      <c r="L63" s="82">
        <f>IF($C63="","",SUMIFS($E$8:$E$67,$C$8:$C$67,$C63,$D$8:$D$67,$D63))</f>
        <v>0</v>
      </c>
      <c r="M63" s="63">
        <f>IF($D63="","",$E63*IFERROR(INDEX('🧶 Product Catalog'!$I$8:$I$31,MATCH($D63,'🧶 Product Catalog'!$C$8:$C$31,0)),0))</f>
        <v>0</v>
      </c>
    </row>
    <row r="64" spans="1:13" ht="22" customHeight="1">
      <c r="A64" s="58">
        <v>57</v>
      </c>
      <c r="B64" s="80"/>
      <c r="C64" s="59"/>
      <c r="D64" s="59"/>
      <c r="E64" s="66"/>
      <c r="F64" s="62"/>
      <c r="G64" s="62"/>
      <c r="H64" s="63">
        <f>IF($D64="","",IF($E64="","",E64*F64)-IF($G64="",0,$G64))</f>
        <v>0</v>
      </c>
      <c r="I64" s="60"/>
      <c r="J64" s="59"/>
      <c r="K64" s="61"/>
      <c r="L64" s="82">
        <f>IF($C64="","",SUMIFS($E$8:$E$67,$C$8:$C$67,$C64,$D$8:$D$67,$D64))</f>
        <v>0</v>
      </c>
      <c r="M64" s="63">
        <f>IF($D64="","",$E64*IFERROR(INDEX('🧶 Product Catalog'!$I$8:$I$31,MATCH($D64,'🧶 Product Catalog'!$C$8:$C$31,0)),0))</f>
        <v>0</v>
      </c>
    </row>
    <row r="65" spans="1:13" ht="22" customHeight="1">
      <c r="A65" s="69">
        <v>58</v>
      </c>
      <c r="B65" s="84"/>
      <c r="C65" s="70"/>
      <c r="D65" s="70"/>
      <c r="E65" s="75"/>
      <c r="F65" s="73"/>
      <c r="G65" s="73"/>
      <c r="H65" s="63">
        <f>IF($D65="","",IF($E65="","",E65*F65)-IF($G65="",0,$G65))</f>
        <v>0</v>
      </c>
      <c r="I65" s="71"/>
      <c r="J65" s="70"/>
      <c r="K65" s="72"/>
      <c r="L65" s="82">
        <f>IF($C65="","",SUMIFS($E$8:$E$67,$C$8:$C$67,$C65,$D$8:$D$67,$D65))</f>
        <v>0</v>
      </c>
      <c r="M65" s="63">
        <f>IF($D65="","",$E65*IFERROR(INDEX('🧶 Product Catalog'!$I$8:$I$31,MATCH($D65,'🧶 Product Catalog'!$C$8:$C$31,0)),0))</f>
        <v>0</v>
      </c>
    </row>
    <row r="66" spans="1:13" ht="22" customHeight="1">
      <c r="A66" s="58">
        <v>59</v>
      </c>
      <c r="B66" s="80"/>
      <c r="C66" s="59"/>
      <c r="D66" s="59"/>
      <c r="E66" s="66"/>
      <c r="F66" s="62"/>
      <c r="G66" s="62"/>
      <c r="H66" s="63">
        <f>IF($D66="","",IF($E66="","",E66*F66)-IF($G66="",0,$G66))</f>
        <v>0</v>
      </c>
      <c r="I66" s="60"/>
      <c r="J66" s="59"/>
      <c r="K66" s="61"/>
      <c r="L66" s="82">
        <f>IF($C66="","",SUMIFS($E$8:$E$67,$C$8:$C$67,$C66,$D$8:$D$67,$D66))</f>
        <v>0</v>
      </c>
      <c r="M66" s="63">
        <f>IF($D66="","",$E66*IFERROR(INDEX('🧶 Product Catalog'!$I$8:$I$31,MATCH($D66,'🧶 Product Catalog'!$C$8:$C$31,0)),0))</f>
        <v>0</v>
      </c>
    </row>
    <row r="67" spans="1:13" ht="22" customHeight="1">
      <c r="A67" s="69">
        <v>60</v>
      </c>
      <c r="B67" s="84"/>
      <c r="C67" s="70"/>
      <c r="D67" s="70"/>
      <c r="E67" s="75"/>
      <c r="F67" s="73"/>
      <c r="G67" s="73"/>
      <c r="H67" s="63">
        <f>IF($D67="","",IF($E67="","",E67*F67)-IF($G67="",0,$G67))</f>
        <v>0</v>
      </c>
      <c r="I67" s="71"/>
      <c r="J67" s="70"/>
      <c r="K67" s="72"/>
      <c r="L67" s="82">
        <f>IF($C67="","",SUMIFS($E$8:$E$67,$C$8:$C$67,$C67,$D$8:$D$67,$D67))</f>
        <v>0</v>
      </c>
      <c r="M67" s="63">
        <f>IF($D67="","",$E67*IFERROR(INDEX('🧶 Product Catalog'!$I$8:$I$31,MATCH($D67,'🧶 Product Catalog'!$C$8:$C$31,0)),0))</f>
        <v>0</v>
      </c>
    </row>
    <row r="68" spans="1:13" ht="24" customHeight="1">
      <c r="A68" s="7"/>
      <c r="B68" s="86" t="s">
        <v>188</v>
      </c>
      <c r="C68" s="87"/>
      <c r="D68" s="87"/>
      <c r="E68" s="89">
        <f>SUM(E8:E67)</f>
        <v>0</v>
      </c>
      <c r="F68" s="87"/>
      <c r="G68" s="87"/>
      <c r="H68" s="88">
        <f>SUM(H8:H67)</f>
        <v>0</v>
      </c>
      <c r="I68" s="87"/>
      <c r="J68" s="87"/>
      <c r="K68" s="87"/>
      <c r="L68" s="87"/>
      <c r="M68" s="88">
        <f>SUM(M8:M67)</f>
        <v>0</v>
      </c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30" customHeight="1">
      <c r="A70" s="7"/>
      <c r="B70" s="21" t="s">
        <v>170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24" customHeight="1">
      <c r="A72" s="7"/>
      <c r="B72" s="22" t="s">
        <v>151</v>
      </c>
      <c r="C72" s="22"/>
      <c r="D72" s="23" t="s">
        <v>123</v>
      </c>
      <c r="E72" s="23"/>
      <c r="F72" s="24" t="s">
        <v>124</v>
      </c>
      <c r="G72" s="24"/>
      <c r="H72" s="25" t="s">
        <v>125</v>
      </c>
      <c r="I72" s="25"/>
      <c r="J72" s="26" t="s">
        <v>202</v>
      </c>
      <c r="K72" s="26"/>
      <c r="L72" s="27" t="s">
        <v>126</v>
      </c>
      <c r="M72" s="27"/>
    </row>
    <row r="73" spans="1:13" ht="24" customHeight="1">
      <c r="A73" s="7"/>
      <c r="B73" s="28" t="s">
        <v>127</v>
      </c>
      <c r="C73" s="28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</sheetData>
  <mergeCells count="15">
    <mergeCell ref="B2:J2"/>
    <mergeCell ref="B3:J3"/>
    <mergeCell ref="K3:M3"/>
    <mergeCell ref="B5:E5"/>
    <mergeCell ref="F5:G5"/>
    <mergeCell ref="H5:J5"/>
    <mergeCell ref="K5:M5"/>
    <mergeCell ref="B70:M70"/>
    <mergeCell ref="B72:C72"/>
    <mergeCell ref="D72:E72"/>
    <mergeCell ref="F72:G72"/>
    <mergeCell ref="H72:I72"/>
    <mergeCell ref="J72:K72"/>
    <mergeCell ref="L72:M72"/>
    <mergeCell ref="B73:C73"/>
  </mergeCells>
  <dataValidations count="7">
    <dataValidation type="list" allowBlank="1" showInputMessage="1" promptTitle="Fair / event" sqref="C8:C67">
      <formula1>EventList</formula1>
    </dataValidation>
    <dataValidation type="list" allowBlank="1" showInputMessage="1" promptTitle="Product" sqref="D8:D67">
      <formula1>ProductsList</formula1>
    </dataValidation>
    <dataValidation type="list" allowBlank="1" showInputMessage="1" promptTitle="Payment method" sqref="I8:I67">
      <formula1>PaymentMethods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whole" errorStyle="warning" allowBlank="1" showInputMessage="1" showErrorMessage="1" errorTitle="Whole numbers only" error="Please enter a whole number." sqref="E8:E67">
      <formula1>0</formula1>
      <formula2>100000</formula2>
    </dataValidation>
  </dataValidations>
  <hyperlinks>
    <hyperlink ref="K3" location="'📊 Dashboard'!A1" display="🏠  Dashboard"/>
    <hyperlink ref="B72" location="'⚙️ Lists &amp; Settings'!A1" display="Settings"/>
    <hyperlink ref="D72" location="'📊 Dashboard'!A1" display="🏠 Home"/>
    <hyperlink ref="F72" location="'🧶 Product Catalog'!A1" display="Products"/>
    <hyperlink ref="H72" location="'🏪 Craft Fairs'!A1" display="Fairs"/>
    <hyperlink ref="J72" location="'💰 Sales Log'!A1" display="▶ Sales"/>
    <hyperlink ref="L72" location="'💵 Pricing Calculator'!A1" display="Pricing"/>
    <hyperlink ref="B73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61"/>
  <sheetViews>
    <sheetView showGridLines="0" zoomScale="90" zoomScaleNormal="90" workbookViewId="0"/>
  </sheetViews>
  <sheetFormatPr defaultRowHeight="15"/>
  <cols>
    <col min="1" max="1" width="2.85546875" customWidth="1"/>
    <col min="2" max="2" width="24.7109375" customWidth="1"/>
    <col min="3" max="3" width="14.7109375" customWidth="1"/>
    <col min="4" max="4" width="14.7109375" customWidth="1"/>
    <col min="5" max="5" width="14.7109375" customWidth="1"/>
    <col min="6" max="6" width="14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8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8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2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8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22" customHeight="1">
      <c r="A8" s="7"/>
      <c r="B8" s="49" t="s">
        <v>205</v>
      </c>
      <c r="C8" s="49"/>
      <c r="D8" s="49"/>
      <c r="E8" s="49"/>
      <c r="F8" s="49"/>
      <c r="G8" s="49"/>
      <c r="H8" s="49" t="s">
        <v>206</v>
      </c>
      <c r="I8" s="49"/>
      <c r="J8" s="49"/>
    </row>
    <row r="9" spans="1:10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22" customHeight="1">
      <c r="A10" s="7"/>
      <c r="B10" s="12" t="s">
        <v>207</v>
      </c>
      <c r="C10" s="12"/>
      <c r="D10" s="12"/>
      <c r="E10" s="12"/>
      <c r="F10" s="90"/>
      <c r="G10" s="90"/>
      <c r="H10" s="7"/>
      <c r="I10" s="7"/>
      <c r="J10" s="7"/>
    </row>
    <row r="11" spans="1:10" ht="22" customHeight="1">
      <c r="A11" s="7"/>
      <c r="B11" s="12" t="s">
        <v>208</v>
      </c>
      <c r="C11" s="12"/>
      <c r="D11" s="12"/>
      <c r="E11" s="12"/>
      <c r="F11" s="90"/>
      <c r="G11" s="90"/>
      <c r="H11" s="7"/>
      <c r="I11" s="7"/>
      <c r="J11" s="7"/>
    </row>
    <row r="12" spans="1:10" ht="22" customHeight="1">
      <c r="A12" s="7"/>
      <c r="B12" s="12" t="s">
        <v>209</v>
      </c>
      <c r="C12" s="12"/>
      <c r="D12" s="12"/>
      <c r="E12" s="12"/>
      <c r="F12" s="91"/>
      <c r="G12" s="91"/>
      <c r="H12" s="7"/>
      <c r="I12" s="7"/>
      <c r="J12" s="7"/>
    </row>
    <row r="13" spans="1:10" ht="22" customHeight="1">
      <c r="A13" s="7"/>
      <c r="B13" s="12" t="s">
        <v>210</v>
      </c>
      <c r="C13" s="12"/>
      <c r="D13" s="12"/>
      <c r="E13" s="12"/>
      <c r="F13" s="90">
        <f>HourlyWage</f>
        <v>14.0</v>
      </c>
      <c r="G13" s="90"/>
      <c r="H13" s="7"/>
      <c r="I13" s="7"/>
      <c r="J13" s="7"/>
    </row>
    <row r="14" spans="1:10" ht="20" customHeight="1">
      <c r="A14" s="7"/>
      <c r="B14" s="12" t="s">
        <v>211</v>
      </c>
      <c r="C14" s="12"/>
      <c r="D14" s="12"/>
      <c r="E14" s="12"/>
      <c r="F14" s="92">
        <f>OverheadPct</f>
        <v>0.1</v>
      </c>
      <c r="G14" s="92"/>
      <c r="H14" s="12" t="s">
        <v>213</v>
      </c>
      <c r="I14" s="12"/>
      <c r="J14" s="93">
        <f>IF($E$12="","",$E$12*$E$13)</f>
        <v>0</v>
      </c>
    </row>
    <row r="15" spans="1:10" ht="20" customHeight="1">
      <c r="A15" s="7"/>
      <c r="B15" s="12" t="s">
        <v>212</v>
      </c>
      <c r="C15" s="12"/>
      <c r="D15" s="12"/>
      <c r="E15" s="12"/>
      <c r="F15" s="92">
        <f>TargetMargin</f>
        <v>0.45</v>
      </c>
      <c r="G15" s="92"/>
      <c r="H15" s="12" t="s">
        <v>214</v>
      </c>
      <c r="I15" s="12"/>
      <c r="J15" s="93">
        <f>IF($E$10="","",($E$10+$E$11+$E$14)*$E$14)</f>
        <v>0</v>
      </c>
    </row>
    <row r="16" spans="1:10" ht="20" customHeight="1">
      <c r="A16" s="7"/>
      <c r="B16" s="7"/>
      <c r="C16" s="7"/>
      <c r="D16" s="7"/>
      <c r="E16" s="7"/>
      <c r="F16" s="7"/>
      <c r="G16" s="7"/>
      <c r="H16" s="12" t="s">
        <v>215</v>
      </c>
      <c r="I16" s="12"/>
      <c r="J16" s="93">
        <f>$E$10+$E$11+$E$14+$E$15</f>
        <v>0</v>
      </c>
    </row>
    <row r="17" spans="1:10" ht="24" customHeight="1">
      <c r="A17" s="7"/>
      <c r="B17" s="7"/>
      <c r="C17" s="7"/>
      <c r="D17" s="7"/>
      <c r="E17" s="7"/>
      <c r="F17" s="7"/>
      <c r="G17" s="7"/>
      <c r="H17" s="12" t="s">
        <v>216</v>
      </c>
      <c r="I17" s="12"/>
      <c r="J17" s="94">
        <f>IF(OR($E$16="",1-$E$15&lt;=0),"",ROUND($E$16/(1-$E$15),2))</f>
        <v>0</v>
      </c>
    </row>
    <row r="18" spans="1:10" ht="20" customHeight="1">
      <c r="A18" s="7"/>
      <c r="B18" s="7"/>
      <c r="C18" s="7"/>
      <c r="D18" s="7"/>
      <c r="E18" s="7"/>
      <c r="F18" s="7"/>
      <c r="G18" s="7"/>
      <c r="H18" s="12" t="s">
        <v>217</v>
      </c>
      <c r="I18" s="12"/>
      <c r="J18" s="93">
        <f>IF($E$17="","",ROUNDUP($E$17,0)-0.05)</f>
        <v>0</v>
      </c>
    </row>
    <row r="19" spans="1:10" ht="20" customHeight="1">
      <c r="A19" s="7"/>
      <c r="B19" s="7"/>
      <c r="C19" s="7"/>
      <c r="D19" s="7"/>
      <c r="E19" s="7"/>
      <c r="F19" s="7"/>
      <c r="G19" s="7"/>
      <c r="H19" s="12" t="s">
        <v>218</v>
      </c>
      <c r="I19" s="12"/>
      <c r="J19" s="93">
        <f>IF($E$17="","",$E$17-$E$16)</f>
        <v>0</v>
      </c>
    </row>
    <row r="20" spans="1:10" ht="20" customHeight="1">
      <c r="A20" s="7"/>
      <c r="B20" s="7"/>
      <c r="C20" s="7"/>
      <c r="D20" s="7"/>
      <c r="E20" s="7"/>
      <c r="F20" s="7"/>
      <c r="G20" s="7"/>
      <c r="H20" s="12" t="s">
        <v>219</v>
      </c>
      <c r="I20" s="12"/>
      <c r="J20" s="95">
        <f>IF($E$17="","",IF($E$17&lt;$E$16,"⚠️ below true cost!","✅ healthy margin"))</f>
        <v/>
      </c>
    </row>
    <row r="21" spans="1:10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22" customHeight="1">
      <c r="A22" s="7"/>
      <c r="B22" s="49" t="s">
        <v>220</v>
      </c>
      <c r="C22" s="49"/>
      <c r="D22" s="49"/>
      <c r="E22" s="49"/>
      <c r="F22" s="49"/>
      <c r="G22" s="49"/>
      <c r="H22" s="49"/>
      <c r="I22" s="49"/>
      <c r="J22" s="49"/>
    </row>
    <row r="23" spans="1:10" ht="66.4" customHeight="1">
      <c r="A23" s="7"/>
      <c r="B23" s="19" t="s">
        <v>221</v>
      </c>
      <c r="C23" s="19"/>
      <c r="D23" s="19"/>
      <c r="E23" s="19"/>
      <c r="F23" s="19"/>
      <c r="G23" s="19"/>
      <c r="H23" s="19"/>
      <c r="I23" s="19"/>
      <c r="J23" s="19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30" customHeight="1">
      <c r="A28" s="7"/>
      <c r="B28" s="21" t="s">
        <v>170</v>
      </c>
      <c r="C28" s="21"/>
      <c r="D28" s="21"/>
      <c r="E28" s="21"/>
      <c r="F28" s="21"/>
      <c r="G28" s="21"/>
      <c r="H28" s="21"/>
      <c r="I28" s="21"/>
      <c r="J28" s="21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24" customHeight="1">
      <c r="A30" s="7"/>
      <c r="B30" s="22" t="s">
        <v>151</v>
      </c>
      <c r="C30" s="22"/>
      <c r="D30" s="23" t="s">
        <v>123</v>
      </c>
      <c r="E30" s="23"/>
      <c r="F30" s="24" t="s">
        <v>124</v>
      </c>
      <c r="G30" s="24"/>
      <c r="H30" s="25" t="s">
        <v>125</v>
      </c>
      <c r="I30" s="25"/>
      <c r="J30" s="7"/>
    </row>
    <row r="31" spans="1:10" ht="24" customHeight="1">
      <c r="A31" s="7"/>
      <c r="B31" s="26" t="s">
        <v>41</v>
      </c>
      <c r="C31" s="26"/>
      <c r="D31" s="27" t="s">
        <v>222</v>
      </c>
      <c r="E31" s="27"/>
      <c r="F31" s="28" t="s">
        <v>127</v>
      </c>
      <c r="G31" s="28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</sheetData>
  <mergeCells count="34">
    <mergeCell ref="B2:G2"/>
    <mergeCell ref="B3:G3"/>
    <mergeCell ref="H3:J3"/>
    <mergeCell ref="B8:G8"/>
    <mergeCell ref="H8:J8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H14:I14"/>
    <mergeCell ref="H15:I15"/>
    <mergeCell ref="H16:I16"/>
    <mergeCell ref="H17:I17"/>
    <mergeCell ref="H18:I18"/>
    <mergeCell ref="H19:I19"/>
    <mergeCell ref="H20:I20"/>
    <mergeCell ref="B22:J22"/>
    <mergeCell ref="B23:J23"/>
    <mergeCell ref="B28:J28"/>
    <mergeCell ref="B30:C30"/>
    <mergeCell ref="D30:E30"/>
    <mergeCell ref="F30:G30"/>
    <mergeCell ref="H30:I30"/>
    <mergeCell ref="B31:C31"/>
    <mergeCell ref="D31:E31"/>
    <mergeCell ref="F31:G31"/>
  </mergeCell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E948C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96"/>
      <c r="C2" s="96"/>
      <c r="D2" s="96"/>
      <c r="E2" s="96"/>
      <c r="F2" s="96"/>
      <c r="G2" s="96"/>
      <c r="H2" s="96"/>
      <c r="I2" s="96"/>
      <c r="J2" s="96"/>
    </row>
    <row r="3" spans="1:10" ht="20" customHeight="1">
      <c r="A3" s="7"/>
      <c r="B3" s="96"/>
      <c r="C3" s="96"/>
      <c r="D3" s="96"/>
      <c r="E3" s="96"/>
      <c r="F3" s="96"/>
      <c r="G3" s="96"/>
      <c r="H3" s="96"/>
      <c r="I3" s="96"/>
      <c r="J3" s="96"/>
    </row>
    <row r="4" spans="1:10" ht="20" customHeight="1">
      <c r="A4" s="7"/>
      <c r="B4" s="96"/>
      <c r="C4" s="96"/>
      <c r="D4" s="96"/>
      <c r="E4" s="96"/>
      <c r="F4" s="96"/>
      <c r="G4" s="96"/>
      <c r="H4" s="96"/>
      <c r="I4" s="96"/>
      <c r="J4" s="96"/>
    </row>
    <row r="5" spans="1:10" ht="20" customHeight="1">
      <c r="A5" s="7"/>
      <c r="B5" s="96"/>
      <c r="C5" s="97" t="s">
        <v>223</v>
      </c>
      <c r="D5" s="97"/>
      <c r="E5" s="97"/>
      <c r="F5" s="97"/>
      <c r="G5" s="97"/>
      <c r="H5" s="96"/>
      <c r="I5" s="96"/>
      <c r="J5" s="96"/>
    </row>
    <row r="6" spans="1:10" ht="20" customHeight="1">
      <c r="A6" s="7"/>
      <c r="B6" s="96"/>
      <c r="C6" s="98" t="s">
        <v>224</v>
      </c>
      <c r="D6" s="98"/>
      <c r="E6" s="98"/>
      <c r="F6" s="98"/>
      <c r="G6" s="98"/>
      <c r="H6" s="96"/>
      <c r="I6" s="96"/>
      <c r="J6" s="96"/>
    </row>
    <row r="7" spans="1:10" ht="20" customHeight="1">
      <c r="A7" s="7"/>
      <c r="B7" s="96"/>
      <c r="C7" s="96"/>
      <c r="D7" s="96"/>
      <c r="E7" s="96"/>
      <c r="F7" s="96"/>
      <c r="G7" s="96"/>
      <c r="H7" s="96"/>
      <c r="I7" s="96"/>
      <c r="J7" s="96"/>
    </row>
    <row r="8" spans="1:10" ht="20" customHeight="1">
      <c r="A8" s="7"/>
      <c r="B8" s="96"/>
      <c r="C8" s="96"/>
      <c r="D8" s="96"/>
      <c r="E8" s="96"/>
      <c r="F8" s="96"/>
      <c r="G8" s="96"/>
      <c r="H8" s="96"/>
      <c r="I8" s="96"/>
      <c r="J8" s="96"/>
    </row>
    <row r="9" spans="1:10" ht="20" customHeight="1">
      <c r="A9" s="7"/>
      <c r="B9" s="96"/>
      <c r="C9" s="96"/>
      <c r="D9" s="96"/>
      <c r="E9" s="96"/>
      <c r="F9" s="96"/>
      <c r="G9" s="96"/>
      <c r="H9" s="96"/>
      <c r="I9" s="96"/>
      <c r="J9" s="96"/>
    </row>
    <row r="10" spans="1:10" ht="20" customHeight="1">
      <c r="A10" s="7"/>
      <c r="B10" s="96"/>
      <c r="C10" s="96"/>
      <c r="D10" s="96"/>
      <c r="E10" s="96"/>
      <c r="F10" s="96"/>
      <c r="G10" s="96"/>
      <c r="H10" s="96"/>
      <c r="I10" s="96"/>
      <c r="J10" s="96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77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225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99" t="s">
        <v>226</v>
      </c>
      <c r="C15" s="100" t="s">
        <v>227</v>
      </c>
      <c r="D15" s="100"/>
      <c r="E15" s="101" t="s">
        <v>228</v>
      </c>
      <c r="F15" s="101"/>
      <c r="G15" s="101"/>
      <c r="H15" s="101"/>
      <c r="I15" s="101"/>
      <c r="J15" s="101"/>
    </row>
    <row r="16" spans="1:10" ht="16" customHeight="1">
      <c r="A16" s="7"/>
      <c r="B16" s="99"/>
      <c r="C16" s="7"/>
      <c r="D16" s="7"/>
      <c r="E16" s="101"/>
      <c r="F16" s="101"/>
      <c r="G16" s="101"/>
      <c r="H16" s="101"/>
      <c r="I16" s="101"/>
      <c r="J16" s="101"/>
    </row>
    <row r="17" spans="1:10" ht="16" customHeight="1">
      <c r="A17" s="7"/>
      <c r="B17" s="99" t="s">
        <v>229</v>
      </c>
      <c r="C17" s="100" t="s">
        <v>230</v>
      </c>
      <c r="D17" s="100"/>
      <c r="E17" s="101" t="s">
        <v>231</v>
      </c>
      <c r="F17" s="101"/>
      <c r="G17" s="101"/>
      <c r="H17" s="101"/>
      <c r="I17" s="101"/>
      <c r="J17" s="101"/>
    </row>
    <row r="18" spans="1:10" ht="16" customHeight="1">
      <c r="A18" s="7"/>
      <c r="B18" s="99"/>
      <c r="C18" s="7"/>
      <c r="D18" s="7"/>
      <c r="E18" s="101"/>
      <c r="F18" s="101"/>
      <c r="G18" s="101"/>
      <c r="H18" s="101"/>
      <c r="I18" s="101"/>
      <c r="J18" s="101"/>
    </row>
    <row r="19" spans="1:10" ht="16" customHeight="1">
      <c r="A19" s="7"/>
      <c r="B19" s="99" t="s">
        <v>232</v>
      </c>
      <c r="C19" s="100" t="s">
        <v>233</v>
      </c>
      <c r="D19" s="100"/>
      <c r="E19" s="101" t="s">
        <v>234</v>
      </c>
      <c r="F19" s="101"/>
      <c r="G19" s="101"/>
      <c r="H19" s="101"/>
      <c r="I19" s="101"/>
      <c r="J19" s="101"/>
    </row>
    <row r="20" spans="1:10" ht="16" customHeight="1">
      <c r="A20" s="7"/>
      <c r="B20" s="99"/>
      <c r="C20" s="7"/>
      <c r="D20" s="7"/>
      <c r="E20" s="101"/>
      <c r="F20" s="101"/>
      <c r="G20" s="101"/>
      <c r="H20" s="101"/>
      <c r="I20" s="101"/>
      <c r="J20" s="101"/>
    </row>
    <row r="21" spans="1:10" ht="16" customHeight="1">
      <c r="A21" s="7"/>
      <c r="B21" s="99" t="s">
        <v>235</v>
      </c>
      <c r="C21" s="100" t="s">
        <v>236</v>
      </c>
      <c r="D21" s="100"/>
      <c r="E21" s="101" t="s">
        <v>237</v>
      </c>
      <c r="F21" s="101"/>
      <c r="G21" s="101"/>
      <c r="H21" s="101"/>
      <c r="I21" s="101"/>
      <c r="J21" s="101"/>
    </row>
    <row r="22" spans="1:10" ht="16" customHeight="1">
      <c r="A22" s="7"/>
      <c r="B22" s="99"/>
      <c r="C22" s="7"/>
      <c r="D22" s="7"/>
      <c r="E22" s="101"/>
      <c r="F22" s="101"/>
      <c r="G22" s="101"/>
      <c r="H22" s="101"/>
      <c r="I22" s="101"/>
      <c r="J22" s="101"/>
    </row>
    <row r="23" spans="1:10" ht="16" customHeight="1">
      <c r="A23" s="7"/>
      <c r="B23" s="99" t="s">
        <v>238</v>
      </c>
      <c r="C23" s="100" t="s">
        <v>239</v>
      </c>
      <c r="D23" s="100"/>
      <c r="E23" s="101" t="s">
        <v>240</v>
      </c>
      <c r="F23" s="101"/>
      <c r="G23" s="101"/>
      <c r="H23" s="101"/>
      <c r="I23" s="101"/>
      <c r="J23" s="101"/>
    </row>
    <row r="24" spans="1:10" ht="16" customHeight="1">
      <c r="A24" s="7"/>
      <c r="B24" s="99"/>
      <c r="C24" s="7"/>
      <c r="D24" s="7"/>
      <c r="E24" s="101"/>
      <c r="F24" s="101"/>
      <c r="G24" s="101"/>
      <c r="H24" s="101"/>
      <c r="I24" s="101"/>
      <c r="J24" s="101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241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02" t="s">
        <v>242</v>
      </c>
      <c r="C27" s="102"/>
      <c r="D27" s="102"/>
      <c r="E27" s="102"/>
      <c r="F27" s="102"/>
      <c r="G27" s="102"/>
      <c r="H27" s="102"/>
      <c r="I27" s="102"/>
      <c r="J27" s="102"/>
    </row>
    <row r="28" spans="1:10" ht="18" customHeight="1">
      <c r="A28" s="7"/>
      <c r="B28" s="7"/>
      <c r="C28" s="100" t="s">
        <v>243</v>
      </c>
      <c r="D28" s="100"/>
      <c r="E28" s="101" t="s">
        <v>244</v>
      </c>
      <c r="F28" s="101"/>
      <c r="G28" s="101"/>
      <c r="H28" s="101"/>
      <c r="I28" s="101"/>
      <c r="J28" s="101"/>
    </row>
    <row r="29" spans="1:10" ht="18" customHeight="1">
      <c r="A29" s="7"/>
      <c r="B29" s="7"/>
      <c r="C29" s="100" t="s">
        <v>245</v>
      </c>
      <c r="D29" s="100"/>
      <c r="E29" s="101" t="s">
        <v>246</v>
      </c>
      <c r="F29" s="101"/>
      <c r="G29" s="101"/>
      <c r="H29" s="101"/>
      <c r="I29" s="101"/>
      <c r="J29" s="101"/>
    </row>
    <row r="30" spans="1:10" ht="18" customHeight="1">
      <c r="A30" s="7"/>
      <c r="B30" s="7"/>
      <c r="C30" s="100" t="s">
        <v>247</v>
      </c>
      <c r="D30" s="100"/>
      <c r="E30" s="101" t="s">
        <v>248</v>
      </c>
      <c r="F30" s="101"/>
      <c r="G30" s="101"/>
      <c r="H30" s="101"/>
      <c r="I30" s="101"/>
      <c r="J30" s="101"/>
    </row>
    <row r="31" spans="1:10" ht="18" customHeight="1">
      <c r="A31" s="7"/>
      <c r="B31" s="7"/>
      <c r="C31" s="100" t="s">
        <v>249</v>
      </c>
      <c r="D31" s="100"/>
      <c r="E31" s="101" t="s">
        <v>250</v>
      </c>
      <c r="F31" s="101"/>
      <c r="G31" s="101"/>
      <c r="H31" s="101"/>
      <c r="I31" s="101"/>
      <c r="J31" s="101"/>
    </row>
    <row r="32" spans="1:10" ht="18" customHeight="1">
      <c r="A32" s="7"/>
      <c r="B32" s="7"/>
      <c r="C32" s="100" t="s">
        <v>251</v>
      </c>
      <c r="D32" s="100"/>
      <c r="E32" s="101" t="s">
        <v>252</v>
      </c>
      <c r="F32" s="101"/>
      <c r="G32" s="101"/>
      <c r="H32" s="101"/>
      <c r="I32" s="101"/>
      <c r="J32" s="101"/>
    </row>
    <row r="33" spans="1:10" ht="18" customHeight="1">
      <c r="A33" s="7"/>
      <c r="B33" s="7"/>
      <c r="C33" s="100" t="s">
        <v>253</v>
      </c>
      <c r="D33" s="100"/>
      <c r="E33" s="101" t="s">
        <v>254</v>
      </c>
      <c r="F33" s="101"/>
      <c r="G33" s="101"/>
      <c r="H33" s="101"/>
      <c r="I33" s="101"/>
      <c r="J33" s="101"/>
    </row>
    <row r="34" spans="1:10" ht="18" customHeight="1">
      <c r="A34" s="7"/>
      <c r="B34" s="7"/>
      <c r="C34" s="100" t="s">
        <v>255</v>
      </c>
      <c r="D34" s="100"/>
      <c r="E34" s="101" t="s">
        <v>256</v>
      </c>
      <c r="F34" s="101"/>
      <c r="G34" s="101"/>
      <c r="H34" s="101"/>
      <c r="I34" s="101"/>
      <c r="J34" s="101"/>
    </row>
    <row r="35" spans="1:10" ht="18" customHeight="1">
      <c r="A35" s="7"/>
      <c r="B35" s="7"/>
      <c r="C35" s="100" t="s">
        <v>257</v>
      </c>
      <c r="D35" s="100"/>
      <c r="E35" s="101" t="s">
        <v>258</v>
      </c>
      <c r="F35" s="101"/>
      <c r="G35" s="101"/>
      <c r="H35" s="101"/>
      <c r="I35" s="101"/>
      <c r="J35" s="101"/>
    </row>
    <row r="36" spans="1:10" ht="18" customHeight="1">
      <c r="A36" s="7"/>
      <c r="B36" s="7"/>
      <c r="C36" s="100" t="s">
        <v>259</v>
      </c>
      <c r="D36" s="100"/>
      <c r="E36" s="101" t="s">
        <v>260</v>
      </c>
      <c r="F36" s="101"/>
      <c r="G36" s="101"/>
      <c r="H36" s="101"/>
      <c r="I36" s="101"/>
      <c r="J36" s="101"/>
    </row>
    <row r="37" spans="1:10" ht="18" customHeight="1">
      <c r="A37" s="7"/>
      <c r="B37" s="7"/>
      <c r="C37" s="100" t="s">
        <v>261</v>
      </c>
      <c r="D37" s="100"/>
      <c r="E37" s="101" t="s">
        <v>262</v>
      </c>
      <c r="F37" s="101"/>
      <c r="G37" s="101"/>
      <c r="H37" s="101"/>
      <c r="I37" s="101"/>
      <c r="J37" s="101"/>
    </row>
    <row r="38" spans="1:10" ht="18" customHeight="1">
      <c r="A38" s="7"/>
      <c r="B38" s="7"/>
      <c r="C38" s="100" t="s">
        <v>263</v>
      </c>
      <c r="D38" s="100"/>
      <c r="E38" s="101" t="s">
        <v>264</v>
      </c>
      <c r="F38" s="101"/>
      <c r="G38" s="101"/>
      <c r="H38" s="101"/>
      <c r="I38" s="101"/>
      <c r="J38" s="101"/>
    </row>
    <row r="39" spans="1:10" ht="18" customHeight="1">
      <c r="A39" s="7"/>
      <c r="B39" s="7"/>
      <c r="C39" s="100" t="s">
        <v>265</v>
      </c>
      <c r="D39" s="100"/>
      <c r="E39" s="101" t="s">
        <v>266</v>
      </c>
      <c r="F39" s="101"/>
      <c r="G39" s="101"/>
      <c r="H39" s="101"/>
      <c r="I39" s="101"/>
      <c r="J39" s="101"/>
    </row>
    <row r="40" spans="1:10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24" customHeight="1">
      <c r="A41" s="7"/>
      <c r="B41" s="11" t="s">
        <v>267</v>
      </c>
      <c r="C41" s="11"/>
      <c r="D41" s="11"/>
      <c r="E41" s="11"/>
      <c r="F41" s="11"/>
      <c r="G41" s="11"/>
      <c r="H41" s="11"/>
      <c r="I41" s="11"/>
      <c r="J41" s="11"/>
    </row>
    <row r="42" spans="1:10" ht="16" customHeight="1">
      <c r="A42" s="7"/>
      <c r="B42" s="103" t="s">
        <v>226</v>
      </c>
      <c r="C42" s="101" t="s">
        <v>268</v>
      </c>
      <c r="D42" s="101"/>
      <c r="E42" s="101"/>
      <c r="F42" s="101"/>
      <c r="G42" s="101"/>
      <c r="H42" s="101"/>
      <c r="I42" s="101"/>
      <c r="J42" s="101"/>
    </row>
    <row r="43" spans="1:10" ht="16" customHeight="1">
      <c r="A43" s="7"/>
      <c r="B43" s="103"/>
      <c r="C43" s="101"/>
      <c r="D43" s="101"/>
      <c r="E43" s="101"/>
      <c r="F43" s="101"/>
      <c r="G43" s="101"/>
      <c r="H43" s="101"/>
      <c r="I43" s="101"/>
      <c r="J43" s="101"/>
    </row>
    <row r="44" spans="1:10" ht="16" customHeight="1">
      <c r="A44" s="7"/>
      <c r="B44" s="103" t="s">
        <v>229</v>
      </c>
      <c r="C44" s="101" t="s">
        <v>269</v>
      </c>
      <c r="D44" s="101"/>
      <c r="E44" s="101"/>
      <c r="F44" s="101"/>
      <c r="G44" s="101"/>
      <c r="H44" s="101"/>
      <c r="I44" s="101"/>
      <c r="J44" s="101"/>
    </row>
    <row r="45" spans="1:10" ht="16" customHeight="1">
      <c r="A45" s="7"/>
      <c r="B45" s="103"/>
      <c r="C45" s="101"/>
      <c r="D45" s="101"/>
      <c r="E45" s="101"/>
      <c r="F45" s="101"/>
      <c r="G45" s="101"/>
      <c r="H45" s="101"/>
      <c r="I45" s="101"/>
      <c r="J45" s="101"/>
    </row>
    <row r="46" spans="1:10" ht="16" customHeight="1">
      <c r="A46" s="7"/>
      <c r="B46" s="103" t="s">
        <v>232</v>
      </c>
      <c r="C46" s="101" t="s">
        <v>270</v>
      </c>
      <c r="D46" s="101"/>
      <c r="E46" s="101"/>
      <c r="F46" s="101"/>
      <c r="G46" s="101"/>
      <c r="H46" s="101"/>
      <c r="I46" s="101"/>
      <c r="J46" s="101"/>
    </row>
    <row r="47" spans="1:10" ht="16" customHeight="1">
      <c r="A47" s="7"/>
      <c r="B47" s="103"/>
      <c r="C47" s="101"/>
      <c r="D47" s="101"/>
      <c r="E47" s="101"/>
      <c r="F47" s="101"/>
      <c r="G47" s="101"/>
      <c r="H47" s="101"/>
      <c r="I47" s="101"/>
      <c r="J47" s="101"/>
    </row>
    <row r="48" spans="1:10" ht="16" customHeight="1">
      <c r="A48" s="7"/>
      <c r="B48" s="103" t="s">
        <v>235</v>
      </c>
      <c r="C48" s="101" t="s">
        <v>271</v>
      </c>
      <c r="D48" s="101"/>
      <c r="E48" s="101"/>
      <c r="F48" s="101"/>
      <c r="G48" s="101"/>
      <c r="H48" s="101"/>
      <c r="I48" s="101"/>
      <c r="J48" s="101"/>
    </row>
    <row r="49" spans="1:10" ht="16" customHeight="1">
      <c r="A49" s="7"/>
      <c r="B49" s="103"/>
      <c r="C49" s="101"/>
      <c r="D49" s="101"/>
      <c r="E49" s="101"/>
      <c r="F49" s="101"/>
      <c r="G49" s="101"/>
      <c r="H49" s="101"/>
      <c r="I49" s="101"/>
      <c r="J49" s="101"/>
    </row>
    <row r="50" spans="1:10" ht="16" customHeight="1">
      <c r="A50" s="7"/>
      <c r="B50" s="103" t="s">
        <v>238</v>
      </c>
      <c r="C50" s="101" t="s">
        <v>272</v>
      </c>
      <c r="D50" s="101"/>
      <c r="E50" s="101"/>
      <c r="F50" s="101"/>
      <c r="G50" s="101"/>
      <c r="H50" s="101"/>
      <c r="I50" s="101"/>
      <c r="J50" s="101"/>
    </row>
    <row r="51" spans="1:10" ht="16" customHeight="1">
      <c r="A51" s="7"/>
      <c r="B51" s="103"/>
      <c r="C51" s="101"/>
      <c r="D51" s="101"/>
      <c r="E51" s="101"/>
      <c r="F51" s="101"/>
      <c r="G51" s="101"/>
      <c r="H51" s="101"/>
      <c r="I51" s="101"/>
      <c r="J51" s="101"/>
    </row>
    <row r="52" spans="1:10" ht="16" customHeight="1">
      <c r="A52" s="7"/>
      <c r="B52" s="103" t="s">
        <v>273</v>
      </c>
      <c r="C52" s="101" t="s">
        <v>274</v>
      </c>
      <c r="D52" s="101"/>
      <c r="E52" s="101"/>
      <c r="F52" s="101"/>
      <c r="G52" s="101"/>
      <c r="H52" s="101"/>
      <c r="I52" s="101"/>
      <c r="J52" s="101"/>
    </row>
    <row r="53" spans="1:10" ht="16" customHeight="1">
      <c r="A53" s="7"/>
      <c r="B53" s="103"/>
      <c r="C53" s="101"/>
      <c r="D53" s="101"/>
      <c r="E53" s="101"/>
      <c r="F53" s="101"/>
      <c r="G53" s="101"/>
      <c r="H53" s="101"/>
      <c r="I53" s="101"/>
      <c r="J53" s="101"/>
    </row>
    <row r="54" spans="1:10" ht="16" customHeight="1">
      <c r="A54" s="7"/>
      <c r="B54" s="103" t="s">
        <v>275</v>
      </c>
      <c r="C54" s="101" t="s">
        <v>276</v>
      </c>
      <c r="D54" s="101"/>
      <c r="E54" s="101"/>
      <c r="F54" s="101"/>
      <c r="G54" s="101"/>
      <c r="H54" s="101"/>
      <c r="I54" s="101"/>
      <c r="J54" s="101"/>
    </row>
    <row r="55" spans="1:10" ht="16" customHeight="1">
      <c r="A55" s="7"/>
      <c r="B55" s="103"/>
      <c r="C55" s="101"/>
      <c r="D55" s="101"/>
      <c r="E55" s="101"/>
      <c r="F55" s="101"/>
      <c r="G55" s="101"/>
      <c r="H55" s="101"/>
      <c r="I55" s="101"/>
      <c r="J55" s="101"/>
    </row>
    <row r="56" spans="1:10" ht="16" customHeight="1">
      <c r="A56" s="7"/>
      <c r="B56" s="103" t="s">
        <v>277</v>
      </c>
      <c r="C56" s="101" t="s">
        <v>278</v>
      </c>
      <c r="D56" s="101"/>
      <c r="E56" s="101"/>
      <c r="F56" s="101"/>
      <c r="G56" s="101"/>
      <c r="H56" s="101"/>
      <c r="I56" s="101"/>
      <c r="J56" s="101"/>
    </row>
    <row r="57" spans="1:10" ht="16" customHeight="1">
      <c r="A57" s="7"/>
      <c r="B57" s="103"/>
      <c r="C57" s="101"/>
      <c r="D57" s="101"/>
      <c r="E57" s="101"/>
      <c r="F57" s="101"/>
      <c r="G57" s="101"/>
      <c r="H57" s="101"/>
      <c r="I57" s="101"/>
      <c r="J57" s="101"/>
    </row>
    <row r="58" spans="1:10" ht="16" customHeight="1">
      <c r="A58" s="7"/>
      <c r="B58" s="103" t="s">
        <v>279</v>
      </c>
      <c r="C58" s="101" t="s">
        <v>280</v>
      </c>
      <c r="D58" s="101"/>
      <c r="E58" s="101"/>
      <c r="F58" s="101"/>
      <c r="G58" s="101"/>
      <c r="H58" s="101"/>
      <c r="I58" s="101"/>
      <c r="J58" s="101"/>
    </row>
    <row r="59" spans="1:10" ht="16" customHeight="1">
      <c r="A59" s="7"/>
      <c r="B59" s="103"/>
      <c r="C59" s="101"/>
      <c r="D59" s="101"/>
      <c r="E59" s="101"/>
      <c r="F59" s="101"/>
      <c r="G59" s="101"/>
      <c r="H59" s="101"/>
      <c r="I59" s="101"/>
      <c r="J59" s="101"/>
    </row>
    <row r="60" spans="1:10" ht="16" customHeight="1">
      <c r="A60" s="7"/>
      <c r="B60" s="103" t="s">
        <v>281</v>
      </c>
      <c r="C60" s="101" t="s">
        <v>282</v>
      </c>
      <c r="D60" s="101"/>
      <c r="E60" s="101"/>
      <c r="F60" s="101"/>
      <c r="G60" s="101"/>
      <c r="H60" s="101"/>
      <c r="I60" s="101"/>
      <c r="J60" s="101"/>
    </row>
    <row r="61" spans="1:10" ht="16" customHeight="1">
      <c r="A61" s="7"/>
      <c r="B61" s="103"/>
      <c r="C61" s="101"/>
      <c r="D61" s="101"/>
      <c r="E61" s="101"/>
      <c r="F61" s="101"/>
      <c r="G61" s="101"/>
      <c r="H61" s="101"/>
      <c r="I61" s="101"/>
      <c r="J61" s="101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24" customHeight="1">
      <c r="A63" s="7"/>
      <c r="B63" s="11" t="s">
        <v>283</v>
      </c>
      <c r="C63" s="11"/>
      <c r="D63" s="11"/>
      <c r="E63" s="11"/>
      <c r="F63" s="11"/>
      <c r="G63" s="11"/>
      <c r="H63" s="11"/>
      <c r="I63" s="11"/>
      <c r="J63" s="11"/>
    </row>
    <row r="64" spans="1:10" ht="16" customHeight="1">
      <c r="A64" s="7"/>
      <c r="B64" s="104" t="s">
        <v>284</v>
      </c>
      <c r="C64" s="104"/>
      <c r="D64" s="104"/>
      <c r="E64" s="104"/>
      <c r="F64" s="104"/>
      <c r="G64" s="104"/>
      <c r="H64" s="104"/>
      <c r="I64" s="104"/>
      <c r="J64" s="104"/>
    </row>
    <row r="65" spans="1:10" ht="16" customHeight="1">
      <c r="A65" s="7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 ht="16" customHeight="1">
      <c r="A66" s="7"/>
      <c r="B66" s="104" t="s">
        <v>285</v>
      </c>
      <c r="C66" s="104"/>
      <c r="D66" s="104"/>
      <c r="E66" s="104"/>
      <c r="F66" s="104"/>
      <c r="G66" s="104"/>
      <c r="H66" s="104"/>
      <c r="I66" s="104"/>
      <c r="J66" s="104"/>
    </row>
    <row r="67" spans="1:10" ht="16" customHeight="1">
      <c r="A67" s="7"/>
      <c r="B67" s="104"/>
      <c r="C67" s="104"/>
      <c r="D67" s="104"/>
      <c r="E67" s="104"/>
      <c r="F67" s="104"/>
      <c r="G67" s="104"/>
      <c r="H67" s="104"/>
      <c r="I67" s="104"/>
      <c r="J67" s="104"/>
    </row>
    <row r="68" spans="1:10" ht="16" customHeight="1">
      <c r="A68" s="7"/>
      <c r="B68" s="104" t="s">
        <v>286</v>
      </c>
      <c r="C68" s="104"/>
      <c r="D68" s="104"/>
      <c r="E68" s="104"/>
      <c r="F68" s="104"/>
      <c r="G68" s="104"/>
      <c r="H68" s="104"/>
      <c r="I68" s="104"/>
      <c r="J68" s="104"/>
    </row>
    <row r="69" spans="1:10" ht="16" customHeight="1">
      <c r="A69" s="7"/>
      <c r="B69" s="104"/>
      <c r="C69" s="104"/>
      <c r="D69" s="104"/>
      <c r="E69" s="104"/>
      <c r="F69" s="104"/>
      <c r="G69" s="104"/>
      <c r="H69" s="104"/>
      <c r="I69" s="104"/>
      <c r="J69" s="104"/>
    </row>
    <row r="70" spans="1:10" ht="16" customHeight="1">
      <c r="A70" s="7"/>
      <c r="B70" s="104" t="s">
        <v>287</v>
      </c>
      <c r="C70" s="104"/>
      <c r="D70" s="104"/>
      <c r="E70" s="104"/>
      <c r="F70" s="104"/>
      <c r="G70" s="104"/>
      <c r="H70" s="104"/>
      <c r="I70" s="104"/>
      <c r="J70" s="104"/>
    </row>
    <row r="71" spans="1:10" ht="16" customHeight="1">
      <c r="A71" s="7"/>
      <c r="B71" s="104"/>
      <c r="C71" s="104"/>
      <c r="D71" s="104"/>
      <c r="E71" s="104"/>
      <c r="F71" s="104"/>
      <c r="G71" s="104"/>
      <c r="H71" s="104"/>
      <c r="I71" s="104"/>
      <c r="J71" s="104"/>
    </row>
    <row r="72" spans="1:10" ht="16" customHeight="1">
      <c r="A72" s="7"/>
      <c r="B72" s="104" t="s">
        <v>288</v>
      </c>
      <c r="C72" s="104"/>
      <c r="D72" s="104"/>
      <c r="E72" s="104"/>
      <c r="F72" s="104"/>
      <c r="G72" s="104"/>
      <c r="H72" s="104"/>
      <c r="I72" s="104"/>
      <c r="J72" s="104"/>
    </row>
    <row r="73" spans="1:10" ht="16" customHeight="1">
      <c r="A73" s="7"/>
      <c r="B73" s="104"/>
      <c r="C73" s="104"/>
      <c r="D73" s="104"/>
      <c r="E73" s="104"/>
      <c r="F73" s="104"/>
      <c r="G73" s="104"/>
      <c r="H73" s="104"/>
      <c r="I73" s="104"/>
      <c r="J73" s="104"/>
    </row>
    <row r="74" spans="1:10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24" customHeight="1">
      <c r="A75" s="7"/>
      <c r="B75" s="11" t="s">
        <v>289</v>
      </c>
      <c r="C75" s="11"/>
      <c r="D75" s="11"/>
      <c r="E75" s="11"/>
      <c r="F75" s="11"/>
      <c r="G75" s="11"/>
      <c r="H75" s="11"/>
      <c r="I75" s="11"/>
      <c r="J75" s="11"/>
    </row>
    <row r="76" spans="1:10" ht="16" customHeight="1">
      <c r="A76" s="7"/>
      <c r="B76" s="104" t="s">
        <v>290</v>
      </c>
      <c r="C76" s="104"/>
      <c r="D76" s="104"/>
      <c r="E76" s="104"/>
      <c r="F76" s="104"/>
      <c r="G76" s="104"/>
      <c r="H76" s="104"/>
      <c r="I76" s="104"/>
      <c r="J76" s="104"/>
    </row>
    <row r="77" spans="1:10" ht="16" customHeight="1">
      <c r="A77" s="7"/>
      <c r="B77" s="104"/>
      <c r="C77" s="104"/>
      <c r="D77" s="104"/>
      <c r="E77" s="104"/>
      <c r="F77" s="104"/>
      <c r="G77" s="104"/>
      <c r="H77" s="104"/>
      <c r="I77" s="104"/>
      <c r="J77" s="104"/>
    </row>
    <row r="78" spans="1:10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30" customHeight="1">
      <c r="A79" s="7"/>
      <c r="B79" s="21" t="s">
        <v>291</v>
      </c>
      <c r="C79" s="21"/>
      <c r="D79" s="21"/>
      <c r="E79" s="21"/>
      <c r="F79" s="21"/>
      <c r="G79" s="21"/>
      <c r="H79" s="21"/>
      <c r="I79" s="21"/>
      <c r="J79" s="21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22" t="s">
        <v>151</v>
      </c>
      <c r="C81" s="22"/>
      <c r="D81" s="23" t="s">
        <v>123</v>
      </c>
      <c r="E81" s="23"/>
      <c r="F81" s="24" t="s">
        <v>124</v>
      </c>
      <c r="G81" s="24"/>
      <c r="H81" s="25" t="s">
        <v>125</v>
      </c>
      <c r="I81" s="25"/>
      <c r="J81" s="7"/>
    </row>
    <row r="82" spans="1:10" ht="24" customHeight="1">
      <c r="A82" s="7"/>
      <c r="B82" s="26" t="s">
        <v>41</v>
      </c>
      <c r="C82" s="26"/>
      <c r="D82" s="27" t="s">
        <v>126</v>
      </c>
      <c r="E82" s="27"/>
      <c r="F82" s="28" t="s">
        <v>292</v>
      </c>
      <c r="G82" s="28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82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B41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3:J63"/>
    <mergeCell ref="B64:J65"/>
    <mergeCell ref="B66:J67"/>
    <mergeCell ref="B68:J69"/>
    <mergeCell ref="B70:J71"/>
    <mergeCell ref="B72:J73"/>
    <mergeCell ref="B75:J75"/>
    <mergeCell ref="B76:J77"/>
    <mergeCell ref="B79:J79"/>
    <mergeCell ref="B81:C81"/>
    <mergeCell ref="D81:E81"/>
    <mergeCell ref="F81:G81"/>
    <mergeCell ref="H81:I81"/>
    <mergeCell ref="B82:C82"/>
    <mergeCell ref="D82:E82"/>
    <mergeCell ref="F82:G82"/>
  </mergeCells>
  <hyperlinks>
    <hyperlink ref="H12" location="'📊 Dashboard'!A1" display="🏠  Back to Dashboard"/>
    <hyperlink ref="B81" location="'⚙️ Lists &amp; Settings'!A1" display="Settings"/>
    <hyperlink ref="D81" location="'📊 Dashboard'!A1" display="🏠 Home"/>
    <hyperlink ref="F81" location="'🧶 Product Catalog'!A1" display="Products"/>
    <hyperlink ref="H81" location="'🏪 Craft Fairs'!A1" display="Fairs"/>
    <hyperlink ref="B82" location="'💰 Sales Log'!A1" display="Sales"/>
    <hyperlink ref="D82" location="'💵 Pricing Calculator'!A1" display="Pricing"/>
    <hyperlink ref="F82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&amp;C&amp;"Calibri,Italic"&amp;8&amp;A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2026-09-13T11:29:23Z</dcterms:created>
  <dcterms:modified xsi:type="dcterms:W3CDTF">2026-09-13T11:29:23Z</dcterms:modified>
  <cp:category>Crochet Craft Fair Business Spreadsheet</cp:category>
</cp:coreProperties>
</file>