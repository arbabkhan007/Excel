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 firstSheet="3" activeTab="2"/>
  </bookViews>
  <sheets>
    <sheet name="_Data" sheetId="1" state="hidden" r:id="rId1"/>
    <sheet name="⚙️ Setup" sheetId="2" r:id="rId2"/>
    <sheet name="📊 Dashboard" sheetId="3" r:id="rId3"/>
    <sheet name="👥 Clients" sheetId="4" r:id="rId4"/>
    <sheet name="📅 Events" sheetId="5" r:id="rId5"/>
    <sheet name="🧮 Quote Calculator" sheetId="6" r:id="rId6"/>
    <sheet name="🍽️ Menu Costing" sheetId="7" r:id="rId7"/>
    <sheet name="📦 Inventory" sheetId="8" r:id="rId8"/>
    <sheet name="🛒 Shopping List" sheetId="9" r:id="rId9"/>
    <sheet name="💸 Expenses" sheetId="10" r:id="rId10"/>
    <sheet name="💰 Payments" sheetId="11" r:id="rId11"/>
    <sheet name="👷 Staff &amp; Labor" sheetId="12" r:id="rId12"/>
    <sheet name="🍳 Equipment" sheetId="13" r:id="rId13"/>
    <sheet name="🚚 Suppliers" sheetId="14" r:id="rId14"/>
    <sheet name="📆 Event Calendar" sheetId="15" r:id="rId15"/>
    <sheet name="📈 P&amp;L &amp; Reports" sheetId="16" r:id="rId16"/>
    <sheet name="🧾 Tax Tracker" sheetId="17" r:id="rId17"/>
    <sheet name="✅ Checklists" sheetId="18" r:id="rId18"/>
    <sheet name="🖨️ Invoice &amp; Proposal" sheetId="19" r:id="rId19"/>
    <sheet name="📖 Start Here" sheetId="20" r:id="rId20"/>
  </sheets>
  <definedNames>
    <definedName name="_xlnm._FilterDatabase" localSheetId="12" hidden="1">'🍳 Equipment'!$B$7:$L$42</definedName>
    <definedName name="_xlnm._FilterDatabase" localSheetId="6" hidden="1">'🍽️ Menu Costing'!$B$7:$K$37</definedName>
    <definedName name="_xlnm._FilterDatabase" localSheetId="3" hidden="1">'👥 Clients'!$B$7:$O$47</definedName>
    <definedName name="_xlnm._FilterDatabase" localSheetId="11" hidden="1">'👷 Staff &amp; Labor'!$B$7:$K$57</definedName>
    <definedName name="_xlnm._FilterDatabase" localSheetId="10" hidden="1">'💰 Payments'!$B$7:$M$67</definedName>
    <definedName name="_xlnm._FilterDatabase" localSheetId="9" hidden="1">'💸 Expenses'!$B$7:$J$67</definedName>
    <definedName name="_xlnm._FilterDatabase" localSheetId="4" hidden="1">'📅 Events'!$B$7:$R$47</definedName>
    <definedName name="_xlnm._FilterDatabase" localSheetId="7" hidden="1">'📦 Inventory'!$B$7:$L$47</definedName>
    <definedName name="_xlnm._FilterDatabase" localSheetId="13" hidden="1">'🚚 Suppliers'!$B$7:$M$37</definedName>
    <definedName name="_xlnm._FilterDatabase" localSheetId="8" hidden="1">'🛒 Shopping List'!$B$7:$L$47</definedName>
    <definedName name="BusinessName">'⚙️ Setup'!$C$6</definedName>
    <definedName name="CalMonth">'⚙️ Setup'!$C$18</definedName>
    <definedName name="CalYear">'⚙️ Setup'!$C$19</definedName>
    <definedName name="ClientsList">OFFSET('👥 Clients'!$C$8,0,0,MAX(1,COUNTA('👥 Clients'!$C$8:$C$47)),1)</definedName>
    <definedName name="Currency">'⚙️ Setup'!$C$10</definedName>
    <definedName name="DefaultMargin">'⚙️ Setup'!$C$12</definedName>
    <definedName name="DepositPct">'⚙️ Setup'!$C$13</definedName>
    <definedName name="DueSoonDays">'⚙️ Setup'!$C$14</definedName>
    <definedName name="EventList">OFFSET('📅 Events'!$C$8,0,0,MAX(1,COUNTA('📅 Events'!$C$8:$C$47)),1)</definedName>
    <definedName name="EventStatuses">'⚙️ Setup'!$C$47:$C$52</definedName>
    <definedName name="EventTypes">OFFSET('⚙️ Setup'!$B$23,0,0,MAX(1,COUNTA('⚙️ Setup'!$B$23:$B$42)),1)</definedName>
    <definedName name="ExpenseCategories">OFFSET('⚙️ Setup'!$C$23,0,0,MAX(1,COUNTA('⚙️ Setup'!$C$23:$C$42)),1)</definedName>
    <definedName name="IngredientCategories">OFFSET('⚙️ Setup'!$G$23,0,0,MAX(1,COUNTA('⚙️ Setup'!$G$23:$G$42)),1)</definedName>
    <definedName name="MenuCategories">OFFSET('⚙️ Setup'!$F$23,0,0,MAX(1,COUNTA('⚙️ Setup'!$F$23:$F$42)),1)</definedName>
    <definedName name="MenuItems">OFFSET('🍽️ Menu Costing'!$C$8,0,0,MAX(1,COUNTA('🍽️ Menu Costing'!$C$8:$C$37)),1)</definedName>
    <definedName name="PaymentMethods">OFFSET('⚙️ Setup'!$D$23,0,0,MAX(1,COUNTA('⚙️ Setup'!$D$23:$D$42)),1)</definedName>
    <definedName name="PaymentStatuses">'⚙️ Setup'!$D$47:$D$49</definedName>
    <definedName name="_xlnm.Print_Area" localSheetId="1">'⚙️ Setup'!$A$1:$J$57</definedName>
    <definedName name="_xlnm.Print_Area" localSheetId="17">'✅ Checklists'!$A$1:$H$52</definedName>
    <definedName name="_xlnm.Print_Area" localSheetId="12">'🍳 Equipment'!$A$1:$L$53</definedName>
    <definedName name="_xlnm.Print_Area" localSheetId="6">'🍽️ Menu Costing'!$A$1:$K$62</definedName>
    <definedName name="_xlnm.Print_Area" localSheetId="3">'👥 Clients'!$A$1:$O$58</definedName>
    <definedName name="_xlnm.Print_Area" localSheetId="11">'👷 Staff &amp; Labor'!$A$1:$K$68</definedName>
    <definedName name="_xlnm.Print_Area" localSheetId="10">'💰 Payments'!$A$1:$M$78</definedName>
    <definedName name="_xlnm.Print_Area" localSheetId="9">'💸 Expenses'!$A$1:$J$78</definedName>
    <definedName name="_xlnm.Print_Area" localSheetId="4">'📅 Events'!$A$1:$R$58</definedName>
    <definedName name="_xlnm.Print_Area" localSheetId="14">'📆 Event Calendar'!$A$1:$H$28</definedName>
    <definedName name="_xlnm.Print_Area" localSheetId="15">'📈 P&amp;L &amp; Reports'!$A$1:$N$63</definedName>
    <definedName name="_xlnm.Print_Area" localSheetId="2">'📊 Dashboard'!$A$1:$M$62</definedName>
    <definedName name="_xlnm.Print_Area" localSheetId="19">'📖 Start Here'!$A$1:$J$88</definedName>
    <definedName name="_xlnm.Print_Area" localSheetId="7">'📦 Inventory'!$A$1:$L$58</definedName>
    <definedName name="_xlnm.Print_Area" localSheetId="18">'🖨️ Invoice &amp; Proposal'!$A$1:$H$36</definedName>
    <definedName name="_xlnm.Print_Area" localSheetId="13">'🚚 Suppliers'!$A$1:$M$46</definedName>
    <definedName name="_xlnm.Print_Area" localSheetId="8">'🛒 Shopping List'!$A$1:$L$58</definedName>
    <definedName name="_xlnm.Print_Area" localSheetId="5">'🧮 Quote Calculator'!$A$1:$J$30</definedName>
    <definedName name="_xlnm.Print_Area" localSheetId="16">'🧾 Tax Tracker'!$A$1:$H$46</definedName>
    <definedName name="_xlnm.Print_Titles" localSheetId="12">'🍳 Equipment'!$8:$8</definedName>
    <definedName name="_xlnm.Print_Titles" localSheetId="6">'🍽️ Menu Costing'!$8:$8</definedName>
    <definedName name="_xlnm.Print_Titles" localSheetId="3">'👥 Clients'!$8:$8</definedName>
    <definedName name="_xlnm.Print_Titles" localSheetId="11">'👷 Staff &amp; Labor'!$8:$8</definedName>
    <definedName name="_xlnm.Print_Titles" localSheetId="10">'💰 Payments'!$8:$8</definedName>
    <definedName name="_xlnm.Print_Titles" localSheetId="9">'💸 Expenses'!$8:$8</definedName>
    <definedName name="_xlnm.Print_Titles" localSheetId="4">'📅 Events'!$8:$8</definedName>
    <definedName name="_xlnm.Print_Titles" localSheetId="7">'📦 Inventory'!$8:$8</definedName>
    <definedName name="_xlnm.Print_Titles" localSheetId="13">'🚚 Suppliers'!$8:$8</definedName>
    <definedName name="_xlnm.Print_Titles" localSheetId="8">'🛒 Shopping List'!$8:$8</definedName>
    <definedName name="ReportYear">'⚙️ Setup'!$C$15</definedName>
    <definedName name="StaffRoles">OFFSET('⚙️ Setup'!$E$23,0,0,MAX(1,COUNTA('⚙️ Setup'!$E$23:$E$42)),1)</definedName>
    <definedName name="SuppliersList">OFFSET('🚚 Suppliers'!$C$8,0,0,MAX(1,COUNTA('🚚 Suppliers'!$C$8:$C$37)),1)</definedName>
    <definedName name="TaxRate">'⚙️ Setup'!$C$11</definedName>
    <definedName name="Tick">'⚙️ Setup'!$E$47:$E$48</definedName>
  </definedNames>
  <calcPr calcId="124519" fullCalcOnLoad="1"/>
</workbook>
</file>

<file path=xl/sharedStrings.xml><?xml version="1.0" encoding="utf-8"?>
<sst xmlns="http://schemas.openxmlformats.org/spreadsheetml/2006/main" count="1037" uniqueCount="563">
  <si>
    <t>Month</t>
  </si>
  <si>
    <t>Cash in</t>
  </si>
  <si>
    <t>Expenses</t>
  </si>
  <si>
    <t>Profit</t>
  </si>
  <si>
    <t>Events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</si>
  <si>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</si>
  <si>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</si>
  <si>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</si>
  <si>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</si>
  <si>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</si>
  <si>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</si>
  <si>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</si>
  <si>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</si>
  <si>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</si>
  <si>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</si>
  <si>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</si>
  <si>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</si>
  <si>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Expense category</t>
  </si>
  <si>
    <t>Spend</t>
  </si>
  <si>
    <t>Ingredients</t>
  </si>
  <si>
    <t>Packaging</t>
  </si>
  <si>
    <t>Staff / Labor</t>
  </si>
  <si>
    <t>Transportation</t>
  </si>
  <si>
    <t>Equipment</t>
  </si>
  <si>
    <t>Kitchen Rental</t>
  </si>
  <si>
    <t>Marketing</t>
  </si>
  <si>
    <t>Insurance</t>
  </si>
  <si>
    <t>Utilities</t>
  </si>
  <si>
    <t>Software</t>
  </si>
  <si>
    <t>Miscellaneous</t>
  </si>
  <si>
    <t>Event type</t>
  </si>
  <si>
    <t>Booked value</t>
  </si>
  <si>
    <t>Wedding</t>
  </si>
  <si>
    <t>Corporate</t>
  </si>
  <si>
    <t>Birthday</t>
  </si>
  <si>
    <t>Private Party</t>
  </si>
  <si>
    <t>Buffet</t>
  </si>
  <si>
    <t>Cocktail</t>
  </si>
  <si>
    <t>Conference</t>
  </si>
  <si>
    <t>Festival</t>
  </si>
  <si>
    <t>Other</t>
  </si>
  <si>
    <t>Pipeline stage</t>
  </si>
  <si>
    <t>💬 Inquiry</t>
  </si>
  <si>
    <t>📝 Quote Sent</t>
  </si>
  <si>
    <t>💰 Deposit Paid</t>
  </si>
  <si>
    <t>✅ Confirmed</t>
  </si>
  <si>
    <t>🎉 Completed</t>
  </si>
  <si>
    <t>❌ Cancelled</t>
  </si>
  <si>
    <t>Client</t>
  </si>
  <si>
    <t>Cash received</t>
  </si>
  <si>
    <t>Menu item</t>
  </si>
  <si>
    <t>Booked</t>
  </si>
  <si>
    <t>Date</t>
  </si>
  <si>
    <t>Event</t>
  </si>
  <si>
    <t>Stage</t>
  </si>
  <si>
    <t>Due</t>
  </si>
  <si>
    <t>Invoice</t>
  </si>
  <si>
    <t>Balance</t>
  </si>
  <si>
    <t>KPI</t>
  </si>
  <si>
    <t>Value</t>
  </si>
  <si>
    <t>Cash received (deposits + payments)</t>
  </si>
  <si>
    <t>Total expenses</t>
  </si>
  <si>
    <t>Net profit</t>
  </si>
  <si>
    <t>Net profit margin</t>
  </si>
  <si>
    <t>Events on the books</t>
  </si>
  <si>
    <t>Events completed</t>
  </si>
  <si>
    <t>Events confirmed (upcoming)</t>
  </si>
  <si>
    <t>Events cancelled</t>
  </si>
  <si>
    <t>Average order value</t>
  </si>
  <si>
    <t>Average guests per event</t>
  </si>
  <si>
    <t>Average profit per event</t>
  </si>
  <si>
    <t>Guests catered (completed)</t>
  </si>
  <si>
    <t>Outstanding receivables</t>
  </si>
  <si>
    <t>Overdue invoices</t>
  </si>
  <si>
    <t>Invoices still open</t>
  </si>
  <si>
    <t>Ingredient &amp; packaging spend</t>
  </si>
  <si>
    <t>Staff / labor spend</t>
  </si>
  <si>
    <t>Food cost % of revenue</t>
  </si>
  <si>
    <t>Labor cost % of revenue</t>
  </si>
  <si>
    <t>Repeat customer %</t>
  </si>
  <si>
    <t>Inventory value</t>
  </si>
  <si>
    <t>Ingredients below minimum</t>
  </si>
  <si>
    <t>Shopping lines open</t>
  </si>
  <si>
    <t>Shopping list estimated cost</t>
  </si>
  <si>
    <t>Unpaid staff shifts</t>
  </si>
  <si>
    <t>Equipment value</t>
  </si>
  <si>
    <t>Equipment needing service</t>
  </si>
  <si>
    <t>Tax collected on sales</t>
  </si>
  <si>
    <t>Estimated tax still due</t>
  </si>
  <si>
    <t>Quote calculator: recommended price</t>
  </si>
  <si>
    <t>Quote calculator: price per guest</t>
  </si>
  <si>
    <t>Menu items priced</t>
  </si>
  <si>
    <t>Average menu margin</t>
  </si>
  <si>
    <t>Best earning event type</t>
  </si>
  <si>
    <t>Highest value client</t>
  </si>
  <si>
    <t>⚙️  Setup — make it your business</t>
  </si>
  <si>
    <t xml:space="preserve">  Set these once and every tab, quote, alert and dropdown follows automatically.</t>
  </si>
  <si>
    <t>🏠  Back to Dashboard</t>
  </si>
  <si>
    <t xml:space="preserve">  👨‍🍳  YOUR BUSINESS</t>
  </si>
  <si>
    <t>Business name</t>
  </si>
  <si>
    <t>Shown on the dashboard hero and on the printable invoice.</t>
  </si>
  <si>
    <t>Dashboard message / focus</t>
  </si>
  <si>
    <t>One line under the dashboard title: this week's priority, a reminder, or a little motivation.</t>
  </si>
  <si>
    <t xml:space="preserve">  💰  MONEY DEFAULTS</t>
  </si>
  <si>
    <t>Currency symbol</t>
  </si>
  <si>
    <t>$</t>
  </si>
  <si>
    <t>Every summary readout prefixes amounts with this. To show it inside the tables too: select the money columns → Home → Number format → Currency.</t>
  </si>
  <si>
    <t>Tax rate (sales tax / GST)</t>
  </si>
  <si>
    <t>Applied on the 🧾 Tax tab and the printable invoice. Use 0% if you are not tax registered.</t>
  </si>
  <si>
    <t>Default target margin</t>
  </si>
  <si>
    <t>The 🧮 Quote Calculator starts from this. A 35% margin means price = total cost ÷ 0.65.</t>
  </si>
  <si>
    <t>Default deposit %</t>
  </si>
  <si>
    <t>Suggested deposit on quotes and invoices.</t>
  </si>
  <si>
    <t>“Due soon” window (days)</t>
  </si>
  <si>
    <t>Payment due dates inside this many days turn orange; past-due turns red everywhere.</t>
  </si>
  <si>
    <t>Reporting year</t>
  </si>
  <si>
    <t>The 📈 P&amp;L tab and the monthly charts report on this year.</t>
  </si>
  <si>
    <t xml:space="preserve">  📆  EVENT CALENDAR MONTH</t>
  </si>
  <si>
    <t>Calendar month (1-12)</t>
  </si>
  <si>
    <t>Which month the 📆 Event Calendar tab displays (9 = September).</t>
  </si>
  <si>
    <t>Calendar year</t>
  </si>
  <si>
    <t xml:space="preserve">  📋  YOUR LISTS  —  edit any time; every dropdown in the workbook updates itself</t>
  </si>
  <si>
    <t>Event types</t>
  </si>
  <si>
    <t>Expense categories</t>
  </si>
  <si>
    <t>Payment methods</t>
  </si>
  <si>
    <t>Staff roles</t>
  </si>
  <si>
    <t>Menu categories</t>
  </si>
  <si>
    <t>Ingredient categories</t>
  </si>
  <si>
    <t>Cash</t>
  </si>
  <si>
    <t>Head Chef</t>
  </si>
  <si>
    <t>Starter</t>
  </si>
  <si>
    <t>Produce</t>
  </si>
  <si>
    <t>Bank Transfer</t>
  </si>
  <si>
    <t>Chef</t>
  </si>
  <si>
    <t>Main</t>
  </si>
  <si>
    <t>Meat &amp; Fish</t>
  </si>
  <si>
    <t>Card</t>
  </si>
  <si>
    <t>Sous Chef</t>
  </si>
  <si>
    <t>Dessert</t>
  </si>
  <si>
    <t>Dairy</t>
  </si>
  <si>
    <t>Cheque</t>
  </si>
  <si>
    <t>Server</t>
  </si>
  <si>
    <t>Sides</t>
  </si>
  <si>
    <t>Pantry</t>
  </si>
  <si>
    <t>Mobile Wallet</t>
  </si>
  <si>
    <t>Bartender</t>
  </si>
  <si>
    <t>Beverage</t>
  </si>
  <si>
    <t>Bakery</t>
  </si>
  <si>
    <t>Driver</t>
  </si>
  <si>
    <t>Canapé</t>
  </si>
  <si>
    <t>Beverages</t>
  </si>
  <si>
    <t>Setup Crew</t>
  </si>
  <si>
    <t>Cleaner</t>
  </si>
  <si>
    <t>Manager</t>
  </si>
  <si>
    <t xml:space="preserve">  •  Type over the defaults with your own words — add as many as you like (20 rows each).
  •  Don't leave a blank row in the middle of a list: the dropdown stops at the first gap.
  •  Deleting a word here does NOT delete your events or expenses — it only removes it from the dropdown.</t>
  </si>
  <si>
    <t xml:space="preserve">  🔒  FIXED LISTS  —  colours, counts and dashboard maths depend on this exact wording, so they are locked</t>
  </si>
  <si>
    <t>Event pipeline</t>
  </si>
  <si>
    <t>Payment status</t>
  </si>
  <si>
    <t>Tick box</t>
  </si>
  <si>
    <t>🔴 Unpaid</t>
  </si>
  <si>
    <t>🟠 Partial</t>
  </si>
  <si>
    <t>🟢 Paid in full</t>
  </si>
  <si>
    <t>✓</t>
  </si>
  <si>
    <t xml:space="preserve">  💡  Everything else is formula-driven: you never have to touch a formula, only these settings and the white input cells on each tab.</t>
  </si>
  <si>
    <t>▶ Setup</t>
  </si>
  <si>
    <t>🏠 Home</t>
  </si>
  <si>
    <t>Clients</t>
  </si>
  <si>
    <t>Quote</t>
  </si>
  <si>
    <t>Menu</t>
  </si>
  <si>
    <t>Stock</t>
  </si>
  <si>
    <t>Shop</t>
  </si>
  <si>
    <t>Payments</t>
  </si>
  <si>
    <t>Staff</t>
  </si>
  <si>
    <t>Equip</t>
  </si>
  <si>
    <t>Suppliers</t>
  </si>
  <si>
    <t>Calendar</t>
  </si>
  <si>
    <t>P&amp;L</t>
  </si>
  <si>
    <t>Tax</t>
  </si>
  <si>
    <t>Checks</t>
  </si>
  <si>
    <t>Help</t>
  </si>
  <si>
    <t xml:space="preserve">  💰  BUSINESS AT A GLANCE</t>
  </si>
  <si>
    <t>CASH RECEIVED</t>
  </si>
  <si>
    <t>TOTAL EXPENSES</t>
  </si>
  <si>
    <t>NET PROFIT</t>
  </si>
  <si>
    <t>NET MARGIN</t>
  </si>
  <si>
    <t>EVENTS ON BOOKS</t>
  </si>
  <si>
    <t>AVG ORDER VALUE</t>
  </si>
  <si>
    <t>UPCOMING BOOKED</t>
  </si>
  <si>
    <t>OUTSTANDING</t>
  </si>
  <si>
    <t>OVERDUE INVOICES</t>
  </si>
  <si>
    <t>LOW-STOCK ITEMS</t>
  </si>
  <si>
    <t>UNPAID SHIFTS</t>
  </si>
  <si>
    <t>INVENTORY VALUE</t>
  </si>
  <si>
    <t xml:space="preserve">  Net margin</t>
  </si>
  <si>
    <t xml:space="preserve">  Food cost % of cash in</t>
  </si>
  <si>
    <t xml:space="preserve">  📅  THE PIPELINE</t>
  </si>
  <si>
    <t xml:space="preserve">  📅  NEXT EVENTS</t>
  </si>
  <si>
    <t xml:space="preserve">  💵  MONEY COMING IN</t>
  </si>
  <si>
    <t xml:space="preserve">  💡  Everything on this page is calculated — type your business into the tabs and watch it update.  Start with the 📖 Start Here guide, set up ⚙️ Setup, then log 📅 Events and 💰 Payments.</t>
  </si>
  <si>
    <t>Setup</t>
  </si>
  <si>
    <t>▶ 🏠 Home</t>
  </si>
  <si>
    <t xml:space="preserve">  👥  Client Tracker</t>
  </si>
  <si>
    <t xml:space="preserve">  One row per client: contacts, their next (or latest) event and the money picture.  Repeat clients are gold for your business — the dashboard counts them.</t>
  </si>
  <si>
    <t>#</t>
  </si>
  <si>
    <t>Client name</t>
  </si>
  <si>
    <t>Phone</t>
  </si>
  <si>
    <t>Email</t>
  </si>
  <si>
    <t>Next / last event</t>
  </si>
  <si>
    <t>Guests</t>
  </si>
  <si>
    <t>Venue</t>
  </si>
  <si>
    <t>Package</t>
  </si>
  <si>
    <t>Quote value</t>
  </si>
  <si>
    <t>Deposit held</t>
  </si>
  <si>
    <t>Notes</t>
  </si>
  <si>
    <t>TOTALS  →</t>
  </si>
  <si>
    <t>💡 How to use this tab</t>
  </si>
  <si>
    <t>Names typed here feed the Client dropdown on the Events, Payments and Invoice tabs.
A golden name means the client appears on more than one event - repeat business!
Quote / Deposit are inputs; Balance calculates itself. For the full payment schedule use the 💰 Payments tab.</t>
  </si>
  <si>
    <t>▶ Clients</t>
  </si>
  <si>
    <t xml:space="preserve">  📅  Event &amp; Order Tracker</t>
  </si>
  <si>
    <t xml:space="preserve">  The pipeline: 💬 Inquiry → 📝 Quote Sent → 💰 Deposit Paid → ✅ Confirmed → 🎉 Completed.  White cells are yours; tinted cells calculate.</t>
  </si>
  <si>
    <t>Event ID</t>
  </si>
  <si>
    <t>Event date</t>
  </si>
  <si>
    <t>Type</t>
  </si>
  <si>
    <t>Menu / package</t>
  </si>
  <si>
    <t>Staff req.</t>
  </si>
  <si>
    <t>Equipment req.</t>
  </si>
  <si>
    <t>Total cost</t>
  </si>
  <si>
    <t>Price quoted</t>
  </si>
  <si>
    <t>Margin</t>
  </si>
  <si>
    <t>Pipeline status</t>
  </si>
  <si>
    <t>TOTALS  (all events incl. cancelled)  →</t>
  </si>
  <si>
    <t>Fill the white cells - the tinted Profit / Margin / Balance columns do the maths.
Need a price? Build it on the 🧮 Quote Calculator first, then copy the recommended price into 'Price quoted'.
Cancelled events stay in the list (greyed + struck through) so your history is complete - they are excluded from every total and average.</t>
  </si>
  <si>
    <t>▶ Events</t>
  </si>
  <si>
    <t xml:space="preserve">  🧮  Quote &amp; Pricing Calculator</t>
  </si>
  <si>
    <t xml:space="preserve">  Never guess a price again: costs in → recommended quote out, at the margin YOU decide.</t>
  </si>
  <si>
    <t xml:space="preserve">  1 · THE EVENT</t>
  </si>
  <si>
    <t>Client / enquiry</t>
  </si>
  <si>
    <t>Guest count</t>
  </si>
  <si>
    <t xml:space="preserve">  2 · YOUR COSTS</t>
  </si>
  <si>
    <t>Food cost per guest</t>
  </si>
  <si>
    <t>Labor total</t>
  </si>
  <si>
    <t>Equipment / rental</t>
  </si>
  <si>
    <t>Transport</t>
  </si>
  <si>
    <t>Other costs</t>
  </si>
  <si>
    <t xml:space="preserve">  3 · PRICING POLICY</t>
  </si>
  <si>
    <t>Target margin %</t>
  </si>
  <si>
    <t>Deposit %</t>
  </si>
  <si>
    <t>Food cost (guests x per guest)</t>
  </si>
  <si>
    <t>TOTAL COST</t>
  </si>
  <si>
    <t>RECOMMENDED PRICE</t>
  </si>
  <si>
    <t>Price per guest</t>
  </si>
  <si>
    <t>Your profit</t>
  </si>
  <si>
    <t>Effective margin</t>
  </si>
  <si>
    <t>Deposit to collect</t>
  </si>
  <si>
    <t>Balance due later</t>
  </si>
  <si>
    <t>True cost per guest</t>
  </si>
  <si>
    <t xml:space="preserve">  HOW TO PRICE LIKE A PRO
  1.  Food cost per guest = what one plate costs you (use the Recipe Calculator on 🍽️ Menu Costing).
  2.  Labor / equipment / transport / other = the event's share of everything else.
  3.  Recommended price covers ALL of it and still pays you your target margin.  Rule of thumb: food should stay under ~30% of the final price.</t>
  </si>
  <si>
    <t>▶ Quote</t>
  </si>
  <si>
    <t xml:space="preserve">  🍽️  Menu &amp; Recipe Costing</t>
  </si>
  <si>
    <t xml:space="preserve">  Know the true cost of every dish.  Margins under 30% light up red — reprice them or retire them.</t>
  </si>
  <si>
    <t>Category</t>
  </si>
  <si>
    <t>Main ingredients</t>
  </si>
  <si>
    <t>Portion</t>
  </si>
  <si>
    <t>Cost / portion</t>
  </si>
  <si>
    <t>Price / portion</t>
  </si>
  <si>
    <t>AVERAGES  →</t>
  </si>
  <si>
    <t xml:space="preserve">  🧮  RECIPE COST CALCULATOR  —  price a new dish before it goes on the menu</t>
  </si>
  <si>
    <t>Dish being costed</t>
  </si>
  <si>
    <t>Unit prices below are looked up from 📦 Inventory - add the ingredient there first.</t>
  </si>
  <si>
    <t>Ingredient</t>
  </si>
  <si>
    <t>Qty per portion</t>
  </si>
  <si>
    <t>Unit</t>
  </si>
  <si>
    <t>Unit cost (auto)</t>
  </si>
  <si>
    <t>Line cost</t>
  </si>
  <si>
    <t>Cost per portion</t>
  </si>
  <si>
    <t>Add the finished dish to the menu table above when you're happy with the numbers.</t>
  </si>
  <si>
    <t>Suggested price at your default margin</t>
  </si>
  <si>
    <t>DefaultMargin comes from ⚙️ Setup - change it once, every suggested price follows.</t>
  </si>
  <si>
    <t>Profit per portion at that price</t>
  </si>
  <si>
    <t>Ingredient names must match the 📦 Inventory spelling for the unit-cost lookup to work.</t>
  </si>
  <si>
    <t>▶ Menu</t>
  </si>
  <si>
    <t xml:space="preserve">  📦  Ingredient Inventory</t>
  </si>
  <si>
    <t xml:space="preserve">  What's on the shelf right now.  Stock below its minimum lights up 🔴 red - the shopping list and recipe calculator read these prices.</t>
  </si>
  <si>
    <t>Qty on hand</t>
  </si>
  <si>
    <t>Minimum level</t>
  </si>
  <si>
    <t>Unit cost</t>
  </si>
  <si>
    <t>Stock value</t>
  </si>
  <si>
    <t>Supplier</t>
  </si>
  <si>
    <t>Reorder status</t>
  </si>
  <si>
    <t>TOTAL STOCK VALUE  →</t>
  </si>
  <si>
    <t>🔴 Reorder = below minimum. 🟡 Low = below 1.5x the minimum. 🟢 OK = comfortable.
Unit costs typed here power the 🍽️ Recipe Calculator and the 🛒 Shopping List estimates.
Do a quick shelf count before every big event - ten minutes now saves an emergency run later.</t>
  </si>
  <si>
    <t>▶ Stock</t>
  </si>
  <si>
    <t xml:space="preserve">  🛒  Shopping List</t>
  </si>
  <si>
    <t xml:space="preserve">  What each event needs vs what the shelf holds — To buy and Est. cost fill themselves in from the 📦 Inventory.</t>
  </si>
  <si>
    <t>Qty needed</t>
  </si>
  <si>
    <t>In stock</t>
  </si>
  <si>
    <t>To buy</t>
  </si>
  <si>
    <t>Est. cost</t>
  </si>
  <si>
    <t>🛒 Got it</t>
  </si>
  <si>
    <t>Bought on</t>
  </si>
  <si>
    <t>Add one line per ingredient per event - In stock, To buy and Est. cost fill themselves in.
Red 'To buy' = still needs purchasing.  Green = the shelf already covers it.  Struck-through = bought and done.
When you buy, log the real spend on 💸 Expenses (category Ingredients) so the P&amp;L stays true.</t>
  </si>
  <si>
    <t>▶ Shop</t>
  </si>
  <si>
    <t xml:space="preserve">  💸  Expense Tracker</t>
  </si>
  <si>
    <t xml:space="preserve">  Log every business cost as it happens — the P&amp;L, tax summary and dashboard pie all read this table.</t>
  </si>
  <si>
    <t>Vendor / payee</t>
  </si>
  <si>
    <t>Description</t>
  </si>
  <si>
    <t>Amount</t>
  </si>
  <si>
    <t>Paid by</t>
  </si>
  <si>
    <t>🧾 Receipt filed</t>
  </si>
  <si>
    <t>TOTAL SPENT  →</t>
  </si>
  <si>
    <t>Log the expense the day it happens - future-you doing tax season will say thanks.
The Event ID column is optional, but tagging event purchases makes each event's true cost visible.
Red tick column = money spent with no receipt filed yet.</t>
  </si>
  <si>
    <t>▶ Expenses</t>
  </si>
  <si>
    <t xml:space="preserve">  💰  Income &amp; Payments</t>
  </si>
  <si>
    <t xml:space="preserve">  One row per invoice.  Log deposits and payments as they arrive — Received, Balance and Status calculate themselves, and overdue money turns red.</t>
  </si>
  <si>
    <t>Invoice #</t>
  </si>
  <si>
    <t>Invoice total</t>
  </si>
  <si>
    <t>Deposit</t>
  </si>
  <si>
    <t>Payment 1</t>
  </si>
  <si>
    <t>Payment 2</t>
  </si>
  <si>
    <t>Received</t>
  </si>
  <si>
    <t>Balance due</t>
  </si>
  <si>
    <t>Due date</t>
  </si>
  <si>
    <t>Status</t>
  </si>
  <si>
    <t>Invoice total, deposit and the two payment columns are the only money you type - Received, Balance and Status are formulas.
RED row ending = the due date has passed and money is still owed. Chase it. AMBER = due inside your “due soon” window (Setup).
Need a pretty document? The 🖨️ Invoice tab turns any row into a printable invoice.</t>
  </si>
  <si>
    <t>▶ Payments</t>
  </si>
  <si>
    <t xml:space="preserve">  👷  Staff &amp; Labor Calculator</t>
  </si>
  <si>
    <t xml:space="preserve">  One row per person per shift.  Overtime is paid at 1.5x automatically; the total feeds your labor cost picture.</t>
  </si>
  <si>
    <t>Team member</t>
  </si>
  <si>
    <t>Role</t>
  </si>
  <si>
    <t>Hours</t>
  </si>
  <si>
    <t>Rate / hr</t>
  </si>
  <si>
    <t>OT hrs</t>
  </si>
  <si>
    <t>Total pay</t>
  </si>
  <si>
    <t>✅ Paid</t>
  </si>
  <si>
    <t>Overtime hours are paid at 1.5x the hourly rate automatically.
Red Total = the shift has not been ticked Paid yet.
When you actually pay wages, also log them on the 💸 Expenses tab (Staff / Labor) so the P&amp;L stays honest.</t>
  </si>
  <si>
    <t>▶ Staff</t>
  </si>
  <si>
    <t xml:space="preserve">  🍳  Equipment Tracker</t>
  </si>
  <si>
    <t xml:space="preserve">  Know exactly what you own, what is committed to events, what is damaged and what needs servicing — before you promise it to a client.</t>
  </si>
  <si>
    <t>Owned</t>
  </si>
  <si>
    <t>On events</t>
  </si>
  <si>
    <t>Damaged</t>
  </si>
  <si>
    <t>Available</t>
  </si>
  <si>
    <t>Unit value</t>
  </si>
  <si>
    <t>Total value</t>
  </si>
  <si>
    <t>Next service</t>
  </si>
  <si>
    <t>🔧 Service = something is damaged. 🟡 Soon = maintenance due inside 30 days. 🟢 Ready = good to go.
“On events” is how many units are committed right now - update it as bookings come and go.
Fleet value feeds your balance sheet (and your insurance conversation).</t>
  </si>
  <si>
    <t>▶ Equip</t>
  </si>
  <si>
    <t xml:space="preserve">  🚚  Supplier Database</t>
  </si>
  <si>
    <t xml:space="preserve">  Your wholesale rolodex.  Names typed here feed the Supplier dropdowns on the Inventory and Shopping tabs.</t>
  </si>
  <si>
    <t>Contact person</t>
  </si>
  <si>
    <t>Supplies</t>
  </si>
  <si>
    <t>Key items</t>
  </si>
  <si>
    <t>Typical unit price</t>
  </si>
  <si>
    <t>Min order</t>
  </si>
  <si>
    <t>Delivery time</t>
  </si>
  <si>
    <t>Payment terms</t>
  </si>
  <si>
    <t>Keep at least two suppliers for your critical ingredients - wedding weekends do not forgive stock-outs.
“Delivery time” is the lead time from order to door: plan shopping runs around it.
Terms like Net 15 mean you have 15 days to pay - useful for cash-flow timing before big events.</t>
  </si>
  <si>
    <t>▶ Suppliers</t>
  </si>
  <si>
    <t xml:space="preserve">  📆  Event Calendar</t>
  </si>
  <si>
    <t xml:space="preserve">  Change the month on ⚙️ Setup (Calendar month / year) and this grid redraws itself from the Events tab.</t>
  </si>
  <si>
    <t>Sun</t>
  </si>
  <si>
    <t>Mon</t>
  </si>
  <si>
    <t>Tue</t>
  </si>
  <si>
    <t>Wed</t>
  </si>
  <si>
    <t>Thu</t>
  </si>
  <si>
    <t>Fri</t>
  </si>
  <si>
    <t>Sat</t>
  </si>
  <si>
    <t xml:space="preserve">  🔑  LEGEND</t>
  </si>
  <si>
    <t>Gold cell</t>
  </si>
  <si>
    <t>an event is booked that day (client • type)</t>
  </si>
  <si>
    <t>💬 / 📝 / 💰 / ✅</t>
  </si>
  <si>
    <t>pipeline stage colours live on the 📅 Events tab</t>
  </si>
  <si>
    <t>Cancelled events</t>
  </si>
  <si>
    <t>are left off the calendar on purpose</t>
  </si>
  <si>
    <t xml:space="preserve">  💡  Two events on one day? The cell shows the first one - the 📅 Events tab (sorted by date) shows everything. Print this page and pin it to the kitchen wall.</t>
  </si>
  <si>
    <t>▶ Calendar</t>
  </si>
  <si>
    <t xml:space="preserve">  📈  Profit &amp; Loss · Reports</t>
  </si>
  <si>
    <t xml:space="preserve">  The year at a glance, month by month — everything below is calculated from your tabs (reporting year: ⚙️ Setup).</t>
  </si>
  <si>
    <t>Revenue (cash received)</t>
  </si>
  <si>
    <t>Cost of goods sold (ingredients + packaging)</t>
  </si>
  <si>
    <t>GROSS PROFIT</t>
  </si>
  <si>
    <t>Operating expenses (everything else)</t>
  </si>
  <si>
    <t>Gross margin %</t>
  </si>
  <si>
    <t>Net margin %</t>
  </si>
  <si>
    <t xml:space="preserve">  📅  MONTH BY MONTH</t>
  </si>
  <si>
    <t>YEAR</t>
  </si>
  <si>
    <t xml:space="preserve">  🎯  REVENUE BY EVENT TYPE</t>
  </si>
  <si>
    <t xml:space="preserve">  👑  TOP CLIENTS (cash received)</t>
  </si>
  <si>
    <t xml:space="preserve">  🍽️  MOST-BOOKED DISHES</t>
  </si>
  <si>
    <t>On menus</t>
  </si>
  <si>
    <t xml:space="preserve">  💡  Cash basis: “Cash in” counts money actually received (deposits + payments) in the month of the event; expenses count on the day you spent them. Switch the reporting year on ⚙️ Setup. For official accounts, always reconcile with your accountant.</t>
  </si>
  <si>
    <t>▶ P&amp;L</t>
  </si>
  <si>
    <t xml:space="preserve">  🧾  Tax Tracker</t>
  </si>
  <si>
    <t xml:space="preserve">  What you collected, what you already paid over, and what is still due — ready for filing day.</t>
  </si>
  <si>
    <t xml:space="preserve">  📊  SUMMARY</t>
  </si>
  <si>
    <t>Taxable sales (all invoices)</t>
  </si>
  <si>
    <t>Tax rate (from ⚙️ Setup)</t>
  </si>
  <si>
    <t>Tax already paid (log below)</t>
  </si>
  <si>
    <t>ESTIMATED TAX STILL DUE</t>
  </si>
  <si>
    <t xml:space="preserve">  📝  TAX PAYMENTS LOG  —  every payment you make to the taxman</t>
  </si>
  <si>
    <t>Date paid</t>
  </si>
  <si>
    <t>What for</t>
  </si>
  <si>
    <t>Method</t>
  </si>
  <si>
    <t xml:space="preserve">  ⚠️  PLEASE NOTE: this tab is a simple record-keeping helper only. It is NOT professional tax, accounting or legal advice. Tax rules differ by country, state and business structure — always confirm your rates, registrations, deductions and filing deadlines with a qualified accountant or tax advisor.</t>
  </si>
  <si>
    <t>▶ Tax</t>
  </si>
  <si>
    <t xml:space="preserve">  ✅  The Four Checklists</t>
  </si>
  <si>
    <t xml:space="preserve">  Prep → Shop → Day-of → Close.  Tick as you go; the counters above each block update live.</t>
  </si>
  <si>
    <t xml:space="preserve">  📋  1 · EVENT PREP  —  the week before</t>
  </si>
  <si>
    <t>Confirm final guest count with client</t>
  </si>
  <si>
    <t>7 days out</t>
  </si>
  <si>
    <t>Confirm menu + dietary requirements in writing</t>
  </si>
  <si>
    <t>Confirm venue access time, power &amp; parking</t>
  </si>
  <si>
    <t>5 days out</t>
  </si>
  <si>
    <t>Staff roster locked and briefed</t>
  </si>
  <si>
    <t>4 days out</t>
  </si>
  <si>
    <t>Equipment reserved and checked against tracker</t>
  </si>
  <si>
    <t>3 days out</t>
  </si>
  <si>
    <t>Supplier orders placed (lead times respected)</t>
  </si>
  <si>
    <t>Prep started: marinades, sauces, desserts</t>
  </si>
  <si>
    <t>2 days out</t>
  </si>
  <si>
    <t>Day-of timeline printed and shared with the team</t>
  </si>
  <si>
    <t>1 day out</t>
  </si>
  <si>
    <t xml:space="preserve">  🛒  2 · SHOPPING RUN</t>
  </si>
  <si>
    <t>Shopping List tab reviewed (To buy column)</t>
  </si>
  <si>
    <t>day before</t>
  </si>
  <si>
    <t>Cold chain planned: coolers, ice packs</t>
  </si>
  <si>
    <t>Proteins bought first, kept cold</t>
  </si>
  <si>
    <t>morning of</t>
  </si>
  <si>
    <t>Produce picked over for quality</t>
  </si>
  <si>
    <t>Receipts kept for the 💸 Expenses tab</t>
  </si>
  <si>
    <t>every trip</t>
  </si>
  <si>
    <t>📦 Inventory quantities updated</t>
  </si>
  <si>
    <t>same day</t>
  </si>
  <si>
    <t>Crates labelled per event</t>
  </si>
  <si>
    <t>on return</t>
  </si>
  <si>
    <t>Perishables chilled / frozen immediately</t>
  </si>
  <si>
    <t xml:space="preserve">  🔥  3 · DAY-OF</t>
  </si>
  <si>
    <t>Load-out checked against Equipment tracker</t>
  </si>
  <si>
    <t>departure</t>
  </si>
  <si>
    <t>Venue walkthrough with the client contact</t>
  </si>
  <si>
    <t>on arrival</t>
  </si>
  <si>
    <t>Chafers / ranges set up and test-fired</t>
  </si>
  <si>
    <t>setup</t>
  </si>
  <si>
    <t>Hand-wash &amp; sanitising station out</t>
  </si>
  <si>
    <t>Team briefing: allergies, timings, roles</t>
  </si>
  <si>
    <t>1 hr before</t>
  </si>
  <si>
    <t>Food temps logged (hot &gt;63°C, cold &lt;5°C)</t>
  </si>
  <si>
    <t>before service</t>
  </si>
  <si>
    <t>Backup supplies within reach</t>
  </si>
  <si>
    <t>Service start time confirmed with venue</t>
  </si>
  <si>
    <t xml:space="preserve">  🏁  4 · END-OF-EVENT</t>
  </si>
  <si>
    <t>Leftovers packed, labelled, handed to client</t>
  </si>
  <si>
    <t>at close</t>
  </si>
  <si>
    <t>Equipment counted back into the van</t>
  </si>
  <si>
    <t>Venue left as found - final walk with contact</t>
  </si>
  <si>
    <t>Gas off, power off, temps logged</t>
  </si>
  <si>
    <t>Wages &amp; tips settled → 👷 Staff tab</t>
  </si>
  <si>
    <t>same night</t>
  </si>
  <si>
    <t>Actual costs logged → 💸 Expenses tab</t>
  </si>
  <si>
    <t>Event marked 🎉 Completed on Events tab</t>
  </si>
  <si>
    <t>Final invoice sent + review/referral requested</t>
  </si>
  <si>
    <t>next day</t>
  </si>
  <si>
    <t xml:space="preserve">  💡  Running several events a week? Duplicate this sheet (right-click the tab → Move or Copy → Create a copy) and rename it per event. The counters on each copy work independently.</t>
  </si>
  <si>
    <t>▶ Checks</t>
  </si>
  <si>
    <t xml:space="preserve">  INVOICE &amp; PROPOSAL</t>
  </si>
  <si>
    <t xml:space="preserve">  🎯  Pick the event - everything below fills itself in</t>
  </si>
  <si>
    <t xml:space="preserve">   ← dropdown lists every Event ID from the 📅 Events tab</t>
  </si>
  <si>
    <t xml:space="preserve">  💰  THE MONEY</t>
  </si>
  <si>
    <t>Quote / invoice total</t>
  </si>
  <si>
    <t>Tax at your Setup rate</t>
  </si>
  <si>
    <t>TOTAL</t>
  </si>
  <si>
    <t>BALANCE DUE</t>
  </si>
  <si>
    <t xml:space="preserve">  📜  PROPOSAL TERMS  (edit these to match your business)</t>
  </si>
  <si>
    <t>1.  This quote is valid for 30 days from the issue date.</t>
  </si>
  <si>
    <t>2.  A deposit (see above) confirms your date; the balance is due on or before the event day.</t>
  </si>
  <si>
    <t>3.  Final guest count is required 72 hours before service; catering is prepared to that number.</t>
  </si>
  <si>
    <t>4.  Please advise allergies and dietary requirements with the final count.</t>
  </si>
  <si>
    <t>5.  Cancellations inside 7 days forfeit the deposit; inside 72 hours, 100% of the quote is chargeable.</t>
  </si>
  <si>
    <t>6.  Menu substitutions of equal or greater value may be made if ingredients are unavailable.</t>
  </si>
  <si>
    <t>Signed (client)</t>
  </si>
  <si>
    <t>▶ Invoice</t>
  </si>
  <si>
    <t>📖  START HERE</t>
  </si>
  <si>
    <t xml:space="preserve">  your 5-minute tour of the Catering Business Manager</t>
  </si>
  <si>
    <t xml:space="preserve">  🚀  QUICK START — FIVE STEPS TO LIVE</t>
  </si>
  <si>
    <t>1</t>
  </si>
  <si>
    <t>Open ⚙️ Setup</t>
  </si>
  <si>
    <t>Type your business name, pick your currency symbol, and set your default margin, deposit % and tax rate.  Every tab in this workbook reads those numbers.</t>
  </si>
  <si>
    <t>2</t>
  </si>
  <si>
    <t>Skim the dropdown lists</t>
  </si>
  <si>
    <t>Lower down on ⚙️ Setup you can rename your event types, expense categories, payment methods and staff roles.  Every dropdown in the workbook updates the moment you edit them — nothing is hard-coded.</t>
  </si>
  <si>
    <t>3</t>
  </si>
  <si>
    <t>Add your clients and events</t>
  </si>
  <si>
    <t>👥 Clients holds one row per client; 📅 Events holds one row per job.  Pick the client from the dropdown on the Events tab and the two tabs stay in step forever.</t>
  </si>
  <si>
    <t>4</t>
  </si>
  <si>
    <t>Price the job</t>
  </si>
  <si>
    <t>Type the guest count and your costs — the recommended price, price per guest, deposit and balance appear instantly at your target margin.  Copy the recommended price into the event's Price column.</t>
  </si>
  <si>
    <t>5</t>
  </si>
  <si>
    <t>Log money as it moves</t>
  </si>
  <si>
    <t>💸 Expenses for what you spend, 💰 Payments for what clients pay.  The dashboard, P&amp;L and tax tracker build themselves from those two logs.</t>
  </si>
  <si>
    <t xml:space="preserve">  🗺️  THE TAB TOUR</t>
  </si>
  <si>
    <t xml:space="preserve">  Premium edition: every tab below.  Basic edition: the tabs marked ● only.</t>
  </si>
  <si>
    <t>●  📊 Dashboard</t>
  </si>
  <si>
    <t>Your command center — revenue, profit, margin, pipeline and the next money due, live.</t>
  </si>
  <si>
    <t>●  👥 Clients</t>
  </si>
  <si>
    <t>One row per client with contact details, package, quote, deposit and what they still owe.</t>
  </si>
  <si>
    <t>●  📅 Events</t>
  </si>
  <si>
    <t>The master planner: every job from enquiry to completed, with menu, crew and equipment notes.</t>
  </si>
  <si>
    <t>●  🧮 Quote Calculator</t>
  </si>
  <si>
    <t>Costs in, recommended price out — the fastest way to stop under-pricing a job.</t>
  </si>
  <si>
    <t>●  💸 Expenses</t>
  </si>
  <si>
    <t>Every purchase tagged by category and event — the fuel for your P&amp;L and tax numbers.</t>
  </si>
  <si>
    <t>●  💰 Payments</t>
  </si>
  <si>
    <t>Invoices and deposits received, with an automatic OVERDUE flag when a due date slips.</t>
  </si>
  <si>
    <t>●  📖 Start Here</t>
  </si>
  <si>
    <t>This page.</t>
  </si>
  <si>
    <t>○  🍽️ Menu Costing</t>
  </si>
  <si>
    <t>Price every dish from its ingredients — the recipe calculator works out cost per portion for you.</t>
  </si>
  <si>
    <t>○  📦 Inventory</t>
  </si>
  <si>
    <t>What is in the store room, what it is worth and what to reorder before it runs out.</t>
  </si>
  <si>
    <t>○  🛒 Shopping List</t>
  </si>
  <si>
    <t>Auto-built from your events: what you need, what you have, what to buy and what it costs.</t>
  </si>
  <si>
    <t>○  👷 Staff &amp; Labor</t>
  </si>
  <si>
    <t>Shifts, hours, overtime and who has been paid — labour cost lands in reports for you.</t>
  </si>
  <si>
    <t>○  🍳 Equipment</t>
  </si>
  <si>
    <t>Chafers, urns and glassware: owned, reserved, in service, and replacement cost.</t>
  </si>
  <si>
    <t>○  🚚 Suppliers</t>
  </si>
  <si>
    <t>Your vendor book — contacts, terms and what each one supplies.</t>
  </si>
  <si>
    <t>○  📆 Event Calendar</t>
  </si>
  <si>
    <t>A month-at-a-glance wall calendar of every booked job, any month, any year.</t>
  </si>
  <si>
    <t>○  📈 P&amp;L &amp; Reports</t>
  </si>
  <si>
    <t>Monthly and annual profit &amp; loss plus revenue by month, by type, best dishes and clients.</t>
  </si>
  <si>
    <t>○  🧾 Tax Tracker</t>
  </si>
  <si>
    <t>Sales tax collected vs paid with quarterly estimates and a log for your accountant.</t>
  </si>
  <si>
    <t>○  ✅ Checklists</t>
  </si>
  <si>
    <t>Four printable checklists: prep, shopping, day-of and end-of-event.</t>
  </si>
  <si>
    <t>○  🖨️ Invoice &amp; Proposal</t>
  </si>
  <si>
    <t>A print-ready invoice and proposal — pick the event and it fills itself.</t>
  </si>
  <si>
    <t xml:space="preserve">  💡  TEN TIPS FROM WORKING CATERERS</t>
  </si>
  <si>
    <t>Price from costs, not from competitors: if food is more than about 30% of your quote, the margin column on 🍽️ Menu Costing warns you before the client ever sees a number.</t>
  </si>
  <si>
    <t>Take the deposit before you book suppliers — the pipeline strip on the dashboard shows exactly which jobs are still only talk.</t>
  </si>
  <si>
    <t>Log expenses on the day you spend them; a Friday-night receipt typed in on Monday is how margins disappear.</t>
  </si>
  <si>
    <t>Keep 📦 Inventory honest: the LOW STOCK flag only works if you tick items back in when a delivery lands.</t>
  </si>
  <si>
    <t>Use the 🛒 Shopping List per event — it subtracts what is already in the store room so you never buy saffron twice.</t>
  </si>
  <si>
    <t>6</t>
  </si>
  <si>
    <t>The OVERDUE flag on 💰 Payments is automatic — chase anything red before you start the next job for that client.</t>
  </si>
  <si>
    <t>7</t>
  </si>
  <si>
    <t>Set your calendar month on ⚙️ Setup and the 📆 Event Calendar re-draws itself for any month of any year — reuse this workbook season after season.</t>
  </si>
  <si>
    <t>8</t>
  </si>
  <si>
    <t>Renaming an event type on ⚙️ Setup renames it everywhere, including the revenue-by-type chart on the dashboard.</t>
  </si>
  <si>
    <t>9</t>
  </si>
  <si>
    <t>Print 🖨️ Invoice &amp; Proposal to PDF (File → Print → Save as PDF) for a client-ready document without leaving the spreadsheet.</t>
  </si>
  <si>
    <t>10</t>
  </si>
  <si>
    <t>Back up before big edits: a copy of the file on your desktop costs nothing and saves entire weekends.</t>
  </si>
  <si>
    <t xml:space="preserve">  🔒  THE GENTLE RULES</t>
  </si>
  <si>
    <t>•  Cream-filled cells are yours to type in.  White cells are formulas — leave them alone and they will keep working for you.</t>
  </si>
  <si>
    <t>•  Sheets are protected to stop accidental edits.  Review → Unprotect Sheet (no password) if you ever need to restructure something.</t>
  </si>
  <si>
    <t>•  Add rows by copying an existing data row and inserting below it — the formulas, dropdowns and colours travel with the copy.</t>
  </si>
  <si>
    <t>•  This file opens in Excel 2016+ and in Google Sheets (upload to Drive → open with Sheets).  A few chart styles look slightly different in Sheets; every number still calculates.</t>
  </si>
  <si>
    <t>•  The EXAMPLE edition is loaded with a fictional catering business so you can see it working.  The blank edition is the one you keep.</t>
  </si>
  <si>
    <t xml:space="preserve">  🤝  SUPPORT &amp; GOOD WISHES</t>
  </si>
  <si>
    <t xml:space="preserve">  Thank you for buying this template — it was built by people who have plated four hundred covers at midnight and know what a spreadsheet owes you on a busy week.  If something looks wrong or you would love an extra tab, message the shop on Etsy and we will help you quickly.</t>
  </si>
  <si>
    <t xml:space="preserve">  💬  Questions about this file?  Your Etsy shop message reaches a human, usually the same day.</t>
  </si>
  <si>
    <t>▶ Help</t>
  </si>
</sst>
</file>

<file path=xl/styles.xml><?xml version="1.0" encoding="utf-8"?>
<styleSheet xmlns="http://schemas.openxmlformats.org/spreadsheetml/2006/main">
  <numFmts count="7">
    <numFmt numFmtId="164" formatCode="#,##0.00"/>
    <numFmt numFmtId="165" formatCode="dd mmm"/>
    <numFmt numFmtId="166" formatCode="0.0%"/>
    <numFmt numFmtId="166" formatCode="0.0%"/>
    <numFmt numFmtId="167" formatCode="0%"/>
    <numFmt numFmtId="167" formatCode="0%"/>
    <numFmt numFmtId="164" formatCode="#,##0.00"/>
    <numFmt numFmtId="164" formatCode="#,##0.00"/>
    <numFmt numFmtId="168" formatCode="dd mmm yyyy"/>
    <numFmt numFmtId="169" formatCode="#,##0"/>
    <numFmt numFmtId="164" formatCode="#,##0.00"/>
    <numFmt numFmtId="164" formatCode="#,##0.00"/>
    <numFmt numFmtId="168" formatCode="dd mmm yyyy"/>
    <numFmt numFmtId="169" formatCode="#,##0"/>
    <numFmt numFmtId="164" formatCode="#,##0.00"/>
    <numFmt numFmtId="169" formatCode="#,##0"/>
    <numFmt numFmtId="164" formatCode="#,##0.00"/>
    <numFmt numFmtId="167" formatCode="0%"/>
    <numFmt numFmtId="168" formatCode="dd mmm yyyy"/>
    <numFmt numFmtId="169" formatCode="#,##0"/>
    <numFmt numFmtId="164" formatCode="#,##0.00"/>
    <numFmt numFmtId="164" formatCode="#,##0.00"/>
    <numFmt numFmtId="164" formatCode="#,##0.00"/>
    <numFmt numFmtId="166" formatCode="0.0%"/>
    <numFmt numFmtId="167" formatCode="0%"/>
    <numFmt numFmtId="167" formatCode="0%"/>
    <numFmt numFmtId="170" formatCode="#,##0.0"/>
    <numFmt numFmtId="170" formatCode="#,##0.0"/>
    <numFmt numFmtId="164" formatCode="#,##0.00"/>
    <numFmt numFmtId="170" formatCode="#,##0.0"/>
    <numFmt numFmtId="170" formatCode="#,##0.0"/>
    <numFmt numFmtId="169" formatCode="#,##0"/>
    <numFmt numFmtId="169" formatCode="#,##0"/>
    <numFmt numFmtId="169" formatCode="#,##0"/>
    <numFmt numFmtId="164" formatCode="#,##0.00"/>
    <numFmt numFmtId="164" formatCode="#,##0.00"/>
    <numFmt numFmtId="164" formatCode="#,##0.00"/>
    <numFmt numFmtId="166" formatCode="0.0%"/>
    <numFmt numFmtId="164" formatCode="#,##0.00"/>
    <numFmt numFmtId="168" formatCode="dd mmm yyyy"/>
    <numFmt numFmtId="164" formatCode="#,##0.00"/>
    <numFmt numFmtId="164" formatCode="#,##0.00"/>
    <numFmt numFmtId="164" formatCode="#,##0.00"/>
  </numFmts>
  <fonts count="67">
    <font>
      <sz val="11"/>
      <color theme="1"/>
      <name val="Calibri"/>
      <family val="2"/>
      <scheme val="minor"/>
    </font>
    <font>
      <b/>
      <sz val="9"/>
      <color rgb="FFFFFFFF"/>
      <name val="Calibri"/>
      <family val="2"/>
      <scheme val="minor"/>
    </font>
    <font>
      <sz val="9"/>
      <color rgb="FF2E241A"/>
      <name val="Calibri"/>
      <family val="2"/>
      <scheme val="minor"/>
    </font>
    <font>
      <b/>
      <sz val="20"/>
      <color rgb="FF4B3626"/>
      <name val="Georgia"/>
      <family val="2"/>
    </font>
    <font>
      <i/>
      <sz val="10.5"/>
      <color rgb="FF8B7C6B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3"/>
      <color rgb="FFFFFFFF"/>
      <name val="Georgia"/>
      <family val="2"/>
    </font>
    <font>
      <b/>
      <sz val="11"/>
      <color rgb="FF2E241A"/>
      <name val="Calibri"/>
      <family val="2"/>
      <scheme val="minor"/>
    </font>
    <font>
      <b/>
      <sz val="11"/>
      <color rgb="FF4B3626"/>
      <name val="Calibri"/>
      <family val="2"/>
      <scheme val="minor"/>
    </font>
    <font>
      <i/>
      <sz val="9.5"/>
      <color rgb="FF8B7C6B"/>
      <name val="Calibri"/>
      <family val="2"/>
      <scheme val="minor"/>
    </font>
    <font>
      <sz val="10"/>
      <color rgb="FF2E241A"/>
      <name val="Calibri"/>
      <family val="2"/>
      <scheme val="minor"/>
    </font>
    <font>
      <i/>
      <sz val="10"/>
      <color rgb="FF8B7C6B"/>
      <name val="Calibri"/>
      <family val="2"/>
      <scheme val="minor"/>
    </font>
    <font>
      <sz val="10"/>
      <color rgb="FF8B7C6B"/>
      <name val="Calibri"/>
      <family val="2"/>
      <scheme val="minor"/>
    </font>
    <font>
      <i/>
      <sz val="10"/>
      <color rgb="FF2E241A"/>
      <name val="Calibri"/>
      <family val="2"/>
      <scheme val="minor"/>
    </font>
    <font>
      <b/>
      <sz val="10.5"/>
      <color rgb="FFFFFFFF"/>
      <name val="Calibri"/>
      <family val="2"/>
      <scheme val="minor"/>
    </font>
    <font>
      <b/>
      <sz val="26"/>
      <color rgb="FFFFFFFF"/>
      <name val="Georgia"/>
      <family val="2"/>
    </font>
    <font>
      <b/>
      <sz val="17"/>
      <color rgb="FFF6EED7"/>
      <name val="Georgia"/>
      <family val="2"/>
    </font>
    <font>
      <b/>
      <i/>
      <sz val="11"/>
      <color rgb="FFFFFFFF"/>
      <name val="Calibri"/>
      <family val="2"/>
      <scheme val="minor"/>
    </font>
    <font>
      <b/>
      <sz val="9.5"/>
      <color rgb="FFFFFFFF"/>
      <name val="Calibri"/>
      <family val="2"/>
      <scheme val="minor"/>
    </font>
    <font>
      <b/>
      <sz val="20"/>
      <color rgb="FF4C7A4C"/>
      <name val="Georgia"/>
      <family val="2"/>
    </font>
    <font>
      <b/>
      <sz val="20"/>
      <color rgb="FFB4652F"/>
      <name val="Georgia"/>
      <family val="2"/>
    </font>
    <font>
      <b/>
      <sz val="20"/>
      <color rgb="FFA9822B"/>
      <name val="Georgia"/>
      <family val="2"/>
    </font>
    <font>
      <b/>
      <sz val="20"/>
      <color rgb="FF3F6E8C"/>
      <name val="Georgia"/>
      <family val="2"/>
    </font>
    <font>
      <b/>
      <sz val="20"/>
      <color rgb="FF7A5C43"/>
      <name val="Georgia"/>
      <family val="2"/>
    </font>
    <font>
      <b/>
      <sz val="20"/>
      <color rgb="FFB4761A"/>
      <name val="Georgia"/>
      <family val="2"/>
    </font>
    <font>
      <b/>
      <sz val="20"/>
      <color rgb="FFAC2F2F"/>
      <name val="Georgia"/>
      <family val="2"/>
    </font>
    <font>
      <b/>
      <sz val="20"/>
      <color rgb="FF7A5273"/>
      <name val="Georgia"/>
      <family val="2"/>
    </font>
    <font>
      <b/>
      <sz val="10"/>
      <color rgb="FF2E241A"/>
      <name val="Calibri"/>
      <family val="2"/>
      <scheme val="minor"/>
    </font>
    <font>
      <b/>
      <sz val="13"/>
      <color rgb="FF7A5C43"/>
      <name val="Consolas"/>
      <family val="2"/>
    </font>
    <font>
      <b/>
      <sz val="13"/>
      <color rgb="FFB4652F"/>
      <name val="Consolas"/>
      <family val="2"/>
    </font>
    <font>
      <b/>
      <sz val="11"/>
      <color rgb="FF3F6E8C"/>
      <name val="Calibri"/>
      <family val="2"/>
      <scheme val="minor"/>
    </font>
    <font>
      <b/>
      <sz val="11"/>
      <color rgb="FF7A5273"/>
      <name val="Calibri"/>
      <family val="2"/>
      <scheme val="minor"/>
    </font>
    <font>
      <b/>
      <sz val="11"/>
      <color rgb="FFB4761A"/>
      <name val="Calibri"/>
      <family val="2"/>
      <scheme val="minor"/>
    </font>
    <font>
      <b/>
      <sz val="11"/>
      <color rgb="FF4C7A4C"/>
      <name val="Calibri"/>
      <family val="2"/>
      <scheme val="minor"/>
    </font>
    <font>
      <b/>
      <sz val="11"/>
      <color rgb="FFAC2F2F"/>
      <name val="Calibri"/>
      <family val="2"/>
      <scheme val="minor"/>
    </font>
    <font>
      <b/>
      <sz val="12"/>
      <color rgb="FF4B3626"/>
      <name val="Georgia"/>
      <family val="2"/>
    </font>
    <font>
      <b/>
      <sz val="10"/>
      <color rgb="FF4B3626"/>
      <name val="Calibri"/>
      <family val="2"/>
      <scheme val="minor"/>
    </font>
    <font>
      <b/>
      <sz val="10.5"/>
      <color rgb="FF4B3626"/>
      <name val="Calibri"/>
      <family val="2"/>
      <scheme val="minor"/>
    </font>
    <font>
      <b/>
      <sz val="10.5"/>
      <color rgb="FFA9822B"/>
      <name val="Calibri"/>
      <family val="2"/>
      <scheme val="minor"/>
    </font>
    <font>
      <b/>
      <sz val="10.5"/>
      <color rgb="FF7A5C43"/>
      <name val="Calibri"/>
      <family val="2"/>
      <scheme val="minor"/>
    </font>
    <font>
      <b/>
      <sz val="10.5"/>
      <color rgb="FF4C7A4C"/>
      <name val="Calibri"/>
      <family val="2"/>
      <scheme val="minor"/>
    </font>
    <font>
      <sz val="9"/>
      <color rgb="FF8B7C6B"/>
      <name val="Calibri"/>
      <family val="2"/>
      <scheme val="minor"/>
    </font>
    <font>
      <sz val="10.5"/>
      <color rgb="FF2E241A"/>
      <name val="Calibri"/>
      <family val="2"/>
      <scheme val="minor"/>
    </font>
    <font>
      <sz val="10.5"/>
      <color rgb="FF4B3626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0.5"/>
      <color rgb="FFB4652F"/>
      <name val="Calibri"/>
      <family val="2"/>
      <scheme val="minor"/>
    </font>
    <font>
      <b/>
      <sz val="12"/>
      <color rgb="FF4B3626"/>
      <name val="Calibri"/>
      <family val="2"/>
      <scheme val="minor"/>
    </font>
    <font>
      <b/>
      <sz val="17"/>
      <color rgb="FFFFFFFF"/>
      <name val="Georgia"/>
      <family val="2"/>
    </font>
    <font>
      <b/>
      <sz val="10.5"/>
      <color rgb="FFAC2F2F"/>
      <name val="Calibri"/>
      <family val="2"/>
      <scheme val="minor"/>
    </font>
    <font>
      <b/>
      <sz val="10.5"/>
      <color rgb="FFB4761A"/>
      <name val="Calibri"/>
      <family val="2"/>
      <scheme val="minor"/>
    </font>
    <font>
      <b/>
      <sz val="13"/>
      <color rgb="FF2F7D4F"/>
      <name val="Calibri"/>
      <family val="2"/>
      <scheme val="minor"/>
    </font>
    <font>
      <b/>
      <sz val="10.5"/>
      <color rgb="FF3F6E8C"/>
      <name val="Calibri"/>
      <family val="2"/>
      <scheme val="minor"/>
    </font>
    <font>
      <b/>
      <sz val="10"/>
      <color rgb="FFAC2F2F"/>
      <name val="Calibri"/>
      <family val="2"/>
      <scheme val="minor"/>
    </font>
    <font>
      <b/>
      <sz val="10.5"/>
      <color rgb="FF2E241A"/>
      <name val="Calibri"/>
      <family val="2"/>
      <scheme val="minor"/>
    </font>
    <font>
      <b/>
      <sz val="15"/>
      <color rgb="FFFFFFFF"/>
      <name val="Georgia"/>
      <family val="2"/>
    </font>
    <font>
      <b/>
      <sz val="13"/>
      <color rgb="FF4B3626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6"/>
      <color rgb="FFFFFFFF"/>
      <name val="Georgia"/>
      <family val="2"/>
    </font>
    <font>
      <b/>
      <sz val="12"/>
      <color rgb="FFFFFFFF"/>
      <name val="Georgia"/>
      <family val="2"/>
    </font>
    <font>
      <b/>
      <sz val="15"/>
      <color rgb="FFB4652F"/>
      <name val="Georgia"/>
      <family val="2"/>
    </font>
    <font>
      <b/>
      <sz val="10"/>
      <color rgb="FF8B7C6B"/>
      <name val="Calibri"/>
      <family val="2"/>
      <scheme val="minor"/>
    </font>
    <font>
      <b/>
      <sz val="12"/>
      <color rgb="FF2E241A"/>
      <name val="Calibri"/>
      <family val="2"/>
      <scheme val="minor"/>
    </font>
    <font>
      <b/>
      <sz val="14"/>
      <color rgb="FF2E241A"/>
      <name val="Calibri"/>
      <family val="2"/>
      <scheme val="minor"/>
    </font>
    <font>
      <b/>
      <i/>
      <sz val="12"/>
      <color rgb="FFB4652F"/>
      <name val="Georgia"/>
      <family val="2"/>
    </font>
    <font>
      <b/>
      <sz val="26"/>
      <color rgb="FF4B3626"/>
      <name val="Georgia"/>
      <family val="2"/>
    </font>
    <font>
      <i/>
      <sz val="11.5"/>
      <color rgb="FF8B7C6B"/>
      <name val="Calibri"/>
      <family val="2"/>
      <scheme val="minor"/>
    </font>
    <font>
      <b/>
      <sz val="11.5"/>
      <color rgb="FF4B3626"/>
      <name val="Calibri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rgb="FF8B7C6B"/>
        <bgColor indexed="64"/>
      </patternFill>
    </fill>
    <fill>
      <patternFill patternType="solid">
        <fgColor rgb="FFF8F4EC"/>
        <bgColor indexed="64"/>
      </patternFill>
    </fill>
    <fill>
      <patternFill patternType="solid">
        <fgColor rgb="FFB4652F"/>
        <bgColor indexed="64"/>
      </patternFill>
    </fill>
    <fill>
      <patternFill patternType="solid">
        <fgColor rgb="FF4B362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EED7"/>
        <bgColor indexed="64"/>
      </patternFill>
    </fill>
    <fill>
      <patternFill patternType="solid">
        <fgColor rgb="FFFBF8F1"/>
        <bgColor indexed="64"/>
      </patternFill>
    </fill>
    <fill>
      <patternFill patternType="solid">
        <fgColor rgb="FFEDE6DA"/>
        <bgColor indexed="64"/>
      </patternFill>
    </fill>
    <fill>
      <patternFill patternType="solid">
        <fgColor rgb="FFA9822B"/>
        <bgColor indexed="64"/>
      </patternFill>
    </fill>
    <fill>
      <patternFill patternType="solid">
        <fgColor rgb="FF3F6E8C"/>
        <bgColor indexed="64"/>
      </patternFill>
    </fill>
    <fill>
      <patternFill patternType="solid">
        <fgColor rgb="FF7A5273"/>
        <bgColor indexed="64"/>
      </patternFill>
    </fill>
    <fill>
      <patternFill patternType="solid">
        <fgColor rgb="FF4C7A4C"/>
        <bgColor indexed="64"/>
      </patternFill>
    </fill>
    <fill>
      <patternFill patternType="solid">
        <fgColor rgb="FF7A5C43"/>
        <bgColor indexed="64"/>
      </patternFill>
    </fill>
    <fill>
      <patternFill patternType="solid">
        <fgColor rgb="FFB4761A"/>
        <bgColor indexed="64"/>
      </patternFill>
    </fill>
    <fill>
      <patternFill patternType="solid">
        <fgColor rgb="FFAC2F2F"/>
        <bgColor indexed="64"/>
      </patternFill>
    </fill>
    <fill>
      <patternFill patternType="solid">
        <fgColor rgb="FFE2ECF3"/>
        <bgColor indexed="64"/>
      </patternFill>
    </fill>
    <fill>
      <patternFill patternType="solid">
        <fgColor rgb="FFF0E6EE"/>
        <bgColor indexed="64"/>
      </patternFill>
    </fill>
    <fill>
      <patternFill patternType="solid">
        <fgColor rgb="FFFBF0D9"/>
        <bgColor indexed="64"/>
      </patternFill>
    </fill>
    <fill>
      <patternFill patternType="solid">
        <fgColor rgb="FFE2EEE0"/>
        <bgColor indexed="64"/>
      </patternFill>
    </fill>
    <fill>
      <patternFill patternType="solid">
        <fgColor rgb="FFF7E2E0"/>
        <bgColor indexed="64"/>
      </patternFill>
    </fill>
    <fill>
      <patternFill patternType="solid">
        <fgColor rgb="FFEBE1D4"/>
        <bgColor indexed="64"/>
      </patternFill>
    </fill>
    <fill>
      <patternFill patternType="solid">
        <fgColor rgb="FFF7E7DB"/>
        <bgColor indexed="64"/>
      </patternFill>
    </fill>
  </fills>
  <borders count="24">
    <border>
      <left/>
      <right/>
      <top/>
      <bottom/>
      <diagonal/>
    </border>
    <border>
      <left style="thin">
        <color rgb="FF8B7C6B"/>
      </left>
      <right style="thin">
        <color rgb="FF8B7C6B"/>
      </right>
      <top style="thin">
        <color rgb="FF8B7C6B"/>
      </top>
      <bottom style="thin">
        <color rgb="FF8B7C6B"/>
      </bottom>
      <diagonal/>
    </border>
    <border>
      <left style="thin">
        <color rgb="FFB4652F"/>
      </left>
      <right style="thin">
        <color rgb="FFB4652F"/>
      </right>
      <top style="thin">
        <color rgb="FFB4652F"/>
      </top>
      <bottom style="thin">
        <color rgb="FFB4652F"/>
      </bottom>
      <diagonal/>
    </border>
    <border>
      <left style="thin">
        <color rgb="FFE3D9C6"/>
      </left>
      <right style="thin">
        <color rgb="FFE3D9C6"/>
      </right>
      <top style="thin">
        <color rgb="FFE3D9C6"/>
      </top>
      <bottom style="thin">
        <color rgb="FFE3D9C6"/>
      </bottom>
      <diagonal/>
    </border>
    <border>
      <left style="medium">
        <color rgb="FFA9822B"/>
      </left>
      <right style="medium">
        <color rgb="FFA9822B"/>
      </right>
      <top style="medium">
        <color rgb="FFA9822B"/>
      </top>
      <bottom style="medium">
        <color rgb="FFA9822B"/>
      </bottom>
      <diagonal/>
    </border>
    <border>
      <left style="thin">
        <color rgb="FF4B3626"/>
      </left>
      <right style="thin">
        <color rgb="FF4B3626"/>
      </right>
      <top style="thin">
        <color rgb="FF4B3626"/>
      </top>
      <bottom style="thin">
        <color rgb="FF4B3626"/>
      </bottom>
      <diagonal/>
    </border>
    <border>
      <left style="thin">
        <color rgb="FFA9822B"/>
      </left>
      <right style="thin">
        <color rgb="FFA9822B"/>
      </right>
      <top style="thin">
        <color rgb="FFA9822B"/>
      </top>
      <bottom style="thin">
        <color rgb="FFA9822B"/>
      </bottom>
      <diagonal/>
    </border>
    <border>
      <left style="thin">
        <color rgb="FF3F6E8C"/>
      </left>
      <right style="thin">
        <color rgb="FF3F6E8C"/>
      </right>
      <top style="thin">
        <color rgb="FF3F6E8C"/>
      </top>
      <bottom style="thin">
        <color rgb="FF3F6E8C"/>
      </bottom>
      <diagonal/>
    </border>
    <border>
      <left style="thin">
        <color rgb="FF7A5273"/>
      </left>
      <right style="thin">
        <color rgb="FF7A5273"/>
      </right>
      <top style="thin">
        <color rgb="FF7A5273"/>
      </top>
      <bottom style="thin">
        <color rgb="FF7A5273"/>
      </bottom>
      <diagonal/>
    </border>
    <border>
      <left style="thin">
        <color rgb="FF4C7A4C"/>
      </left>
      <right style="thin">
        <color rgb="FF4C7A4C"/>
      </right>
      <top style="thin">
        <color rgb="FF4C7A4C"/>
      </top>
      <bottom style="thin">
        <color rgb="FF4C7A4C"/>
      </bottom>
      <diagonal/>
    </border>
    <border>
      <left style="thin">
        <color rgb="FF7A5C43"/>
      </left>
      <right style="thin">
        <color rgb="FF7A5C43"/>
      </right>
      <top style="thin">
        <color rgb="FF7A5C43"/>
      </top>
      <bottom style="thin">
        <color rgb="FF7A5C43"/>
      </bottom>
      <diagonal/>
    </border>
    <border>
      <left style="thin">
        <color rgb="FFB4761A"/>
      </left>
      <right style="thin">
        <color rgb="FFB4761A"/>
      </right>
      <top style="thin">
        <color rgb="FFB4761A"/>
      </top>
      <bottom style="thin">
        <color rgb="FFB4761A"/>
      </bottom>
      <diagonal/>
    </border>
    <border>
      <left style="thin">
        <color rgb="FFAC2F2F"/>
      </left>
      <right style="thin">
        <color rgb="FFAC2F2F"/>
      </right>
      <top style="thin">
        <color rgb="FFAC2F2F"/>
      </top>
      <bottom style="thin">
        <color rgb="FFAC2F2F"/>
      </bottom>
      <diagonal/>
    </border>
    <border>
      <left style="thin">
        <color rgb="FFE2ECF3"/>
      </left>
      <right style="thin">
        <color rgb="FFE2ECF3"/>
      </right>
      <top style="thin">
        <color rgb="FFE2ECF3"/>
      </top>
      <bottom style="thin">
        <color rgb="FFE2ECF3"/>
      </bottom>
      <diagonal/>
    </border>
    <border>
      <left style="thin">
        <color rgb="FFF0E6EE"/>
      </left>
      <right style="thin">
        <color rgb="FFF0E6EE"/>
      </right>
      <top style="thin">
        <color rgb="FFF0E6EE"/>
      </top>
      <bottom style="thin">
        <color rgb="FFF0E6EE"/>
      </bottom>
      <diagonal/>
    </border>
    <border>
      <left style="thin">
        <color rgb="FFFBF0D9"/>
      </left>
      <right style="thin">
        <color rgb="FFFBF0D9"/>
      </right>
      <top style="thin">
        <color rgb="FFFBF0D9"/>
      </top>
      <bottom style="thin">
        <color rgb="FFFBF0D9"/>
      </bottom>
      <diagonal/>
    </border>
    <border>
      <left style="thin">
        <color rgb="FFEDE6DA"/>
      </left>
      <right style="thin">
        <color rgb="FFEDE6DA"/>
      </right>
      <top style="thin">
        <color rgb="FFEDE6DA"/>
      </top>
      <bottom style="thin">
        <color rgb="FFEDE6DA"/>
      </bottom>
      <diagonal/>
    </border>
    <border>
      <left style="thin">
        <color rgb="FFE2EEE0"/>
      </left>
      <right style="thin">
        <color rgb="FFE2EEE0"/>
      </right>
      <top style="thin">
        <color rgb="FFE2EEE0"/>
      </top>
      <bottom style="thin">
        <color rgb="FFE2EEE0"/>
      </bottom>
      <diagonal/>
    </border>
    <border>
      <left style="thin">
        <color rgb="FFF7E2E0"/>
      </left>
      <right style="thin">
        <color rgb="FFF7E2E0"/>
      </right>
      <top style="thin">
        <color rgb="FFF7E2E0"/>
      </top>
      <bottom style="thin">
        <color rgb="FFF7E2E0"/>
      </bottom>
      <diagonal/>
    </border>
    <border>
      <left style="dotted">
        <color rgb="FFA9822B"/>
      </left>
      <right/>
      <top/>
      <bottom/>
      <diagonal/>
    </border>
    <border>
      <left style="thin">
        <color rgb="FFF6EED7"/>
      </left>
      <right style="thin">
        <color rgb="FFF6EED7"/>
      </right>
      <top style="thin">
        <color rgb="FFF6EED7"/>
      </top>
      <bottom style="thin">
        <color rgb="FFF6EED7"/>
      </bottom>
      <diagonal/>
    </border>
    <border>
      <left style="thin">
        <color rgb="FFEBE1D4"/>
      </left>
      <right style="thin">
        <color rgb="FFEBE1D4"/>
      </right>
      <top style="thin">
        <color rgb="FFEBE1D4"/>
      </top>
      <bottom style="thin">
        <color rgb="FFEBE1D4"/>
      </bottom>
      <diagonal/>
    </border>
    <border>
      <left style="thin">
        <color rgb="FFF7E7DB"/>
      </left>
      <right style="thin">
        <color rgb="FFF7E7DB"/>
      </right>
      <top style="thin">
        <color rgb="FFF7E7DB"/>
      </top>
      <bottom style="thin">
        <color rgb="FFF7E7DB"/>
      </bottom>
      <diagonal/>
    </border>
    <border>
      <left/>
      <right/>
      <top style="thin">
        <color rgb="FFC8B795"/>
      </top>
      <bottom/>
      <diagonal/>
    </border>
  </borders>
  <cellStyleXfs count="1">
    <xf numFmtId="0" fontId="0" fillId="0" borderId="0"/>
  </cellStyleXfs>
  <cellXfs count="17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164" fontId="2" fillId="0" borderId="0" xfId="0" applyNumberFormat="1" applyFont="1" applyAlignment="1">
      <alignment vertical="center"/>
    </xf>
    <xf numFmtId="1" fontId="2" fillId="0" borderId="0" xfId="0" applyNumberFormat="1" applyFont="1" applyAlignment="1">
      <alignment vertical="center"/>
    </xf>
    <xf numFmtId="165" fontId="2" fillId="0" borderId="0" xfId="0" applyNumberFormat="1" applyFont="1" applyAlignment="1">
      <alignment vertical="center"/>
    </xf>
    <xf numFmtId="166" fontId="2" fillId="0" borderId="0" xfId="0" applyNumberFormat="1" applyFont="1" applyAlignment="1">
      <alignment vertical="center"/>
    </xf>
    <xf numFmtId="0" fontId="0" fillId="3" borderId="0" xfId="0" applyFill="1"/>
    <xf numFmtId="0" fontId="3" fillId="3" borderId="0" xfId="0" applyFont="1" applyFill="1" applyAlignment="1">
      <alignment horizontal="left" vertical="center" indent="1"/>
    </xf>
    <xf numFmtId="0" fontId="4" fillId="3" borderId="0" xfId="0" applyFont="1" applyFill="1" applyAlignment="1">
      <alignment horizontal="left" vertical="center" indent="1"/>
    </xf>
    <xf numFmtId="0" fontId="5" fillId="4" borderId="2" xfId="0" applyFont="1" applyFill="1" applyBorder="1" applyAlignment="1">
      <alignment horizontal="center" vertical="center"/>
    </xf>
    <xf numFmtId="0" fontId="6" fillId="5" borderId="0" xfId="0" applyFont="1" applyFill="1" applyAlignment="1">
      <alignment horizontal="left" vertical="center" indent="1"/>
    </xf>
    <xf numFmtId="0" fontId="7" fillId="6" borderId="3" xfId="0" applyFont="1" applyFill="1" applyBorder="1" applyAlignment="1">
      <alignment horizontal="left" vertical="center" indent="1"/>
    </xf>
    <xf numFmtId="0" fontId="8" fillId="7" borderId="4" xfId="0" applyFont="1" applyFill="1" applyBorder="1" applyAlignment="1" applyProtection="1">
      <alignment horizontal="center" vertical="center"/>
      <protection locked="0"/>
    </xf>
    <xf numFmtId="0" fontId="9" fillId="6" borderId="3" xfId="0" applyFont="1" applyFill="1" applyBorder="1" applyAlignment="1">
      <alignment horizontal="left" vertical="top" indent="1" wrapText="1"/>
    </xf>
    <xf numFmtId="166" fontId="8" fillId="7" borderId="4" xfId="0" applyNumberFormat="1" applyFont="1" applyFill="1" applyBorder="1" applyAlignment="1" applyProtection="1">
      <alignment horizontal="center" vertical="center"/>
      <protection locked="0"/>
    </xf>
    <xf numFmtId="167" fontId="8" fillId="7" borderId="4" xfId="0" applyNumberFormat="1" applyFont="1" applyFill="1" applyBorder="1" applyAlignment="1" applyProtection="1">
      <alignment horizontal="center" vertical="center"/>
      <protection locked="0"/>
    </xf>
    <xf numFmtId="1" fontId="8" fillId="7" borderId="4" xfId="0" applyNumberFormat="1" applyFont="1" applyFill="1" applyBorder="1" applyAlignment="1" applyProtection="1">
      <alignment horizontal="center" vertical="center"/>
      <protection locked="0"/>
    </xf>
    <xf numFmtId="0" fontId="5" fillId="5" borderId="5" xfId="0" applyFont="1" applyFill="1" applyBorder="1" applyAlignment="1">
      <alignment horizontal="center" vertical="center" wrapText="1"/>
    </xf>
    <xf numFmtId="0" fontId="10" fillId="6" borderId="3" xfId="0" applyFont="1" applyFill="1" applyBorder="1" applyAlignment="1" applyProtection="1">
      <alignment horizontal="left" vertical="center" indent="1"/>
      <protection locked="0"/>
    </xf>
    <xf numFmtId="0" fontId="10" fillId="8" borderId="3" xfId="0" applyFont="1" applyFill="1" applyBorder="1" applyAlignment="1" applyProtection="1">
      <alignment horizontal="left" vertical="center" indent="1"/>
      <protection locked="0"/>
    </xf>
    <xf numFmtId="0" fontId="11" fillId="8" borderId="3" xfId="0" applyFont="1" applyFill="1" applyBorder="1" applyAlignment="1" applyProtection="1">
      <alignment horizontal="left" vertical="top" indent="1" wrapText="1"/>
      <protection locked="0"/>
    </xf>
    <xf numFmtId="0" fontId="6" fillId="4" borderId="0" xfId="0" applyFont="1" applyFill="1" applyAlignment="1">
      <alignment horizontal="left" vertical="center" indent="1"/>
    </xf>
    <xf numFmtId="0" fontId="5" fillId="4" borderId="2" xfId="0" applyFont="1" applyFill="1" applyBorder="1" applyAlignment="1">
      <alignment horizontal="center" vertical="center" wrapText="1"/>
    </xf>
    <xf numFmtId="0" fontId="12" fillId="9" borderId="3" xfId="0" applyFont="1" applyFill="1" applyBorder="1" applyAlignment="1">
      <alignment horizontal="left" vertical="center" indent="1"/>
    </xf>
    <xf numFmtId="0" fontId="13" fillId="7" borderId="0" xfId="0" applyFont="1" applyFill="1" applyAlignment="1">
      <alignment horizontal="left" vertical="center" indent="1"/>
    </xf>
    <xf numFmtId="0" fontId="14" fillId="5" borderId="5" xfId="0" applyFont="1" applyFill="1" applyBorder="1" applyAlignment="1">
      <alignment horizontal="center" vertical="center"/>
    </xf>
    <xf numFmtId="0" fontId="14" fillId="4" borderId="2" xfId="0" applyFont="1" applyFill="1" applyBorder="1" applyAlignment="1">
      <alignment horizontal="center" vertical="center"/>
    </xf>
    <xf numFmtId="0" fontId="14" fillId="10" borderId="6" xfId="0" applyFont="1" applyFill="1" applyBorder="1" applyAlignment="1">
      <alignment horizontal="center" vertical="center"/>
    </xf>
    <xf numFmtId="0" fontId="14" fillId="11" borderId="7" xfId="0" applyFont="1" applyFill="1" applyBorder="1" applyAlignment="1">
      <alignment horizontal="center" vertical="center"/>
    </xf>
    <xf numFmtId="0" fontId="14" fillId="12" borderId="8" xfId="0" applyFont="1" applyFill="1" applyBorder="1" applyAlignment="1">
      <alignment horizontal="center" vertical="center"/>
    </xf>
    <xf numFmtId="0" fontId="14" fillId="13" borderId="9" xfId="0" applyFont="1" applyFill="1" applyBorder="1" applyAlignment="1">
      <alignment horizontal="center" vertical="center"/>
    </xf>
    <xf numFmtId="0" fontId="14" fillId="14" borderId="10" xfId="0" applyFont="1" applyFill="1" applyBorder="1" applyAlignment="1">
      <alignment horizontal="center" vertical="center"/>
    </xf>
    <xf numFmtId="0" fontId="14" fillId="15" borderId="11" xfId="0" applyFont="1" applyFill="1" applyBorder="1" applyAlignment="1">
      <alignment horizontal="center" vertical="center"/>
    </xf>
    <xf numFmtId="0" fontId="15" fillId="5" borderId="0" xfId="0" applyFont="1" applyFill="1" applyAlignment="1">
      <alignment horizontal="left" vertical="center" indent="1"/>
    </xf>
    <xf numFmtId="0" fontId="16" fillId="4" borderId="0" xfId="0" applyFont="1" applyFill="1" applyAlignment="1">
      <alignment horizontal="left" vertical="center" indent="1"/>
    </xf>
    <xf numFmtId="0" fontId="17" fillId="10" borderId="0" xfId="0" applyFont="1" applyFill="1" applyAlignment="1">
      <alignment horizontal="left" vertical="center" indent="1"/>
    </xf>
    <xf numFmtId="0" fontId="18" fillId="13" borderId="9" xfId="0" applyFont="1" applyFill="1" applyBorder="1" applyAlignment="1">
      <alignment horizontal="left" vertical="center" indent="1"/>
    </xf>
    <xf numFmtId="0" fontId="18" fillId="4" borderId="2" xfId="0" applyFont="1" applyFill="1" applyBorder="1" applyAlignment="1">
      <alignment horizontal="left" vertical="center" indent="1"/>
    </xf>
    <xf numFmtId="0" fontId="18" fillId="5" borderId="5" xfId="0" applyFont="1" applyFill="1" applyBorder="1" applyAlignment="1">
      <alignment horizontal="left" vertical="center" indent="1"/>
    </xf>
    <xf numFmtId="0" fontId="18" fillId="10" borderId="6" xfId="0" applyFont="1" applyFill="1" applyBorder="1" applyAlignment="1">
      <alignment horizontal="left" vertical="center" indent="1"/>
    </xf>
    <xf numFmtId="0" fontId="18" fillId="11" borderId="7" xfId="0" applyFont="1" applyFill="1" applyBorder="1" applyAlignment="1">
      <alignment horizontal="left" vertical="center" indent="1"/>
    </xf>
    <xf numFmtId="0" fontId="18" fillId="14" borderId="10" xfId="0" applyFont="1" applyFill="1" applyBorder="1" applyAlignment="1">
      <alignment horizontal="left" vertical="center" indent="1"/>
    </xf>
    <xf numFmtId="0" fontId="19" fillId="6" borderId="3" xfId="0" applyFont="1" applyFill="1" applyBorder="1" applyAlignment="1">
      <alignment horizontal="center" vertical="center"/>
    </xf>
    <xf numFmtId="0" fontId="20" fillId="6" borderId="3" xfId="0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167" fontId="21" fillId="6" borderId="3" xfId="0" applyNumberFormat="1" applyFont="1" applyFill="1" applyBorder="1" applyAlignment="1">
      <alignment horizontal="center" vertical="center"/>
    </xf>
    <xf numFmtId="1" fontId="22" fillId="6" borderId="3" xfId="0" applyNumberFormat="1" applyFont="1" applyFill="1" applyBorder="1" applyAlignment="1">
      <alignment horizontal="center" vertical="center"/>
    </xf>
    <xf numFmtId="0" fontId="23" fillId="6" borderId="3" xfId="0" applyFont="1" applyFill="1" applyBorder="1" applyAlignment="1">
      <alignment horizontal="center" vertical="center"/>
    </xf>
    <xf numFmtId="0" fontId="18" fillId="15" borderId="11" xfId="0" applyFont="1" applyFill="1" applyBorder="1" applyAlignment="1">
      <alignment horizontal="left" vertical="center" indent="1"/>
    </xf>
    <xf numFmtId="0" fontId="18" fillId="16" borderId="12" xfId="0" applyFont="1" applyFill="1" applyBorder="1" applyAlignment="1">
      <alignment horizontal="left" vertical="center" indent="1"/>
    </xf>
    <xf numFmtId="0" fontId="18" fillId="12" borderId="8" xfId="0" applyFont="1" applyFill="1" applyBorder="1" applyAlignment="1">
      <alignment horizontal="left" vertical="center" indent="1"/>
    </xf>
    <xf numFmtId="1" fontId="3" fillId="6" borderId="3" xfId="0" applyNumberFormat="1" applyFont="1" applyFill="1" applyBorder="1" applyAlignment="1">
      <alignment horizontal="center" vertical="center"/>
    </xf>
    <xf numFmtId="0" fontId="24" fillId="6" borderId="3" xfId="0" applyFont="1" applyFill="1" applyBorder="1" applyAlignment="1">
      <alignment horizontal="center" vertical="center"/>
    </xf>
    <xf numFmtId="1" fontId="25" fillId="6" borderId="3" xfId="0" applyNumberFormat="1" applyFont="1" applyFill="1" applyBorder="1" applyAlignment="1">
      <alignment horizontal="center" vertical="center"/>
    </xf>
    <xf numFmtId="1" fontId="26" fillId="6" borderId="3" xfId="0" applyNumberFormat="1" applyFont="1" applyFill="1" applyBorder="1" applyAlignment="1">
      <alignment horizontal="center" vertical="center"/>
    </xf>
    <xf numFmtId="0" fontId="22" fillId="6" borderId="3" xfId="0" applyFont="1" applyFill="1" applyBorder="1" applyAlignment="1">
      <alignment horizontal="center" vertical="center"/>
    </xf>
    <xf numFmtId="0" fontId="27" fillId="6" borderId="3" xfId="0" applyFont="1" applyFill="1" applyBorder="1" applyAlignment="1">
      <alignment horizontal="left" vertical="center" indent="1"/>
    </xf>
    <xf numFmtId="0" fontId="28" fillId="6" borderId="3" xfId="0" applyFont="1" applyFill="1" applyBorder="1" applyAlignment="1">
      <alignment horizontal="left" vertical="center"/>
    </xf>
    <xf numFmtId="0" fontId="29" fillId="6" borderId="3" xfId="0" applyFont="1" applyFill="1" applyBorder="1" applyAlignment="1">
      <alignment horizontal="center" vertical="center"/>
    </xf>
    <xf numFmtId="0" fontId="30" fillId="17" borderId="13" xfId="0" applyFont="1" applyFill="1" applyBorder="1" applyAlignment="1">
      <alignment horizontal="center" vertical="center"/>
    </xf>
    <xf numFmtId="0" fontId="31" fillId="18" borderId="14" xfId="0" applyFont="1" applyFill="1" applyBorder="1" applyAlignment="1">
      <alignment horizontal="center" vertical="center"/>
    </xf>
    <xf numFmtId="0" fontId="32" fillId="19" borderId="15" xfId="0" applyFont="1" applyFill="1" applyBorder="1" applyAlignment="1">
      <alignment horizontal="center" vertical="center"/>
    </xf>
    <xf numFmtId="0" fontId="8" fillId="9" borderId="16" xfId="0" applyFont="1" applyFill="1" applyBorder="1" applyAlignment="1">
      <alignment horizontal="center" vertical="center"/>
    </xf>
    <xf numFmtId="0" fontId="33" fillId="20" borderId="17" xfId="0" applyFont="1" applyFill="1" applyBorder="1" applyAlignment="1">
      <alignment horizontal="center" vertical="center"/>
    </xf>
    <xf numFmtId="0" fontId="34" fillId="21" borderId="18" xfId="0" applyFont="1" applyFill="1" applyBorder="1" applyAlignment="1">
      <alignment horizontal="center" vertical="center"/>
    </xf>
    <xf numFmtId="0" fontId="35" fillId="9" borderId="19" xfId="0" applyFont="1" applyFill="1" applyBorder="1" applyAlignment="1">
      <alignment horizontal="left" vertical="center" indent="1"/>
    </xf>
    <xf numFmtId="0" fontId="27" fillId="6" borderId="3" xfId="0" applyFont="1" applyFill="1" applyBorder="1" applyAlignment="1">
      <alignment horizontal="left" vertical="center" indent="1"/>
    </xf>
    <xf numFmtId="0" fontId="10" fillId="6" borderId="3" xfId="0" applyFont="1" applyFill="1" applyBorder="1" applyAlignment="1">
      <alignment horizontal="left" vertical="center" indent="1"/>
    </xf>
    <xf numFmtId="164" fontId="36" fillId="6" borderId="3" xfId="0" applyNumberFormat="1" applyFont="1" applyFill="1" applyBorder="1" applyAlignment="1">
      <alignment horizontal="right" vertical="center" indent="1"/>
    </xf>
    <xf numFmtId="0" fontId="27" fillId="8" borderId="3" xfId="0" applyFont="1" applyFill="1" applyBorder="1" applyAlignment="1">
      <alignment horizontal="left" vertical="center" indent="1"/>
    </xf>
    <xf numFmtId="0" fontId="10" fillId="8" borderId="3" xfId="0" applyFont="1" applyFill="1" applyBorder="1" applyAlignment="1">
      <alignment horizontal="left" vertical="center" indent="1"/>
    </xf>
    <xf numFmtId="164" fontId="36" fillId="8" borderId="3" xfId="0" applyNumberFormat="1" applyFont="1" applyFill="1" applyBorder="1" applyAlignment="1">
      <alignment horizontal="right" vertical="center" indent="1"/>
    </xf>
    <xf numFmtId="0" fontId="37" fillId="9" borderId="16" xfId="0" applyFont="1" applyFill="1" applyBorder="1" applyAlignment="1">
      <alignment horizontal="left" vertical="center"/>
    </xf>
    <xf numFmtId="0" fontId="38" fillId="7" borderId="20" xfId="0" applyFont="1" applyFill="1" applyBorder="1" applyAlignment="1">
      <alignment horizontal="left" vertical="center"/>
    </xf>
    <xf numFmtId="0" fontId="39" fillId="22" borderId="21" xfId="0" applyFont="1" applyFill="1" applyBorder="1" applyAlignment="1">
      <alignment horizontal="left" vertical="center"/>
    </xf>
    <xf numFmtId="0" fontId="40" fillId="20" borderId="17" xfId="0" applyFont="1" applyFill="1" applyBorder="1" applyAlignment="1">
      <alignment horizontal="left" vertical="center"/>
    </xf>
    <xf numFmtId="0" fontId="5" fillId="14" borderId="10" xfId="0" applyFont="1" applyFill="1" applyBorder="1" applyAlignment="1">
      <alignment horizontal="center" vertical="center" wrapText="1"/>
    </xf>
    <xf numFmtId="1" fontId="41" fillId="8" borderId="3" xfId="0" applyNumberFormat="1" applyFont="1" applyFill="1" applyBorder="1" applyAlignment="1">
      <alignment horizontal="center" vertical="center"/>
    </xf>
    <xf numFmtId="0" fontId="42" fillId="8" borderId="3" xfId="0" applyFont="1" applyFill="1" applyBorder="1" applyAlignment="1" applyProtection="1">
      <alignment horizontal="left" vertical="center"/>
      <protection locked="0"/>
    </xf>
    <xf numFmtId="0" fontId="42" fillId="8" borderId="3" xfId="0" applyFont="1" applyFill="1" applyBorder="1" applyAlignment="1" applyProtection="1">
      <alignment horizontal="center" vertical="center"/>
      <protection locked="0"/>
    </xf>
    <xf numFmtId="168" fontId="42" fillId="8" borderId="3" xfId="0" applyNumberFormat="1" applyFont="1" applyFill="1" applyBorder="1" applyAlignment="1" applyProtection="1">
      <alignment horizontal="center" vertical="center"/>
      <protection locked="0"/>
    </xf>
    <xf numFmtId="169" fontId="42" fillId="8" borderId="3" xfId="0" applyNumberFormat="1" applyFont="1" applyFill="1" applyBorder="1" applyAlignment="1" applyProtection="1">
      <alignment horizontal="center" vertical="center"/>
      <protection locked="0"/>
    </xf>
    <xf numFmtId="164" fontId="42" fillId="8" borderId="3" xfId="0" applyNumberFormat="1" applyFont="1" applyFill="1" applyBorder="1" applyAlignment="1" applyProtection="1">
      <alignment horizontal="right" vertical="center"/>
      <protection locked="0"/>
    </xf>
    <xf numFmtId="164" fontId="43" fillId="8" borderId="3" xfId="0" applyNumberFormat="1" applyFont="1" applyFill="1" applyBorder="1" applyAlignment="1">
      <alignment horizontal="right" vertical="center"/>
    </xf>
    <xf numFmtId="1" fontId="41" fillId="6" borderId="3" xfId="0" applyNumberFormat="1" applyFont="1" applyFill="1" applyBorder="1" applyAlignment="1">
      <alignment horizontal="center" vertical="center"/>
    </xf>
    <xf numFmtId="0" fontId="42" fillId="6" borderId="3" xfId="0" applyFont="1" applyFill="1" applyBorder="1" applyAlignment="1" applyProtection="1">
      <alignment horizontal="left" vertical="center"/>
      <protection locked="0"/>
    </xf>
    <xf numFmtId="0" fontId="42" fillId="6" borderId="3" xfId="0" applyFont="1" applyFill="1" applyBorder="1" applyAlignment="1" applyProtection="1">
      <alignment horizontal="center" vertical="center"/>
      <protection locked="0"/>
    </xf>
    <xf numFmtId="168" fontId="42" fillId="6" borderId="3" xfId="0" applyNumberFormat="1" applyFont="1" applyFill="1" applyBorder="1" applyAlignment="1" applyProtection="1">
      <alignment horizontal="center" vertical="center"/>
      <protection locked="0"/>
    </xf>
    <xf numFmtId="169" fontId="42" fillId="6" borderId="3" xfId="0" applyNumberFormat="1" applyFont="1" applyFill="1" applyBorder="1" applyAlignment="1" applyProtection="1">
      <alignment horizontal="center" vertical="center"/>
      <protection locked="0"/>
    </xf>
    <xf numFmtId="164" fontId="42" fillId="6" borderId="3" xfId="0" applyNumberFormat="1" applyFont="1" applyFill="1" applyBorder="1" applyAlignment="1" applyProtection="1">
      <alignment horizontal="right" vertical="center"/>
      <protection locked="0"/>
    </xf>
    <xf numFmtId="0" fontId="44" fillId="5" borderId="5" xfId="0" applyFont="1" applyFill="1" applyBorder="1" applyAlignment="1">
      <alignment horizontal="right" vertical="center" indent="1"/>
    </xf>
    <xf numFmtId="169" fontId="44" fillId="5" borderId="5" xfId="0" applyNumberFormat="1" applyFont="1" applyFill="1" applyBorder="1" applyAlignment="1">
      <alignment horizontal="right" vertical="center"/>
    </xf>
    <xf numFmtId="0" fontId="42" fillId="5" borderId="5" xfId="0" applyFont="1" applyFill="1" applyBorder="1" applyAlignment="1">
      <alignment vertical="center"/>
    </xf>
    <xf numFmtId="164" fontId="44" fillId="5" borderId="5" xfId="0" applyNumberFormat="1" applyFont="1" applyFill="1" applyBorder="1" applyAlignment="1">
      <alignment horizontal="right" vertical="center"/>
    </xf>
    <xf numFmtId="0" fontId="45" fillId="23" borderId="22" xfId="0" applyFont="1" applyFill="1" applyBorder="1" applyAlignment="1">
      <alignment horizontal="left" vertical="center"/>
    </xf>
    <xf numFmtId="0" fontId="42" fillId="8" borderId="3" xfId="0" applyFont="1" applyFill="1" applyBorder="1" applyAlignment="1" applyProtection="1">
      <alignment horizontal="left" vertical="top" wrapText="1"/>
      <protection locked="0"/>
    </xf>
    <xf numFmtId="167" fontId="43" fillId="8" borderId="3" xfId="0" applyNumberFormat="1" applyFont="1" applyFill="1" applyBorder="1" applyAlignment="1">
      <alignment horizontal="center" vertical="center"/>
    </xf>
    <xf numFmtId="0" fontId="42" fillId="6" borderId="3" xfId="0" applyFont="1" applyFill="1" applyBorder="1" applyAlignment="1" applyProtection="1">
      <alignment horizontal="left" vertical="top" wrapText="1"/>
      <protection locked="0"/>
    </xf>
    <xf numFmtId="0" fontId="46" fillId="7" borderId="4" xfId="0" applyFont="1" applyFill="1" applyBorder="1" applyAlignment="1" applyProtection="1">
      <alignment horizontal="center" vertical="center"/>
      <protection locked="0"/>
    </xf>
    <xf numFmtId="168" fontId="46" fillId="7" borderId="4" xfId="0" applyNumberFormat="1" applyFont="1" applyFill="1" applyBorder="1" applyAlignment="1" applyProtection="1">
      <alignment horizontal="center" vertical="center"/>
      <protection locked="0"/>
    </xf>
    <xf numFmtId="169" fontId="46" fillId="7" borderId="4" xfId="0" applyNumberFormat="1" applyFont="1" applyFill="1" applyBorder="1" applyAlignment="1" applyProtection="1">
      <alignment horizontal="center" vertical="center"/>
      <protection locked="0"/>
    </xf>
    <xf numFmtId="164" fontId="46" fillId="7" borderId="4" xfId="0" applyNumberFormat="1" applyFont="1" applyFill="1" applyBorder="1" applyAlignment="1" applyProtection="1">
      <alignment horizontal="center" vertical="center"/>
      <protection locked="0"/>
    </xf>
    <xf numFmtId="164" fontId="46" fillId="9" borderId="3" xfId="0" applyNumberFormat="1" applyFont="1" applyFill="1" applyBorder="1" applyAlignment="1">
      <alignment horizontal="center" vertical="center"/>
    </xf>
    <xf numFmtId="0" fontId="44" fillId="13" borderId="9" xfId="0" applyFont="1" applyFill="1" applyBorder="1" applyAlignment="1">
      <alignment horizontal="left" vertical="center" indent="1"/>
    </xf>
    <xf numFmtId="164" fontId="47" fillId="13" borderId="9" xfId="0" applyNumberFormat="1" applyFont="1" applyFill="1" applyBorder="1" applyAlignment="1">
      <alignment horizontal="center" vertical="center"/>
    </xf>
    <xf numFmtId="166" fontId="46" fillId="9" borderId="3" xfId="0" applyNumberFormat="1" applyFont="1" applyFill="1" applyBorder="1" applyAlignment="1">
      <alignment horizontal="center" vertical="center"/>
    </xf>
    <xf numFmtId="167" fontId="46" fillId="7" borderId="4" xfId="0" applyNumberFormat="1" applyFont="1" applyFill="1" applyBorder="1" applyAlignment="1" applyProtection="1">
      <alignment horizontal="center" vertical="center"/>
      <protection locked="0"/>
    </xf>
    <xf numFmtId="0" fontId="48" fillId="21" borderId="18" xfId="0" applyFont="1" applyFill="1" applyBorder="1" applyAlignment="1">
      <alignment horizontal="left" vertical="center"/>
    </xf>
    <xf numFmtId="167" fontId="44" fillId="5" borderId="5" xfId="0" applyNumberFormat="1" applyFont="1" applyFill="1" applyBorder="1" applyAlignment="1">
      <alignment horizontal="right" vertical="center"/>
    </xf>
    <xf numFmtId="0" fontId="8" fillId="7" borderId="4" xfId="0" applyFont="1" applyFill="1" applyBorder="1" applyAlignment="1" applyProtection="1">
      <alignment horizontal="left" vertical="center" indent="1"/>
      <protection locked="0"/>
    </xf>
    <xf numFmtId="0" fontId="11" fillId="3" borderId="0" xfId="0" applyFont="1" applyFill="1" applyAlignment="1">
      <alignment horizontal="left" vertical="top" wrapText="1"/>
    </xf>
    <xf numFmtId="170" fontId="42" fillId="6" borderId="3" xfId="0" applyNumberFormat="1" applyFont="1" applyFill="1" applyBorder="1" applyAlignment="1" applyProtection="1">
      <alignment horizontal="center" vertical="center"/>
      <protection locked="0"/>
    </xf>
    <xf numFmtId="170" fontId="42" fillId="8" borderId="3" xfId="0" applyNumberFormat="1" applyFont="1" applyFill="1" applyBorder="1" applyAlignment="1" applyProtection="1">
      <alignment horizontal="center" vertical="center"/>
      <protection locked="0"/>
    </xf>
    <xf numFmtId="164" fontId="8" fillId="9" borderId="3" xfId="0" applyNumberFormat="1" applyFont="1" applyFill="1" applyBorder="1" applyAlignment="1">
      <alignment horizontal="center" vertical="center"/>
    </xf>
    <xf numFmtId="0" fontId="49" fillId="19" borderId="15" xfId="0" applyFont="1" applyFill="1" applyBorder="1" applyAlignment="1">
      <alignment horizontal="left" vertical="center"/>
    </xf>
    <xf numFmtId="0" fontId="42" fillId="8" borderId="3" xfId="0" applyFont="1" applyFill="1" applyBorder="1" applyAlignment="1">
      <alignment horizontal="center" vertical="center"/>
    </xf>
    <xf numFmtId="170" fontId="42" fillId="8" borderId="3" xfId="0" applyNumberFormat="1" applyFont="1" applyFill="1" applyBorder="1" applyAlignment="1">
      <alignment horizontal="center" vertical="center"/>
    </xf>
    <xf numFmtId="0" fontId="50" fillId="8" borderId="3" xfId="0" applyFont="1" applyFill="1" applyBorder="1" applyAlignment="1" applyProtection="1">
      <alignment horizontal="center" vertical="center"/>
      <protection locked="0"/>
    </xf>
    <xf numFmtId="0" fontId="50" fillId="6" borderId="3" xfId="0" applyFont="1" applyFill="1" applyBorder="1" applyAlignment="1" applyProtection="1">
      <alignment horizontal="center" vertical="center"/>
      <protection locked="0"/>
    </xf>
    <xf numFmtId="170" fontId="44" fillId="5" borderId="5" xfId="0" applyNumberFormat="1" applyFont="1" applyFill="1" applyBorder="1" applyAlignment="1">
      <alignment horizontal="right" vertical="center"/>
    </xf>
    <xf numFmtId="0" fontId="51" fillId="17" borderId="13" xfId="0" applyFont="1" applyFill="1" applyBorder="1" applyAlignment="1">
      <alignment horizontal="left" vertical="center"/>
    </xf>
    <xf numFmtId="169" fontId="43" fillId="8" borderId="3" xfId="0" applyNumberFormat="1" applyFont="1" applyFill="1" applyBorder="1" applyAlignment="1">
      <alignment horizontal="right" vertical="center"/>
    </xf>
    <xf numFmtId="169" fontId="42" fillId="8" borderId="3" xfId="0" applyNumberFormat="1" applyFont="1" applyFill="1" applyBorder="1" applyAlignment="1" applyProtection="1">
      <alignment horizontal="right" vertical="center"/>
      <protection locked="0"/>
    </xf>
    <xf numFmtId="169" fontId="42" fillId="6" borderId="3" xfId="0" applyNumberFormat="1" applyFont="1" applyFill="1" applyBorder="1" applyAlignment="1" applyProtection="1">
      <alignment horizontal="right" vertical="center"/>
      <protection locked="0"/>
    </xf>
    <xf numFmtId="0" fontId="7" fillId="6" borderId="3" xfId="0" applyFont="1" applyFill="1" applyBorder="1" applyAlignment="1">
      <alignment horizontal="left" vertical="top" indent="1" wrapText="1"/>
    </xf>
    <xf numFmtId="0" fontId="27" fillId="7" borderId="20" xfId="0" applyFont="1" applyFill="1" applyBorder="1" applyAlignment="1">
      <alignment horizontal="center" vertical="center"/>
    </xf>
    <xf numFmtId="0" fontId="10" fillId="6" borderId="0" xfId="0" applyFont="1" applyFill="1" applyAlignment="1">
      <alignment horizontal="left" vertical="center" indent="1"/>
    </xf>
    <xf numFmtId="0" fontId="36" fillId="9" borderId="16" xfId="0" applyFont="1" applyFill="1" applyBorder="1" applyAlignment="1">
      <alignment horizontal="center" vertical="center"/>
    </xf>
    <xf numFmtId="0" fontId="52" fillId="21" borderId="18" xfId="0" applyFont="1" applyFill="1" applyBorder="1" applyAlignment="1">
      <alignment horizontal="center" vertical="center"/>
    </xf>
    <xf numFmtId="0" fontId="53" fillId="6" borderId="3" xfId="0" applyFont="1" applyFill="1" applyBorder="1" applyAlignment="1">
      <alignment horizontal="left" vertical="center" indent="1"/>
    </xf>
    <xf numFmtId="164" fontId="54" fillId="13" borderId="9" xfId="0" applyNumberFormat="1" applyFont="1" applyFill="1" applyBorder="1" applyAlignment="1">
      <alignment horizontal="center" vertical="center"/>
    </xf>
    <xf numFmtId="164" fontId="44" fillId="4" borderId="2" xfId="0" applyNumberFormat="1" applyFont="1" applyFill="1" applyBorder="1" applyAlignment="1">
      <alignment horizontal="right" vertical="center"/>
    </xf>
    <xf numFmtId="1" fontId="44" fillId="4" borderId="2" xfId="0" applyNumberFormat="1" applyFont="1" applyFill="1" applyBorder="1" applyAlignment="1">
      <alignment horizontal="center" vertical="center"/>
    </xf>
    <xf numFmtId="164" fontId="55" fillId="9" borderId="3" xfId="0" applyNumberFormat="1" applyFont="1" applyFill="1" applyBorder="1" applyAlignment="1">
      <alignment horizontal="center" vertical="center"/>
    </xf>
    <xf numFmtId="166" fontId="55" fillId="9" borderId="3" xfId="0" applyNumberFormat="1" applyFont="1" applyFill="1" applyBorder="1" applyAlignment="1">
      <alignment horizontal="center" vertical="center"/>
    </xf>
    <xf numFmtId="0" fontId="56" fillId="4" borderId="2" xfId="0" applyFont="1" applyFill="1" applyBorder="1" applyAlignment="1">
      <alignment horizontal="left" vertical="center" indent="1"/>
    </xf>
    <xf numFmtId="164" fontId="57" fillId="4" borderId="2" xfId="0" applyNumberFormat="1" applyFont="1" applyFill="1" applyBorder="1" applyAlignment="1">
      <alignment horizontal="center" vertical="center"/>
    </xf>
    <xf numFmtId="0" fontId="58" fillId="5" borderId="0" xfId="0" applyFont="1" applyFill="1" applyAlignment="1">
      <alignment horizontal="left" vertical="center" indent="1"/>
    </xf>
    <xf numFmtId="0" fontId="42" fillId="6" borderId="3" xfId="0" applyFont="1" applyFill="1" applyBorder="1" applyAlignment="1">
      <alignment horizontal="left" vertical="center" indent="1"/>
    </xf>
    <xf numFmtId="0" fontId="9" fillId="6" borderId="3" xfId="0" applyFont="1" applyFill="1" applyBorder="1" applyAlignment="1">
      <alignment horizontal="center" vertical="center"/>
    </xf>
    <xf numFmtId="0" fontId="42" fillId="8" borderId="3" xfId="0" applyFont="1" applyFill="1" applyBorder="1" applyAlignment="1">
      <alignment horizontal="left" vertical="center" indent="1"/>
    </xf>
    <xf numFmtId="0" fontId="9" fillId="8" borderId="3" xfId="0" applyFont="1" applyFill="1" applyBorder="1" applyAlignment="1">
      <alignment horizontal="center" vertical="center"/>
    </xf>
    <xf numFmtId="0" fontId="58" fillId="13" borderId="0" xfId="0" applyFont="1" applyFill="1" applyAlignment="1">
      <alignment horizontal="left" vertical="center" indent="1"/>
    </xf>
    <xf numFmtId="0" fontId="58" fillId="4" borderId="0" xfId="0" applyFont="1" applyFill="1" applyAlignment="1">
      <alignment horizontal="left" vertical="center" indent="1"/>
    </xf>
    <xf numFmtId="0" fontId="58" fillId="11" borderId="0" xfId="0" applyFont="1" applyFill="1" applyAlignment="1">
      <alignment horizontal="left" vertical="center" indent="1"/>
    </xf>
    <xf numFmtId="0" fontId="59" fillId="3" borderId="0" xfId="0" applyFont="1" applyFill="1" applyAlignment="1">
      <alignment horizontal="left" vertical="center"/>
    </xf>
    <xf numFmtId="0" fontId="11" fillId="3" borderId="0" xfId="0" applyFont="1" applyFill="1" applyAlignment="1">
      <alignment horizontal="right" vertical="center"/>
    </xf>
    <xf numFmtId="0" fontId="44" fillId="5" borderId="5" xfId="0" applyFont="1" applyFill="1" applyBorder="1" applyAlignment="1">
      <alignment horizontal="left" vertical="center" indent="1"/>
    </xf>
    <xf numFmtId="0" fontId="60" fillId="6" borderId="3" xfId="0" applyFont="1" applyFill="1" applyBorder="1" applyAlignment="1">
      <alignment horizontal="left" vertical="center" indent="1"/>
    </xf>
    <xf numFmtId="168" fontId="7" fillId="6" borderId="3" xfId="0" applyNumberFormat="1" applyFont="1" applyFill="1" applyBorder="1" applyAlignment="1">
      <alignment horizontal="center" vertical="center"/>
    </xf>
    <xf numFmtId="0" fontId="7" fillId="6" borderId="3" xfId="0" applyFont="1" applyFill="1" applyBorder="1" applyAlignment="1">
      <alignment horizontal="center" vertical="center"/>
    </xf>
    <xf numFmtId="164" fontId="61" fillId="6" borderId="3" xfId="0" applyNumberFormat="1" applyFont="1" applyFill="1" applyBorder="1" applyAlignment="1">
      <alignment horizontal="right" vertical="center" indent="1"/>
    </xf>
    <xf numFmtId="0" fontId="46" fillId="9" borderId="3" xfId="0" applyFont="1" applyFill="1" applyBorder="1" applyAlignment="1">
      <alignment horizontal="left" vertical="center" indent="1"/>
    </xf>
    <xf numFmtId="164" fontId="62" fillId="9" borderId="3" xfId="0" applyNumberFormat="1" applyFont="1" applyFill="1" applyBorder="1" applyAlignment="1">
      <alignment horizontal="right" vertical="center" indent="1"/>
    </xf>
    <xf numFmtId="0" fontId="46" fillId="7" borderId="3" xfId="0" applyFont="1" applyFill="1" applyBorder="1" applyAlignment="1">
      <alignment horizontal="left" vertical="center" indent="1"/>
    </xf>
    <xf numFmtId="164" fontId="62" fillId="7" borderId="3" xfId="0" applyNumberFormat="1" applyFont="1" applyFill="1" applyBorder="1" applyAlignment="1">
      <alignment horizontal="right" vertical="center" indent="1"/>
    </xf>
    <xf numFmtId="0" fontId="54" fillId="13" borderId="9" xfId="0" applyFont="1" applyFill="1" applyBorder="1" applyAlignment="1">
      <alignment horizontal="center" vertical="center"/>
    </xf>
    <xf numFmtId="0" fontId="42" fillId="6" borderId="3" xfId="0" applyFont="1" applyFill="1" applyBorder="1" applyAlignment="1" applyProtection="1">
      <alignment horizontal="left" vertical="center" indent="1"/>
      <protection locked="0"/>
    </xf>
    <xf numFmtId="0" fontId="11" fillId="3" borderId="23" xfId="0" applyFont="1" applyFill="1" applyBorder="1" applyAlignment="1">
      <alignment horizontal="center"/>
    </xf>
    <xf numFmtId="0" fontId="63" fillId="3" borderId="0" xfId="0" applyFont="1" applyFill="1" applyAlignment="1">
      <alignment horizontal="center" vertical="center"/>
    </xf>
    <xf numFmtId="0" fontId="42" fillId="3" borderId="0" xfId="0" applyFont="1" applyFill="1" applyAlignment="1">
      <alignment vertical="center"/>
    </xf>
    <xf numFmtId="0" fontId="64" fillId="3" borderId="0" xfId="0" applyFont="1" applyFill="1" applyAlignment="1">
      <alignment horizontal="center" vertical="center"/>
    </xf>
    <xf numFmtId="0" fontId="65" fillId="3" borderId="0" xfId="0" applyFont="1" applyFill="1" applyAlignment="1">
      <alignment horizontal="center" vertical="center"/>
    </xf>
    <xf numFmtId="0" fontId="56" fillId="4" borderId="0" xfId="0" applyFont="1" applyFill="1" applyAlignment="1">
      <alignment horizontal="center" vertical="center"/>
    </xf>
    <xf numFmtId="0" fontId="66" fillId="3" borderId="0" xfId="0" applyFont="1" applyFill="1" applyAlignment="1">
      <alignment horizontal="left" vertical="center" indent="1"/>
    </xf>
    <xf numFmtId="0" fontId="42" fillId="3" borderId="0" xfId="0" applyFont="1" applyFill="1" applyAlignment="1">
      <alignment horizontal="left" vertical="center" wrapText="1"/>
    </xf>
    <xf numFmtId="0" fontId="11" fillId="3" borderId="0" xfId="0" applyFont="1" applyFill="1" applyAlignment="1">
      <alignment horizontal="left" vertical="center" indent="1"/>
    </xf>
    <xf numFmtId="0" fontId="56" fillId="11" borderId="0" xfId="0" applyFont="1" applyFill="1" applyAlignment="1">
      <alignment horizontal="center" vertical="center"/>
    </xf>
    <xf numFmtId="0" fontId="42" fillId="6" borderId="3" xfId="0" applyFont="1" applyFill="1" applyBorder="1" applyAlignment="1">
      <alignment horizontal="left" vertical="center" wrapText="1"/>
    </xf>
  </cellXfs>
  <cellStyles count="1">
    <cellStyle name="Normal" xfId="0" builtinId="0"/>
  </cellStyles>
  <dxfs count="18">
    <dxf>
      <font>
        <b/>
        <color rgb="FFAC2F2F"/>
      </font>
      <fill>
        <patternFill>
          <bgColor rgb="FFF7E2E0"/>
        </patternFill>
      </fill>
      <border>
        <left style="thin">
          <color rgb="FFE3D9C6"/>
        </left>
        <right style="thin">
          <color rgb="FFE3D9C6"/>
        </right>
        <top style="thin">
          <color rgb="FFE3D9C6"/>
        </top>
        <bottom style="thin">
          <color rgb="FFE3D9C6"/>
        </bottom>
        <vertical/>
        <horizontal/>
      </border>
    </dxf>
    <dxf>
      <font>
        <b/>
        <color rgb="FFB4761A"/>
      </font>
      <fill>
        <patternFill>
          <bgColor rgb="FFFBF0D9"/>
        </patternFill>
      </fill>
      <border>
        <left style="thin">
          <color rgb="FFE3D9C6"/>
        </left>
        <right style="thin">
          <color rgb="FFE3D9C6"/>
        </right>
        <top style="thin">
          <color rgb="FFE3D9C6"/>
        </top>
        <bottom style="thin">
          <color rgb="FFE3D9C6"/>
        </bottom>
        <vertical/>
        <horizontal/>
      </border>
    </dxf>
    <dxf>
      <font>
        <b/>
        <color rgb="FF4C7A4C"/>
      </font>
      <fill>
        <patternFill>
          <bgColor rgb="FFE2EEE0"/>
        </patternFill>
      </fill>
      <border>
        <left style="thin">
          <color rgb="FFE3D9C6"/>
        </left>
        <right style="thin">
          <color rgb="FFE3D9C6"/>
        </right>
        <top style="thin">
          <color rgb="FFE3D9C6"/>
        </top>
        <bottom style="thin">
          <color rgb="FFE3D9C6"/>
        </bottom>
        <vertical/>
        <horizontal/>
      </border>
    </dxf>
    <dxf>
      <font>
        <b/>
        <color rgb="FFA9822B"/>
      </font>
      <fill>
        <patternFill>
          <bgColor rgb="FFF6EED7"/>
        </patternFill>
      </fill>
    </dxf>
    <dxf>
      <font>
        <b/>
        <color rgb="FFAC2F2F"/>
      </font>
      <fill>
        <patternFill>
          <bgColor rgb="FFF7E2E0"/>
        </patternFill>
      </fill>
    </dxf>
    <dxf>
      <font>
        <b/>
        <color rgb="FFB4761A"/>
      </font>
      <fill>
        <patternFill>
          <bgColor rgb="FFFBF0D9"/>
        </patternFill>
      </fill>
    </dxf>
    <dxf>
      <font>
        <b/>
        <color rgb="FF3F6E8C"/>
      </font>
      <fill>
        <patternFill>
          <bgColor rgb="FFE2ECF3"/>
        </patternFill>
      </fill>
      <border>
        <left style="thin">
          <color rgb="FFE3D9C6"/>
        </left>
        <right style="thin">
          <color rgb="FFE3D9C6"/>
        </right>
        <top style="thin">
          <color rgb="FFE3D9C6"/>
        </top>
        <bottom style="thin">
          <color rgb="FFE3D9C6"/>
        </bottom>
        <vertical/>
        <horizontal/>
      </border>
    </dxf>
    <dxf>
      <font>
        <b/>
        <color rgb="FF7A5273"/>
      </font>
      <fill>
        <patternFill>
          <bgColor rgb="FFF0E6EE"/>
        </patternFill>
      </fill>
      <border>
        <left style="thin">
          <color rgb="FFE3D9C6"/>
        </left>
        <right style="thin">
          <color rgb="FFE3D9C6"/>
        </right>
        <top style="thin">
          <color rgb="FFE3D9C6"/>
        </top>
        <bottom style="thin">
          <color rgb="FFE3D9C6"/>
        </bottom>
        <vertical/>
        <horizontal/>
      </border>
    </dxf>
    <dxf>
      <font>
        <b/>
        <color rgb="FF4B3626"/>
      </font>
      <fill>
        <patternFill>
          <bgColor rgb="FFEDE6DA"/>
        </patternFill>
      </fill>
      <border>
        <left style="thin">
          <color rgb="FFE3D9C6"/>
        </left>
        <right style="thin">
          <color rgb="FFE3D9C6"/>
        </right>
        <top style="thin">
          <color rgb="FFE3D9C6"/>
        </top>
        <bottom style="thin">
          <color rgb="FFE3D9C6"/>
        </bottom>
        <vertical/>
        <horizontal/>
      </border>
    </dxf>
    <dxf>
      <font>
        <b/>
        <color rgb="FF2E241A"/>
      </font>
      <fill>
        <patternFill>
          <bgColor rgb="FFF6EED7"/>
        </patternFill>
      </fill>
    </dxf>
    <dxf>
      <font>
        <strike/>
        <color rgb="FF8B7C6B"/>
      </font>
    </dxf>
    <dxf>
      <font>
        <b/>
        <color rgb="FFFFFFFF"/>
      </font>
      <fill>
        <patternFill>
          <bgColor rgb="FF4C7A4C"/>
        </patternFill>
      </fill>
    </dxf>
    <dxf>
      <font>
        <b/>
        <color rgb="FF4C7A4C"/>
      </font>
      <fill>
        <patternFill>
          <bgColor rgb="FFE2EEE0"/>
        </patternFill>
      </fill>
    </dxf>
    <dxf>
      <font>
        <b/>
        <color rgb="FF4C7A4C"/>
      </font>
      <fill>
        <patternFill>
          <bgColor rgb="FFE2EEE0"/>
        </patternFill>
      </fill>
      <border>
        <left style="thin">
          <color rgb="FFE3D9C6"/>
        </left>
        <right style="thin">
          <color rgb="FFE3D9C6"/>
        </right>
        <top style="thin">
          <color rgb="FFE3D9C6"/>
        </top>
        <bottom style="thin">
          <color rgb="FFE3D9C6"/>
        </bottom>
        <vertical/>
        <horizontal/>
      </border>
    </dxf>
    <dxf>
      <font>
        <b/>
        <color rgb="FF2E241A"/>
      </font>
      <fill>
        <patternFill>
          <bgColor rgb="FFF6EED7"/>
        </patternFill>
      </fill>
      <border>
        <left style="thin">
          <color rgb="FFA9822B"/>
        </left>
        <right style="thin">
          <color rgb="FFA9822B"/>
        </right>
        <top style="thin">
          <color rgb="FFA9822B"/>
        </top>
        <bottom style="thin">
          <color rgb="FFA9822B"/>
        </bottom>
        <vertical/>
        <horizontal/>
      </border>
    </dxf>
    <dxf>
      <font>
        <b/>
        <color rgb="FFFFFFFF"/>
      </font>
      <fill>
        <patternFill>
          <bgColor rgb="FFAC2F2F"/>
        </patternFill>
      </fill>
    </dxf>
    <dxf>
      <font>
        <b/>
        <color rgb="FFFFFFFF"/>
      </font>
      <fill>
        <patternFill>
          <bgColor rgb="FF4C7A4C"/>
        </patternFill>
      </fill>
    </dxf>
    <dxf>
      <font>
        <b/>
        <color rgb="FFFFFFFF"/>
      </font>
      <fill>
        <patternFill>
          <bgColor rgb="FFB4652F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4B3626"/>
                </a:solidFill>
                <a:latin typeface="Georgia"/>
              </a:defRPr>
            </a:pPr>
            <a:r>
              <a:rPr lang="en-US" sz="1200" b="1" baseline="0">
                <a:solidFill>
                  <a:srgbClr val="4B3626"/>
                </a:solidFill>
                <a:latin typeface="Georgia"/>
              </a:rPr>
              <a:t>Money by month (reporting year on Setup)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Cash in</c:v>
          </c:tx>
          <c:spPr>
            <a:solidFill>
              <a:srgbClr val="4B3626"/>
            </a:solidFill>
            <a:ln>
              <a:solidFill>
                <a:srgbClr val="4B3626"/>
              </a:solidFill>
            </a:ln>
          </c:spPr>
          <c:cat>
            <c:strRef>
              <c:f>'_Data'!$H$2:$H$13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'_Data'!$I$2:$I$13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Expenses</c:v>
          </c:tx>
          <c:spPr>
            <a:solidFill>
              <a:srgbClr val="B4652F"/>
            </a:solidFill>
            <a:ln>
              <a:solidFill>
                <a:srgbClr val="B4652F"/>
              </a:solidFill>
            </a:ln>
          </c:spPr>
          <c:cat>
            <c:strRef>
              <c:f>'_Data'!$H$2:$H$13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'_Data'!$J$2:$J$13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60"/>
        <c:axId val="50010001"/>
        <c:axId val="50010002"/>
      </c:barChart>
      <c:lineChart>
        <c:grouping val="standard"/>
        <c:ser>
          <c:idx val="2"/>
          <c:order val="2"/>
          <c:tx>
            <c:v>Profit</c:v>
          </c:tx>
          <c:spPr>
            <a:ln w="31750">
              <a:solidFill>
                <a:srgbClr val="4C7A4C"/>
              </a:solidFill>
            </a:ln>
          </c:spPr>
          <c:marker>
            <c:symbol val="circle"/>
            <c:size val="5"/>
            <c:spPr>
              <a:solidFill>
                <a:srgbClr val="4C7A4C"/>
              </a:solidFill>
            </c:spPr>
          </c:marker>
          <c:cat>
            <c:strRef>
              <c:f>'_Data'!$H$2:$H$13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'_Data'!$K$2:$K$13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ckLblPos val="nextTo"/>
        <c:txPr>
          <a:bodyPr/>
          <a:lstStyle/>
          <a:p>
            <a:pPr>
              <a:defRPr sz="900" baseline="0"/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>
          <c:spPr>
            <a:ln>
              <a:solidFill>
                <a:srgbClr val="E3D9C6"/>
              </a:solidFill>
            </a:ln>
          </c:spPr>
        </c:majorGridlines>
        <c:numFmt formatCode="#,##0" sourceLinked="0"/>
        <c:tickLblPos val="nextTo"/>
        <c:txPr>
          <a:bodyPr/>
          <a:lstStyle/>
          <a:p>
            <a:pPr>
              <a:defRPr sz="900" baseline="0"/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/>
          </a:pPr>
          <a:endParaRPr lang="en-US"/>
        </a:p>
      </c:txPr>
    </c:legend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4B3626"/>
                </a:solidFill>
                <a:latin typeface="Georgia"/>
              </a:defRPr>
            </a:pPr>
            <a:r>
              <a:rPr lang="en-US" sz="1200" b="1" baseline="0">
                <a:solidFill>
                  <a:srgbClr val="4B3626"/>
                </a:solidFill>
                <a:latin typeface="Georgia"/>
              </a:rPr>
              <a:t>Where the money goes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Expenses</c:v>
          </c:tx>
          <c:dPt>
            <c:idx val="0"/>
            <c:spPr>
              <a:solidFill>
                <a:srgbClr val="4B3626"/>
              </a:solidFill>
            </c:spPr>
          </c:dPt>
          <c:dPt>
            <c:idx val="1"/>
            <c:spPr>
              <a:solidFill>
                <a:srgbClr val="B4652F"/>
              </a:solidFill>
            </c:spPr>
          </c:dPt>
          <c:dPt>
            <c:idx val="2"/>
            <c:spPr>
              <a:solidFill>
                <a:srgbClr val="A9822B"/>
              </a:solidFill>
            </c:spPr>
          </c:dPt>
          <c:dPt>
            <c:idx val="3"/>
            <c:spPr>
              <a:solidFill>
                <a:srgbClr val="3F6E8C"/>
              </a:solidFill>
            </c:spPr>
          </c:dPt>
          <c:dPt>
            <c:idx val="4"/>
            <c:spPr>
              <a:solidFill>
                <a:srgbClr val="7A5273"/>
              </a:solidFill>
            </c:spPr>
          </c:dPt>
          <c:dPt>
            <c:idx val="5"/>
            <c:spPr>
              <a:solidFill>
                <a:srgbClr val="4C7A4C"/>
              </a:solidFill>
            </c:spPr>
          </c:dPt>
          <c:dPt>
            <c:idx val="6"/>
            <c:spPr>
              <a:solidFill>
                <a:srgbClr val="7A5C43"/>
              </a:solidFill>
            </c:spPr>
          </c:dPt>
          <c:dPt>
            <c:idx val="7"/>
            <c:spPr>
              <a:solidFill>
                <a:srgbClr val="B4761A"/>
              </a:solidFill>
            </c:spPr>
          </c:dPt>
          <c:dPt>
            <c:idx val="8"/>
            <c:spPr>
              <a:solidFill>
                <a:srgbClr val="AC2F2F"/>
              </a:solidFill>
            </c:spPr>
          </c:dPt>
          <c:dPt>
            <c:idx val="9"/>
            <c:spPr>
              <a:solidFill>
                <a:srgbClr val="8C7B6B"/>
              </a:solidFill>
            </c:spPr>
          </c:dPt>
          <c:dPt>
            <c:idx val="10"/>
            <c:spPr>
              <a:solidFill>
                <a:srgbClr val="6B8C7B"/>
              </a:solidFill>
            </c:spPr>
          </c:dPt>
          <c:dLbls>
            <c:txPr>
              <a:bodyPr/>
              <a:lstStyle/>
              <a:p>
                <a:pPr>
                  <a:defRPr sz="800"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Percent val="1"/>
          </c:dLbls>
          <c:cat>
            <c:strRef>
              <c:f>'_Data'!$N$2:$N$12</c:f>
              <c:strCache>
                <c:ptCount val="11"/>
                <c:pt idx="0">
                  <c:v>Ingredients</c:v>
                </c:pt>
                <c:pt idx="1">
                  <c:v>Packaging</c:v>
                </c:pt>
                <c:pt idx="2">
                  <c:v>Staff / Labor</c:v>
                </c:pt>
                <c:pt idx="3">
                  <c:v>Transportation</c:v>
                </c:pt>
                <c:pt idx="4">
                  <c:v>Equipment</c:v>
                </c:pt>
                <c:pt idx="5">
                  <c:v>Kitchen Rental</c:v>
                </c:pt>
                <c:pt idx="6">
                  <c:v>Marketing</c:v>
                </c:pt>
                <c:pt idx="7">
                  <c:v>Insurance</c:v>
                </c:pt>
                <c:pt idx="8">
                  <c:v>Utilities</c:v>
                </c:pt>
                <c:pt idx="9">
                  <c:v>Software</c:v>
                </c:pt>
                <c:pt idx="10">
                  <c:v>Miscellaneous</c:v>
                </c:pt>
              </c:strCache>
            </c:strRef>
          </c:cat>
          <c:val>
            <c:numRef>
              <c:f>'_Data'!$O$2:$O$12</c:f>
              <c:numCache>
                <c:formatCode>General</c:formatCode>
                <c:ptCount val="11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</c:numCache>
            </c:numRef>
          </c:val>
        </c:ser>
        <c:firstSliceAng val="0"/>
        <c:holeSize val="58"/>
      </c:doughnutChart>
    </c:plotArea>
    <c:legend>
      <c:legendPos val="r"/>
      <c:layout/>
      <c:txPr>
        <a:bodyPr/>
        <a:lstStyle/>
        <a:p>
          <a:pPr rtl="0">
            <a:defRPr sz="800" baseline="0"/>
          </a:pPr>
          <a:endParaRPr lang="en-US"/>
        </a:p>
      </c:txPr>
    </c:legend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4B3626"/>
                </a:solidFill>
                <a:latin typeface="Georgia"/>
              </a:defRPr>
            </a:pPr>
            <a:r>
              <a:rPr lang="en-US" sz="1200" b="1" baseline="0">
                <a:solidFill>
                  <a:srgbClr val="4B3626"/>
                </a:solidFill>
                <a:latin typeface="Georgia"/>
              </a:rPr>
              <a:t>Event pipeline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Pipeline</c:v>
          </c:tx>
          <c:dPt>
            <c:idx val="0"/>
            <c:spPr>
              <a:solidFill>
                <a:srgbClr val="3F6E8C"/>
              </a:solidFill>
            </c:spPr>
          </c:dPt>
          <c:dPt>
            <c:idx val="1"/>
            <c:spPr>
              <a:solidFill>
                <a:srgbClr val="7A5273"/>
              </a:solidFill>
            </c:spPr>
          </c:dPt>
          <c:dPt>
            <c:idx val="2"/>
            <c:spPr>
              <a:solidFill>
                <a:srgbClr val="B4761A"/>
              </a:solidFill>
            </c:spPr>
          </c:dPt>
          <c:dPt>
            <c:idx val="3"/>
            <c:spPr>
              <a:solidFill>
                <a:srgbClr val="4B3626"/>
              </a:solidFill>
            </c:spPr>
          </c:dPt>
          <c:dPt>
            <c:idx val="4"/>
            <c:spPr>
              <a:solidFill>
                <a:srgbClr val="4C7A4C"/>
              </a:solidFill>
            </c:spPr>
          </c:dPt>
          <c:dPt>
            <c:idx val="5"/>
            <c:spPr>
              <a:solidFill>
                <a:srgbClr val="AC2F2F"/>
              </a:solidFill>
            </c:spPr>
          </c:dPt>
          <c:dLbls>
            <c:txPr>
              <a:bodyPr/>
              <a:lstStyle/>
              <a:p>
                <a:pPr>
                  <a:defRPr sz="900"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Val val="1"/>
          </c:dLbls>
          <c:cat>
            <c:strRef>
              <c:f>'_Data'!$N$28:$N$33</c:f>
              <c:strCache>
                <c:ptCount val="6"/>
                <c:pt idx="0">
                  <c:v>💬 Inquiry</c:v>
                </c:pt>
                <c:pt idx="1">
                  <c:v>📝 Quote Sent</c:v>
                </c:pt>
                <c:pt idx="2">
                  <c:v>💰 Deposit Paid</c:v>
                </c:pt>
                <c:pt idx="3">
                  <c:v>✅ Confirmed</c:v>
                </c:pt>
                <c:pt idx="4">
                  <c:v>🎉 Completed</c:v>
                </c:pt>
                <c:pt idx="5">
                  <c:v>❌ Cancelled</c:v>
                </c:pt>
              </c:strCache>
            </c:strRef>
          </c:cat>
          <c:val>
            <c:numRef>
              <c:f>'_Data'!$O$28:$O$33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firstSliceAng val="0"/>
        <c:holeSize val="58"/>
      </c:doughnutChart>
    </c:plotArea>
    <c:legend>
      <c:legendPos val="r"/>
      <c:layout/>
      <c:txPr>
        <a:bodyPr/>
        <a:lstStyle/>
        <a:p>
          <a:pPr rtl="0">
            <a:defRPr sz="800" baseline="0"/>
          </a:pPr>
          <a:endParaRPr lang="en-US"/>
        </a:p>
      </c:txPr>
    </c:legend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4B3626"/>
                </a:solidFill>
                <a:latin typeface="Georgia"/>
              </a:defRPr>
            </a:pPr>
            <a:r>
              <a:rPr lang="en-US" sz="1200" b="1" baseline="0">
                <a:solidFill>
                  <a:srgbClr val="4B3626"/>
                </a:solidFill>
                <a:latin typeface="Georgia"/>
              </a:rPr>
              <a:t>Revenue by event type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Booked value</c:v>
          </c:tx>
          <c:spPr>
            <a:solidFill>
              <a:srgbClr val="A9822B"/>
            </a:solidFill>
            <a:ln>
              <a:solidFill>
                <a:srgbClr val="A9822B"/>
              </a:solidFill>
            </a:ln>
          </c:spPr>
          <c:cat>
            <c:strRef>
              <c:f>'_Data'!$N$16:$N$24</c:f>
              <c:strCache>
                <c:ptCount val="9"/>
                <c:pt idx="0">
                  <c:v>Wedding</c:v>
                </c:pt>
                <c:pt idx="1">
                  <c:v>Corporate</c:v>
                </c:pt>
                <c:pt idx="2">
                  <c:v>Birthday</c:v>
                </c:pt>
                <c:pt idx="3">
                  <c:v>Private Party</c:v>
                </c:pt>
                <c:pt idx="4">
                  <c:v>Buffet</c:v>
                </c:pt>
                <c:pt idx="5">
                  <c:v>Cocktail</c:v>
                </c:pt>
                <c:pt idx="6">
                  <c:v>Conference</c:v>
                </c:pt>
                <c:pt idx="7">
                  <c:v>Festival</c:v>
                </c:pt>
                <c:pt idx="8">
                  <c:v>Other</c:v>
                </c:pt>
              </c:strCache>
            </c:strRef>
          </c:cat>
          <c:val>
            <c:numRef>
              <c:f>'_Data'!$O$16:$O$24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gapWidth val="45"/>
        <c:axId val="50040001"/>
        <c:axId val="50040002"/>
      </c:barChart>
      <c:catAx>
        <c:axId val="50040001"/>
        <c:scaling>
          <c:orientation val="minMax"/>
        </c:scaling>
        <c:axPos val="l"/>
        <c:tickLblPos val="low"/>
        <c:txPr>
          <a:bodyPr/>
          <a:lstStyle/>
          <a:p>
            <a:pPr>
              <a:defRPr sz="800" baseline="0"/>
            </a:pPr>
            <a:endParaRPr lang="en-US"/>
          </a:p>
        </c:txPr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b"/>
        <c:majorGridlines>
          <c:spPr>
            <a:ln>
              <a:solidFill>
                <a:srgbClr val="E3D9C6"/>
              </a:solidFill>
            </a:ln>
          </c:spPr>
        </c:majorGridlines>
        <c:numFmt formatCode="#,##0" sourceLinked="0"/>
        <c:tickLblPos val="nextTo"/>
        <c:txPr>
          <a:bodyPr/>
          <a:lstStyle/>
          <a:p>
            <a:pPr>
              <a:defRPr sz="900" baseline="0"/>
            </a:pPr>
            <a:endParaRPr lang="en-US"/>
          </a:p>
        </c:txPr>
        <c:crossAx val="50040001"/>
        <c:crosses val="autoZero"/>
        <c:crossBetween val="between"/>
      </c:valAx>
    </c:plotArea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4B3626"/>
                </a:solidFill>
                <a:latin typeface="Calibri"/>
              </a:defRPr>
            </a:pPr>
            <a:r>
              <a:rPr lang="en-US" sz="1200" b="1" baseline="0">
                <a:solidFill>
                  <a:srgbClr val="4B3626"/>
                </a:solidFill>
                <a:latin typeface="Calibri"/>
              </a:rPr>
              <a:t>Cash in vs expenses vs profit, by month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Cash in</c:v>
          </c:tx>
          <c:spPr>
            <a:solidFill>
              <a:srgbClr val="4B3626"/>
            </a:solidFill>
            <a:ln>
              <a:solidFill>
                <a:srgbClr val="4B3626"/>
              </a:solidFill>
            </a:ln>
          </c:spPr>
          <c:cat>
            <c:strRef>
              <c:f>'📈 P&amp;L &amp; Reports'!$B$19:$B$30</c:f>
              <c:strCache>
                <c:ptCount val="12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</c:strCache>
            </c:strRef>
          </c:cat>
          <c:val>
            <c:numRef>
              <c:f>'📈 P&amp;L &amp; Reports'!$C$19:$C$30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Expenses</c:v>
          </c:tx>
          <c:spPr>
            <a:solidFill>
              <a:srgbClr val="B4652F"/>
            </a:solidFill>
            <a:ln>
              <a:solidFill>
                <a:srgbClr val="B4652F"/>
              </a:solidFill>
            </a:ln>
          </c:spPr>
          <c:cat>
            <c:strRef>
              <c:f>'📈 P&amp;L &amp; Reports'!$B$19:$B$30</c:f>
              <c:strCache>
                <c:ptCount val="12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</c:strCache>
            </c:strRef>
          </c:cat>
          <c:val>
            <c:numRef>
              <c:f>'📈 P&amp;L &amp; Reports'!$D$19:$D$30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60"/>
        <c:axId val="50050001"/>
        <c:axId val="50050002"/>
      </c:barChart>
      <c:lineChart>
        <c:grouping val="standard"/>
        <c:ser>
          <c:idx val="2"/>
          <c:order val="2"/>
          <c:tx>
            <c:v>Profit</c:v>
          </c:tx>
          <c:spPr>
            <a:ln w="31750">
              <a:solidFill>
                <a:srgbClr val="4C7A4C"/>
              </a:solidFill>
            </a:ln>
          </c:spPr>
          <c:marker>
            <c:symbol val="circle"/>
            <c:size val="5"/>
            <c:spPr>
              <a:solidFill>
                <a:srgbClr val="4C7A4C"/>
              </a:solidFill>
            </c:spPr>
          </c:marker>
          <c:cat>
            <c:strRef>
              <c:f>'📈 P&amp;L &amp; Reports'!$B$19:$B$30</c:f>
              <c:strCache>
                <c:ptCount val="12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</c:strCache>
            </c:strRef>
          </c:cat>
          <c:val>
            <c:numRef>
              <c:f>'📈 P&amp;L &amp; Reports'!$E$19:$E$30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marker val="1"/>
        <c:axId val="50050001"/>
        <c:axId val="50050002"/>
      </c:lineChart>
      <c:catAx>
        <c:axId val="50050001"/>
        <c:scaling>
          <c:orientation val="minMax"/>
        </c:scaling>
        <c:axPos val="b"/>
        <c:tickLblPos val="nextTo"/>
        <c:txPr>
          <a:bodyPr/>
          <a:lstStyle/>
          <a:p>
            <a:pPr>
              <a:defRPr sz="900" baseline="0"/>
            </a:pPr>
            <a:endParaRPr lang="en-US"/>
          </a:p>
        </c:txPr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>
          <c:spPr>
            <a:ln>
              <a:solidFill>
                <a:srgbClr val="E3D9C6"/>
              </a:solidFill>
            </a:ln>
          </c:spPr>
        </c:majorGridlines>
        <c:numFmt formatCode="#,##0" sourceLinked="0"/>
        <c:tickLblPos val="nextTo"/>
        <c:txPr>
          <a:bodyPr/>
          <a:lstStyle/>
          <a:p>
            <a:pPr>
              <a:defRPr sz="900" baseline="0"/>
            </a:pPr>
            <a:endParaRPr lang="en-US"/>
          </a:p>
        </c:txPr>
        <c:crossAx val="5005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/>
          </a:pPr>
          <a:endParaRPr lang="en-US"/>
        </a:p>
      </c:txPr>
    </c:legend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4B3626"/>
                </a:solidFill>
                <a:latin typeface="Georgia"/>
              </a:defRPr>
            </a:pPr>
            <a:r>
              <a:rPr lang="en-US" sz="1200" b="1" baseline="0">
                <a:solidFill>
                  <a:srgbClr val="4B3626"/>
                </a:solidFill>
                <a:latin typeface="Georgia"/>
              </a:rPr>
              <a:t>Revenue by event type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Booked value</c:v>
          </c:tx>
          <c:spPr>
            <a:solidFill>
              <a:srgbClr val="A9822B"/>
            </a:solidFill>
            <a:ln>
              <a:solidFill>
                <a:srgbClr val="A9822B"/>
              </a:solidFill>
            </a:ln>
          </c:spPr>
          <c:dLbls>
            <c:numFmt formatCode="#,##0" sourceLinked="0"/>
            <c:txPr>
              <a:bodyPr/>
              <a:lstStyle/>
              <a:p>
                <a:pPr>
                  <a:defRPr sz="800" baseline="0">
                    <a:solidFill>
                      <a:srgbClr val="2E241A"/>
                    </a:solidFill>
                  </a:defRPr>
                </a:pPr>
                <a:endParaRPr lang="en-US"/>
              </a:p>
            </c:txPr>
            <c:showVal val="1"/>
          </c:dLbls>
          <c:cat>
            <c:strRef>
              <c:f>'📈 P&amp;L &amp; Reports'!$H$19:$H$27</c:f>
              <c:strCache>
                <c:ptCount val="9"/>
                <c:pt idx="0">
                  <c:v>Wedding</c:v>
                </c:pt>
                <c:pt idx="1">
                  <c:v>Corporate</c:v>
                </c:pt>
                <c:pt idx="2">
                  <c:v>Birthday</c:v>
                </c:pt>
                <c:pt idx="3">
                  <c:v>Private Party</c:v>
                </c:pt>
                <c:pt idx="4">
                  <c:v>Buffet</c:v>
                </c:pt>
                <c:pt idx="5">
                  <c:v>Cocktail</c:v>
                </c:pt>
                <c:pt idx="6">
                  <c:v>Conference</c:v>
                </c:pt>
                <c:pt idx="7">
                  <c:v>Festival</c:v>
                </c:pt>
                <c:pt idx="8">
                  <c:v>Other</c:v>
                </c:pt>
              </c:strCache>
            </c:strRef>
          </c:cat>
          <c:val>
            <c:numRef>
              <c:f>'📈 P&amp;L &amp; Reports'!$I$19:$I$27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gapWidth val="45"/>
        <c:axId val="50060001"/>
        <c:axId val="50060002"/>
      </c:barChart>
      <c:catAx>
        <c:axId val="50060001"/>
        <c:scaling>
          <c:orientation val="minMax"/>
        </c:scaling>
        <c:axPos val="l"/>
        <c:tickLblPos val="low"/>
        <c:txPr>
          <a:bodyPr/>
          <a:lstStyle/>
          <a:p>
            <a:pPr>
              <a:defRPr sz="900" baseline="0"/>
            </a:pPr>
            <a:endParaRPr lang="en-US"/>
          </a:p>
        </c:txPr>
        <c:crossAx val="50060002"/>
        <c:crosses val="autoZero"/>
        <c:auto val="1"/>
        <c:lblAlgn val="ctr"/>
        <c:lblOffset val="100"/>
      </c:catAx>
      <c:valAx>
        <c:axId val="50060002"/>
        <c:scaling>
          <c:orientation val="minMax"/>
        </c:scaling>
        <c:axPos val="b"/>
        <c:majorGridlines>
          <c:spPr>
            <a:ln>
              <a:solidFill>
                <a:srgbClr val="E3D9C6"/>
              </a:solidFill>
            </a:ln>
          </c:spPr>
        </c:majorGridlines>
        <c:numFmt formatCode="#,##0" sourceLinked="0"/>
        <c:tickLblPos val="nextTo"/>
        <c:txPr>
          <a:bodyPr/>
          <a:lstStyle/>
          <a:p>
            <a:pPr>
              <a:defRPr sz="900" baseline="0"/>
            </a:pPr>
            <a:endParaRPr lang="en-US"/>
          </a:p>
        </c:txPr>
        <c:crossAx val="50060001"/>
        <c:crosses val="autoZero"/>
        <c:crossBetween val="between"/>
      </c:valAx>
    </c:plotArea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76200</xdr:colOff>
      <xdr:row>17</xdr:row>
      <xdr:rowOff>57150</xdr:rowOff>
    </xdr:from>
    <xdr:to>
      <xdr:col>6</xdr:col>
      <xdr:colOff>790575</xdr:colOff>
      <xdr:row>31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76200</xdr:colOff>
      <xdr:row>17</xdr:row>
      <xdr:rowOff>57150</xdr:rowOff>
    </xdr:from>
    <xdr:to>
      <xdr:col>12</xdr:col>
      <xdr:colOff>790575</xdr:colOff>
      <xdr:row>31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76200</xdr:colOff>
      <xdr:row>33</xdr:row>
      <xdr:rowOff>57150</xdr:rowOff>
    </xdr:from>
    <xdr:to>
      <xdr:col>6</xdr:col>
      <xdr:colOff>790575</xdr:colOff>
      <xdr:row>47</xdr:row>
      <xdr:rowOff>104775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76200</xdr:colOff>
      <xdr:row>33</xdr:row>
      <xdr:rowOff>57150</xdr:rowOff>
    </xdr:from>
    <xdr:to>
      <xdr:col>12</xdr:col>
      <xdr:colOff>790575</xdr:colOff>
      <xdr:row>47</xdr:row>
      <xdr:rowOff>104775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57150</xdr:colOff>
      <xdr:row>41</xdr:row>
      <xdr:rowOff>57150</xdr:rowOff>
    </xdr:from>
    <xdr:to>
      <xdr:col>7</xdr:col>
      <xdr:colOff>1276350</xdr:colOff>
      <xdr:row>56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57150</xdr:colOff>
      <xdr:row>41</xdr:row>
      <xdr:rowOff>57150</xdr:rowOff>
    </xdr:from>
    <xdr:to>
      <xdr:col>13</xdr:col>
      <xdr:colOff>238125</xdr:colOff>
      <xdr:row>56</xdr:row>
      <xdr:rowOff>57150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9</xdr:col>
      <xdr:colOff>542925</xdr:colOff>
      <xdr:row>7</xdr:row>
      <xdr:rowOff>50006</xdr:rowOff>
    </xdr:to>
    <xdr:pic>
      <xdr:nvPicPr>
        <xdr:cNvPr id="2" name="Picture 1" descr="banner_classic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0" y="85725"/>
          <a:ext cx="8191500" cy="15359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8B7C6B"/>
  </sheetPr>
  <dimension ref="H1:AF101"/>
  <sheetViews>
    <sheetView showGridLines="0" workbookViewId="0"/>
  </sheetViews>
  <sheetFormatPr defaultRowHeight="15"/>
  <cols>
    <col min="1" max="1" width="14.7109375" customWidth="1"/>
    <col min="2" max="7" width="2.7109375" customWidth="1"/>
    <col min="8" max="8" width="10.7109375" customWidth="1"/>
    <col min="9" max="12" width="12.7109375" customWidth="1"/>
    <col min="13" max="13" width="2.7109375" customWidth="1"/>
    <col min="14" max="14" width="20.7109375" customWidth="1"/>
    <col min="15" max="15" width="12.7109375" customWidth="1"/>
    <col min="16" max="16" width="2.7109375" customWidth="1"/>
    <col min="17" max="17" width="22.7109375" customWidth="1"/>
    <col min="18" max="18" width="12.7109375" customWidth="1"/>
    <col min="19" max="19" width="2.7109375" customWidth="1"/>
    <col min="20" max="20" width="26.7109375" customWidth="1"/>
    <col min="21" max="21" width="9.7109375" customWidth="1"/>
    <col min="22" max="26" width="2.7109375" customWidth="1"/>
    <col min="27" max="27" width="11.7109375" customWidth="1"/>
    <col min="28" max="28" width="40.7109375" customWidth="1"/>
    <col min="29" max="29" width="13.7109375" customWidth="1"/>
    <col min="30" max="30" width="2.7109375" customWidth="1"/>
    <col min="31" max="31" width="32.7109375" customWidth="1"/>
    <col min="32" max="32" width="14.7109375" customWidth="1"/>
  </cols>
  <sheetData>
    <row r="1" spans="8:32">
      <c r="H1" s="1" t="s">
        <v>0</v>
      </c>
      <c r="I1" s="1" t="s">
        <v>1</v>
      </c>
      <c r="J1" s="1" t="s">
        <v>2</v>
      </c>
      <c r="K1" s="1" t="s">
        <v>3</v>
      </c>
      <c r="L1" s="1" t="s">
        <v>4</v>
      </c>
      <c r="N1" s="1" t="s">
        <v>17</v>
      </c>
      <c r="O1" s="1" t="s">
        <v>18</v>
      </c>
      <c r="AA1" s="1" t="s">
        <v>52</v>
      </c>
      <c r="AB1" s="1" t="s">
        <v>53</v>
      </c>
      <c r="AC1" s="1" t="s">
        <v>54</v>
      </c>
      <c r="AE1" s="1" t="s">
        <v>58</v>
      </c>
      <c r="AF1" s="1" t="s">
        <v>59</v>
      </c>
    </row>
    <row r="2" spans="8:32">
      <c r="H2" s="2" t="s">
        <v>5</v>
      </c>
      <c r="I2" s="3">
        <f>SUMIFS('💰 Payments'!$J$8:$J$67,'💰 Payments'!$E$8:$E$67,"&gt;="&amp;DATE(ReportYear,1,1),'💰 Payments'!$E$8:$E$67,"&lt;"&amp;DATE(ReportYear,2,1))</f>
        <v>0</v>
      </c>
      <c r="J2" s="3">
        <f>SUMIFS('💸 Expenses'!$G$8:$G$67,'💸 Expenses'!$C$8:$C$67,"&gt;="&amp;DATE(ReportYear,1,1),'💸 Expenses'!$C$8:$C$67,"&lt;"&amp;DATE(ReportYear,2,1))</f>
        <v>0</v>
      </c>
      <c r="K2" s="3">
        <f>I2-J2</f>
        <v>0</v>
      </c>
      <c r="L2" s="4">
        <f>COUNTIFS('📅 Events'!$E$8:$E$47,"&gt;="&amp;DATE(ReportYear,1,1),'📅 Events'!$E$8:$E$47,"&lt;"&amp;DATE(ReportYear,2,1),'📅 Events'!$C$8:$C$47,"&lt;&gt;")</f>
        <v>0</v>
      </c>
      <c r="N2" s="2" t="s">
        <v>19</v>
      </c>
      <c r="O2" s="3">
        <f>SUMIF('💸 Expenses'!$E$8:$E$67,$N2,'💸 Expenses'!$G$8:$G$67)</f>
        <v>0.0</v>
      </c>
      <c r="AA2" s="5">
        <f>IF(AND('📅 Events'!$E$8&lt;&gt;"",'📅 Events'!$E$8&gt;=TODAY(),'📅 Events'!$Q$8&lt;&gt;"❌ Cancelled",'📅 Events'!$Q$8&lt;&gt;"🎉 Completed"),'📅 Events'!$E$8,"")</f>
        <v/>
      </c>
      <c r="AB2" s="2">
        <f>IF($AA2="","",'📅 Events'!$D$8&amp;" • "&amp;'📅 Events'!$F$8)</f>
        <v/>
      </c>
      <c r="AC2" s="2">
        <f>IF($AA2="","",'📅 Events'!$Q$8)</f>
        <v/>
      </c>
      <c r="AE2" s="2" t="s">
        <v>60</v>
      </c>
      <c r="AF2" s="4">
        <f>SUM('💰 Payments'!$J$8:$J$67)</f>
        <v>0</v>
      </c>
    </row>
    <row r="3" spans="8:32">
      <c r="H3" s="2" t="s">
        <v>6</v>
      </c>
      <c r="I3" s="3">
        <f>SUMIFS('💰 Payments'!$J$8:$J$67,'💰 Payments'!$E$8:$E$67,"&gt;="&amp;DATE(ReportYear,2,1),'💰 Payments'!$E$8:$E$67,"&lt;"&amp;DATE(ReportYear,3,1))</f>
        <v>0</v>
      </c>
      <c r="J3" s="3">
        <f>SUMIFS('💸 Expenses'!$G$8:$G$67,'💸 Expenses'!$C$8:$C$67,"&gt;="&amp;DATE(ReportYear,2,1),'💸 Expenses'!$C$8:$C$67,"&lt;"&amp;DATE(ReportYear,3,1))</f>
        <v>0</v>
      </c>
      <c r="K3" s="3">
        <f>I3-J3</f>
        <v>0</v>
      </c>
      <c r="L3" s="4">
        <f>COUNTIFS('📅 Events'!$E$8:$E$47,"&gt;="&amp;DATE(ReportYear,2,1),'📅 Events'!$E$8:$E$47,"&lt;"&amp;DATE(ReportYear,3,1),'📅 Events'!$C$8:$C$47,"&lt;&gt;")</f>
        <v>0</v>
      </c>
      <c r="N3" s="2" t="s">
        <v>20</v>
      </c>
      <c r="O3" s="3">
        <f>SUMIF('💸 Expenses'!$E$8:$E$67,$N3,'💸 Expenses'!$G$8:$G$67)</f>
        <v>0.0</v>
      </c>
      <c r="AA3" s="5">
        <f>IF(AND('📅 Events'!$E$9&lt;&gt;"",'📅 Events'!$E$9&gt;=TODAY(),'📅 Events'!$Q$9&lt;&gt;"❌ Cancelled",'📅 Events'!$Q$9&lt;&gt;"🎉 Completed"),'📅 Events'!$E$9,"")</f>
        <v/>
      </c>
      <c r="AB3" s="2">
        <f>IF($AA3="","",'📅 Events'!$D$9&amp;" • "&amp;'📅 Events'!$F$9)</f>
        <v/>
      </c>
      <c r="AC3" s="2">
        <f>IF($AA3="","",'📅 Events'!$Q$9)</f>
        <v/>
      </c>
      <c r="AE3" s="2" t="s">
        <v>61</v>
      </c>
      <c r="AF3" s="4">
        <f>SUM('💸 Expenses'!$G$8:$G$67)</f>
        <v>0</v>
      </c>
    </row>
    <row r="4" spans="8:32">
      <c r="H4" s="2" t="s">
        <v>7</v>
      </c>
      <c r="I4" s="3">
        <f>SUMIFS('💰 Payments'!$J$8:$J$67,'💰 Payments'!$E$8:$E$67,"&gt;="&amp;DATE(ReportYear,3,1),'💰 Payments'!$E$8:$E$67,"&lt;"&amp;DATE(ReportYear,4,1))</f>
        <v>0</v>
      </c>
      <c r="J4" s="3">
        <f>SUMIFS('💸 Expenses'!$G$8:$G$67,'💸 Expenses'!$C$8:$C$67,"&gt;="&amp;DATE(ReportYear,3,1),'💸 Expenses'!$C$8:$C$67,"&lt;"&amp;DATE(ReportYear,4,1))</f>
        <v>0</v>
      </c>
      <c r="K4" s="3">
        <f>I4-J4</f>
        <v>0</v>
      </c>
      <c r="L4" s="4">
        <f>COUNTIFS('📅 Events'!$E$8:$E$47,"&gt;="&amp;DATE(ReportYear,3,1),'📅 Events'!$E$8:$E$47,"&lt;"&amp;DATE(ReportYear,4,1),'📅 Events'!$C$8:$C$47,"&lt;&gt;")</f>
        <v>0</v>
      </c>
      <c r="N4" s="2" t="s">
        <v>21</v>
      </c>
      <c r="O4" s="3">
        <f>SUMIF('💸 Expenses'!$E$8:$E$67,$N4,'💸 Expenses'!$G$8:$G$67)</f>
        <v>0.0</v>
      </c>
      <c r="AA4" s="5">
        <f>IF(AND('📅 Events'!$E$10&lt;&gt;"",'📅 Events'!$E$10&gt;=TODAY(),'📅 Events'!$Q$10&lt;&gt;"❌ Cancelled",'📅 Events'!$Q$10&lt;&gt;"🎉 Completed"),'📅 Events'!$E$10,"")</f>
        <v/>
      </c>
      <c r="AB4" s="2">
        <f>IF($AA4="","",'📅 Events'!$D$10&amp;" • "&amp;'📅 Events'!$F$10)</f>
        <v/>
      </c>
      <c r="AC4" s="2">
        <f>IF($AA4="","",'📅 Events'!$Q$10)</f>
        <v/>
      </c>
      <c r="AE4" s="2" t="s">
        <v>62</v>
      </c>
      <c r="AF4" s="4">
        <f>$AF$2-$AF$3</f>
        <v>0</v>
      </c>
    </row>
    <row r="5" spans="8:32">
      <c r="H5" s="2" t="s">
        <v>8</v>
      </c>
      <c r="I5" s="3">
        <f>SUMIFS('💰 Payments'!$J$8:$J$67,'💰 Payments'!$E$8:$E$67,"&gt;="&amp;DATE(ReportYear,4,1),'💰 Payments'!$E$8:$E$67,"&lt;"&amp;DATE(ReportYear,5,1))</f>
        <v>0</v>
      </c>
      <c r="J5" s="3">
        <f>SUMIFS('💸 Expenses'!$G$8:$G$67,'💸 Expenses'!$C$8:$C$67,"&gt;="&amp;DATE(ReportYear,4,1),'💸 Expenses'!$C$8:$C$67,"&lt;"&amp;DATE(ReportYear,5,1))</f>
        <v>0</v>
      </c>
      <c r="K5" s="3">
        <f>I5-J5</f>
        <v>0</v>
      </c>
      <c r="L5" s="4">
        <f>COUNTIFS('📅 Events'!$E$8:$E$47,"&gt;="&amp;DATE(ReportYear,4,1),'📅 Events'!$E$8:$E$47,"&lt;"&amp;DATE(ReportYear,5,1),'📅 Events'!$C$8:$C$47,"&lt;&gt;")</f>
        <v>0</v>
      </c>
      <c r="N5" s="2" t="s">
        <v>22</v>
      </c>
      <c r="O5" s="3">
        <f>SUMIF('💸 Expenses'!$E$8:$E$67,$N5,'💸 Expenses'!$G$8:$G$67)</f>
        <v>0.0</v>
      </c>
      <c r="AA5" s="5">
        <f>IF(AND('📅 Events'!$E$11&lt;&gt;"",'📅 Events'!$E$11&gt;=TODAY(),'📅 Events'!$Q$11&lt;&gt;"❌ Cancelled",'📅 Events'!$Q$11&lt;&gt;"🎉 Completed"),'📅 Events'!$E$11,"")</f>
        <v/>
      </c>
      <c r="AB5" s="2">
        <f>IF($AA5="","",'📅 Events'!$D$11&amp;" • "&amp;'📅 Events'!$F$11)</f>
        <v/>
      </c>
      <c r="AC5" s="2">
        <f>IF($AA5="","",'📅 Events'!$Q$11)</f>
        <v/>
      </c>
      <c r="AE5" s="2" t="s">
        <v>63</v>
      </c>
      <c r="AF5" s="6">
        <f>IFERROR($AF$4/$AF$2,0)</f>
        <v>0</v>
      </c>
    </row>
    <row r="6" spans="8:32">
      <c r="H6" s="2" t="s">
        <v>9</v>
      </c>
      <c r="I6" s="3">
        <f>SUMIFS('💰 Payments'!$J$8:$J$67,'💰 Payments'!$E$8:$E$67,"&gt;="&amp;DATE(ReportYear,5,1),'💰 Payments'!$E$8:$E$67,"&lt;"&amp;DATE(ReportYear,6,1))</f>
        <v>0</v>
      </c>
      <c r="J6" s="3">
        <f>SUMIFS('💸 Expenses'!$G$8:$G$67,'💸 Expenses'!$C$8:$C$67,"&gt;="&amp;DATE(ReportYear,5,1),'💸 Expenses'!$C$8:$C$67,"&lt;"&amp;DATE(ReportYear,6,1))</f>
        <v>0</v>
      </c>
      <c r="K6" s="3">
        <f>I6-J6</f>
        <v>0</v>
      </c>
      <c r="L6" s="4">
        <f>COUNTIFS('📅 Events'!$E$8:$E$47,"&gt;="&amp;DATE(ReportYear,5,1),'📅 Events'!$E$8:$E$47,"&lt;"&amp;DATE(ReportYear,6,1),'📅 Events'!$C$8:$C$47,"&lt;&gt;")</f>
        <v>0</v>
      </c>
      <c r="N6" s="2" t="s">
        <v>23</v>
      </c>
      <c r="O6" s="3">
        <f>SUMIF('💸 Expenses'!$E$8:$E$67,$N6,'💸 Expenses'!$G$8:$G$67)</f>
        <v>0.0</v>
      </c>
      <c r="AA6" s="5">
        <f>IF(AND('📅 Events'!$E$12&lt;&gt;"",'📅 Events'!$E$12&gt;=TODAY(),'📅 Events'!$Q$12&lt;&gt;"❌ Cancelled",'📅 Events'!$Q$12&lt;&gt;"🎉 Completed"),'📅 Events'!$E$12,"")</f>
        <v/>
      </c>
      <c r="AB6" s="2">
        <f>IF($AA6="","",'📅 Events'!$D$12&amp;" • "&amp;'📅 Events'!$F$12)</f>
        <v/>
      </c>
      <c r="AC6" s="2">
        <f>IF($AA6="","",'📅 Events'!$Q$12)</f>
        <v/>
      </c>
      <c r="AE6" s="2" t="s">
        <v>64</v>
      </c>
      <c r="AF6" s="4">
        <f>COUNTA('📅 Events'!$C$8:$C$47)</f>
        <v>0</v>
      </c>
    </row>
    <row r="7" spans="8:32">
      <c r="H7" s="2" t="s">
        <v>10</v>
      </c>
      <c r="I7" s="3">
        <f>SUMIFS('💰 Payments'!$J$8:$J$67,'💰 Payments'!$E$8:$E$67,"&gt;="&amp;DATE(ReportYear,6,1),'💰 Payments'!$E$8:$E$67,"&lt;"&amp;DATE(ReportYear,7,1))</f>
        <v>0</v>
      </c>
      <c r="J7" s="3">
        <f>SUMIFS('💸 Expenses'!$G$8:$G$67,'💸 Expenses'!$C$8:$C$67,"&gt;="&amp;DATE(ReportYear,6,1),'💸 Expenses'!$C$8:$C$67,"&lt;"&amp;DATE(ReportYear,7,1))</f>
        <v>0</v>
      </c>
      <c r="K7" s="3">
        <f>I7-J7</f>
        <v>0</v>
      </c>
      <c r="L7" s="4">
        <f>COUNTIFS('📅 Events'!$E$8:$E$47,"&gt;="&amp;DATE(ReportYear,6,1),'📅 Events'!$E$8:$E$47,"&lt;"&amp;DATE(ReportYear,7,1),'📅 Events'!$C$8:$C$47,"&lt;&gt;")</f>
        <v>0</v>
      </c>
      <c r="N7" s="2" t="s">
        <v>24</v>
      </c>
      <c r="O7" s="3">
        <f>SUMIF('💸 Expenses'!$E$8:$E$67,$N7,'💸 Expenses'!$G$8:$G$67)</f>
        <v>0.0</v>
      </c>
      <c r="AA7" s="5">
        <f>IF(AND('📅 Events'!$E$13&lt;&gt;"",'📅 Events'!$E$13&gt;=TODAY(),'📅 Events'!$Q$13&lt;&gt;"❌ Cancelled",'📅 Events'!$Q$13&lt;&gt;"🎉 Completed"),'📅 Events'!$E$13,"")</f>
        <v/>
      </c>
      <c r="AB7" s="2">
        <f>IF($AA7="","",'📅 Events'!$D$13&amp;" • "&amp;'📅 Events'!$F$13)</f>
        <v/>
      </c>
      <c r="AC7" s="2">
        <f>IF($AA7="","",'📅 Events'!$Q$13)</f>
        <v/>
      </c>
      <c r="AE7" s="2" t="s">
        <v>65</v>
      </c>
      <c r="AF7" s="4">
        <f>COUNTIF('📅 Events'!$Q$8:$Q$47,"🎉 Completed")</f>
        <v>0</v>
      </c>
    </row>
    <row r="8" spans="8:32">
      <c r="H8" s="2" t="s">
        <v>11</v>
      </c>
      <c r="I8" s="3">
        <f>SUMIFS('💰 Payments'!$J$8:$J$67,'💰 Payments'!$E$8:$E$67,"&gt;="&amp;DATE(ReportYear,7,1),'💰 Payments'!$E$8:$E$67,"&lt;"&amp;DATE(ReportYear,8,1))</f>
        <v>0</v>
      </c>
      <c r="J8" s="3">
        <f>SUMIFS('💸 Expenses'!$G$8:$G$67,'💸 Expenses'!$C$8:$C$67,"&gt;="&amp;DATE(ReportYear,7,1),'💸 Expenses'!$C$8:$C$67,"&lt;"&amp;DATE(ReportYear,8,1))</f>
        <v>0</v>
      </c>
      <c r="K8" s="3">
        <f>I8-J8</f>
        <v>0</v>
      </c>
      <c r="L8" s="4">
        <f>COUNTIFS('📅 Events'!$E$8:$E$47,"&gt;="&amp;DATE(ReportYear,7,1),'📅 Events'!$E$8:$E$47,"&lt;"&amp;DATE(ReportYear,8,1),'📅 Events'!$C$8:$C$47,"&lt;&gt;")</f>
        <v>0</v>
      </c>
      <c r="N8" s="2" t="s">
        <v>25</v>
      </c>
      <c r="O8" s="3">
        <f>SUMIF('💸 Expenses'!$E$8:$E$67,$N8,'💸 Expenses'!$G$8:$G$67)</f>
        <v>0.0</v>
      </c>
      <c r="AA8" s="5">
        <f>IF(AND('📅 Events'!$E$14&lt;&gt;"",'📅 Events'!$E$14&gt;=TODAY(),'📅 Events'!$Q$14&lt;&gt;"❌ Cancelled",'📅 Events'!$Q$14&lt;&gt;"🎉 Completed"),'📅 Events'!$E$14,"")</f>
        <v/>
      </c>
      <c r="AB8" s="2">
        <f>IF($AA8="","",'📅 Events'!$D$14&amp;" • "&amp;'📅 Events'!$F$14)</f>
        <v/>
      </c>
      <c r="AC8" s="2">
        <f>IF($AA8="","",'📅 Events'!$Q$14)</f>
        <v/>
      </c>
      <c r="AE8" s="2" t="s">
        <v>66</v>
      </c>
      <c r="AF8" s="4">
        <f>COUNTIF('📅 Events'!$Q$8:$Q$47,"💰 Deposit Paid")+COUNTIF('📅 Events'!$Q$8:$Q$47,"✅ Confirmed")</f>
        <v>0</v>
      </c>
    </row>
    <row r="9" spans="8:32">
      <c r="H9" s="2" t="s">
        <v>12</v>
      </c>
      <c r="I9" s="3">
        <f>SUMIFS('💰 Payments'!$J$8:$J$67,'💰 Payments'!$E$8:$E$67,"&gt;="&amp;DATE(ReportYear,8,1),'💰 Payments'!$E$8:$E$67,"&lt;"&amp;DATE(ReportYear,9,1))</f>
        <v>0</v>
      </c>
      <c r="J9" s="3">
        <f>SUMIFS('💸 Expenses'!$G$8:$G$67,'💸 Expenses'!$C$8:$C$67,"&gt;="&amp;DATE(ReportYear,8,1),'💸 Expenses'!$C$8:$C$67,"&lt;"&amp;DATE(ReportYear,9,1))</f>
        <v>0</v>
      </c>
      <c r="K9" s="3">
        <f>I9-J9</f>
        <v>0</v>
      </c>
      <c r="L9" s="4">
        <f>COUNTIFS('📅 Events'!$E$8:$E$47,"&gt;="&amp;DATE(ReportYear,8,1),'📅 Events'!$E$8:$E$47,"&lt;"&amp;DATE(ReportYear,9,1),'📅 Events'!$C$8:$C$47,"&lt;&gt;")</f>
        <v>0</v>
      </c>
      <c r="N9" s="2" t="s">
        <v>26</v>
      </c>
      <c r="O9" s="3">
        <f>SUMIF('💸 Expenses'!$E$8:$E$67,$N9,'💸 Expenses'!$G$8:$G$67)</f>
        <v>0.0</v>
      </c>
      <c r="AA9" s="5">
        <f>IF(AND('📅 Events'!$E$15&lt;&gt;"",'📅 Events'!$E$15&gt;=TODAY(),'📅 Events'!$Q$15&lt;&gt;"❌ Cancelled",'📅 Events'!$Q$15&lt;&gt;"🎉 Completed"),'📅 Events'!$E$15,"")</f>
        <v/>
      </c>
      <c r="AB9" s="2">
        <f>IF($AA9="","",'📅 Events'!$D$15&amp;" • "&amp;'📅 Events'!$F$15)</f>
        <v/>
      </c>
      <c r="AC9" s="2">
        <f>IF($AA9="","",'📅 Events'!$Q$15)</f>
        <v/>
      </c>
      <c r="AE9" s="2" t="s">
        <v>67</v>
      </c>
      <c r="AF9" s="4">
        <f>COUNTIF('📅 Events'!$Q$8:$Q$47,"❌ Cancelled")</f>
        <v>0</v>
      </c>
    </row>
    <row r="10" spans="8:32">
      <c r="H10" s="2" t="s">
        <v>13</v>
      </c>
      <c r="I10" s="3">
        <f>SUMIFS('💰 Payments'!$J$8:$J$67,'💰 Payments'!$E$8:$E$67,"&gt;="&amp;DATE(ReportYear,9,1),'💰 Payments'!$E$8:$E$67,"&lt;"&amp;DATE(ReportYear,10,1))</f>
        <v>0</v>
      </c>
      <c r="J10" s="3">
        <f>SUMIFS('💸 Expenses'!$G$8:$G$67,'💸 Expenses'!$C$8:$C$67,"&gt;="&amp;DATE(ReportYear,9,1),'💸 Expenses'!$C$8:$C$67,"&lt;"&amp;DATE(ReportYear,10,1))</f>
        <v>0</v>
      </c>
      <c r="K10" s="3">
        <f>I10-J10</f>
        <v>0</v>
      </c>
      <c r="L10" s="4">
        <f>COUNTIFS('📅 Events'!$E$8:$E$47,"&gt;="&amp;DATE(ReportYear,9,1),'📅 Events'!$E$8:$E$47,"&lt;"&amp;DATE(ReportYear,10,1),'📅 Events'!$C$8:$C$47,"&lt;&gt;")</f>
        <v>0</v>
      </c>
      <c r="N10" s="2" t="s">
        <v>27</v>
      </c>
      <c r="O10" s="3">
        <f>SUMIF('💸 Expenses'!$E$8:$E$67,$N10,'💸 Expenses'!$G$8:$G$67)</f>
        <v>0.0</v>
      </c>
      <c r="AA10" s="5">
        <f>IF(AND('📅 Events'!$E$16&lt;&gt;"",'📅 Events'!$E$16&gt;=TODAY(),'📅 Events'!$Q$16&lt;&gt;"❌ Cancelled",'📅 Events'!$Q$16&lt;&gt;"🎉 Completed"),'📅 Events'!$E$16,"")</f>
        <v/>
      </c>
      <c r="AB10" s="2">
        <f>IF($AA10="","",'📅 Events'!$D$16&amp;" • "&amp;'📅 Events'!$F$16)</f>
        <v/>
      </c>
      <c r="AC10" s="2">
        <f>IF($AA10="","",'📅 Events'!$Q$16)</f>
        <v/>
      </c>
      <c r="AE10" s="2" t="s">
        <v>68</v>
      </c>
      <c r="AF10" s="4">
        <f>IFERROR(AVERAGEIF('📅 Events'!$Q$8:$Q$47,"&lt;&gt;❌ Cancelled",'📅 Events'!$L$8:$L$47),0)</f>
        <v>0</v>
      </c>
    </row>
    <row r="11" spans="8:32">
      <c r="H11" s="2" t="s">
        <v>14</v>
      </c>
      <c r="I11" s="3">
        <f>SUMIFS('💰 Payments'!$J$8:$J$67,'💰 Payments'!$E$8:$E$67,"&gt;="&amp;DATE(ReportYear,10,1),'💰 Payments'!$E$8:$E$67,"&lt;"&amp;DATE(ReportYear,11,1))</f>
        <v>0</v>
      </c>
      <c r="J11" s="3">
        <f>SUMIFS('💸 Expenses'!$G$8:$G$67,'💸 Expenses'!$C$8:$C$67,"&gt;="&amp;DATE(ReportYear,10,1),'💸 Expenses'!$C$8:$C$67,"&lt;"&amp;DATE(ReportYear,11,1))</f>
        <v>0</v>
      </c>
      <c r="K11" s="3">
        <f>I11-J11</f>
        <v>0</v>
      </c>
      <c r="L11" s="4">
        <f>COUNTIFS('📅 Events'!$E$8:$E$47,"&gt;="&amp;DATE(ReportYear,10,1),'📅 Events'!$E$8:$E$47,"&lt;"&amp;DATE(ReportYear,11,1),'📅 Events'!$C$8:$C$47,"&lt;&gt;")</f>
        <v>0</v>
      </c>
      <c r="N11" s="2" t="s">
        <v>28</v>
      </c>
      <c r="O11" s="3">
        <f>SUMIF('💸 Expenses'!$E$8:$E$67,$N11,'💸 Expenses'!$G$8:$G$67)</f>
        <v>0.0</v>
      </c>
      <c r="AA11" s="5">
        <f>IF(AND('📅 Events'!$E$17&lt;&gt;"",'📅 Events'!$E$17&gt;=TODAY(),'📅 Events'!$Q$17&lt;&gt;"❌ Cancelled",'📅 Events'!$Q$17&lt;&gt;"🎉 Completed"),'📅 Events'!$E$17,"")</f>
        <v/>
      </c>
      <c r="AB11" s="2">
        <f>IF($AA11="","",'📅 Events'!$D$17&amp;" • "&amp;'📅 Events'!$F$17)</f>
        <v/>
      </c>
      <c r="AC11" s="2">
        <f>IF($AA11="","",'📅 Events'!$Q$17)</f>
        <v/>
      </c>
      <c r="AE11" s="2" t="s">
        <v>69</v>
      </c>
      <c r="AF11" s="4">
        <f>IFERROR(AVERAGEIF('📅 Events'!$Q$8:$Q$47,"&lt;&gt;❌ Cancelled",'📅 Events'!$G$8:$G$47),0)</f>
        <v>0</v>
      </c>
    </row>
    <row r="12" spans="8:32">
      <c r="H12" s="2" t="s">
        <v>15</v>
      </c>
      <c r="I12" s="3">
        <f>SUMIFS('💰 Payments'!$J$8:$J$67,'💰 Payments'!$E$8:$E$67,"&gt;="&amp;DATE(ReportYear,11,1),'💰 Payments'!$E$8:$E$67,"&lt;"&amp;DATE(ReportYear,12,1))</f>
        <v>0</v>
      </c>
      <c r="J12" s="3">
        <f>SUMIFS('💸 Expenses'!$G$8:$G$67,'💸 Expenses'!$C$8:$C$67,"&gt;="&amp;DATE(ReportYear,11,1),'💸 Expenses'!$C$8:$C$67,"&lt;"&amp;DATE(ReportYear,12,1))</f>
        <v>0</v>
      </c>
      <c r="K12" s="3">
        <f>I12-J12</f>
        <v>0</v>
      </c>
      <c r="L12" s="4">
        <f>COUNTIFS('📅 Events'!$E$8:$E$47,"&gt;="&amp;DATE(ReportYear,11,1),'📅 Events'!$E$8:$E$47,"&lt;"&amp;DATE(ReportYear,12,1),'📅 Events'!$C$8:$C$47,"&lt;&gt;")</f>
        <v>0</v>
      </c>
      <c r="N12" s="2" t="s">
        <v>29</v>
      </c>
      <c r="O12" s="3">
        <f>SUMIF('💸 Expenses'!$E$8:$E$67,$N12,'💸 Expenses'!$G$8:$G$67)</f>
        <v>0.0</v>
      </c>
      <c r="AA12" s="5">
        <f>IF(AND('📅 Events'!$E$18&lt;&gt;"",'📅 Events'!$E$18&gt;=TODAY(),'📅 Events'!$Q$18&lt;&gt;"❌ Cancelled",'📅 Events'!$Q$18&lt;&gt;"🎉 Completed"),'📅 Events'!$E$18,"")</f>
        <v/>
      </c>
      <c r="AB12" s="2">
        <f>IF($AA12="","",'📅 Events'!$D$18&amp;" • "&amp;'📅 Events'!$F$18)</f>
        <v/>
      </c>
      <c r="AC12" s="2">
        <f>IF($AA12="","",'📅 Events'!$Q$18)</f>
        <v/>
      </c>
      <c r="AE12" s="2" t="s">
        <v>70</v>
      </c>
      <c r="AF12" s="4">
        <f>IFERROR(AVERAGEIFS('📅 Events'!$M$8:$M$47,'📅 Events'!$Q$8:$Q$47,"&lt;&gt;❌ Cancelled"),0)</f>
        <v>0</v>
      </c>
    </row>
    <row r="13" spans="8:32">
      <c r="H13" s="2" t="s">
        <v>16</v>
      </c>
      <c r="I13" s="3">
        <f>SUMIFS('💰 Payments'!$J$8:$J$67,'💰 Payments'!$E$8:$E$67,"&gt;="&amp;DATE(ReportYear,12,1),'💰 Payments'!$E$8:$E$67,"&lt;"&amp;DATE(ReportYear+1,1,1))</f>
        <v>0</v>
      </c>
      <c r="J13" s="3">
        <f>SUMIFS('💸 Expenses'!$G$8:$G$67,'💸 Expenses'!$C$8:$C$67,"&gt;="&amp;DATE(ReportYear,12,1),'💸 Expenses'!$C$8:$C$67,"&lt;"&amp;DATE(ReportYear+1,1,1))</f>
        <v>0</v>
      </c>
      <c r="K13" s="3">
        <f>I13-J13</f>
        <v>0</v>
      </c>
      <c r="L13" s="4">
        <f>COUNTIFS('📅 Events'!$E$8:$E$47,"&gt;="&amp;DATE(ReportYear,12,1),'📅 Events'!$E$8:$E$47,"&lt;"&amp;DATE(ReportYear+1,1,1),'📅 Events'!$C$8:$C$47,"&lt;&gt;")</f>
        <v>0</v>
      </c>
      <c r="AA13" s="5">
        <f>IF(AND('📅 Events'!$E$19&lt;&gt;"",'📅 Events'!$E$19&gt;=TODAY(),'📅 Events'!$Q$19&lt;&gt;"❌ Cancelled",'📅 Events'!$Q$19&lt;&gt;"🎉 Completed"),'📅 Events'!$E$19,"")</f>
        <v/>
      </c>
      <c r="AB13" s="2">
        <f>IF($AA13="","",'📅 Events'!$D$19&amp;" • "&amp;'📅 Events'!$F$19)</f>
        <v/>
      </c>
      <c r="AC13" s="2">
        <f>IF($AA13="","",'📅 Events'!$Q$19)</f>
        <v/>
      </c>
      <c r="AE13" s="2" t="s">
        <v>71</v>
      </c>
      <c r="AF13" s="4">
        <f>SUMIF('📅 Events'!$Q$8:$Q$47,"🎉 Completed",'📅 Events'!$G$8:$G$47)</f>
        <v>0</v>
      </c>
    </row>
    <row r="14" spans="8:32">
      <c r="AA14" s="5">
        <f>IF(AND('📅 Events'!$E$20&lt;&gt;"",'📅 Events'!$E$20&gt;=TODAY(),'📅 Events'!$Q$20&lt;&gt;"❌ Cancelled",'📅 Events'!$Q$20&lt;&gt;"🎉 Completed"),'📅 Events'!$E$20,"")</f>
        <v/>
      </c>
      <c r="AB14" s="2">
        <f>IF($AA14="","",'📅 Events'!$D$20&amp;" • "&amp;'📅 Events'!$F$20)</f>
        <v/>
      </c>
      <c r="AC14" s="2">
        <f>IF($AA14="","",'📅 Events'!$Q$20)</f>
        <v/>
      </c>
      <c r="AE14" s="2" t="s">
        <v>72</v>
      </c>
      <c r="AF14" s="4">
        <f>SUMIF('💰 Payments'!$K$8:$K$67,"&gt;0")</f>
        <v>0</v>
      </c>
    </row>
    <row r="15" spans="8:32">
      <c r="N15" s="1" t="s">
        <v>30</v>
      </c>
      <c r="O15" s="1" t="s">
        <v>31</v>
      </c>
      <c r="AA15" s="5">
        <f>IF(AND('📅 Events'!$E$21&lt;&gt;"",'📅 Events'!$E$21&gt;=TODAY(),'📅 Events'!$Q$21&lt;&gt;"❌ Cancelled",'📅 Events'!$Q$21&lt;&gt;"🎉 Completed"),'📅 Events'!$E$21,"")</f>
        <v/>
      </c>
      <c r="AB15" s="2">
        <f>IF($AA15="","",'📅 Events'!$D$21&amp;" • "&amp;'📅 Events'!$F$21)</f>
        <v/>
      </c>
      <c r="AC15" s="2">
        <f>IF($AA15="","",'📅 Events'!$Q$21)</f>
        <v/>
      </c>
      <c r="AE15" s="2" t="s">
        <v>73</v>
      </c>
      <c r="AF15" s="4">
        <f>SUMPRODUCT(('💰 Payments'!$K$8:$K$67&gt;0)*('💰 Payments'!$L$8:$L$67&lt;&gt;"")*('💰 Payments'!$L$8:$L$67&lt;TODAY()))</f>
        <v>0</v>
      </c>
    </row>
    <row r="16" spans="8:32">
      <c r="N16" s="2" t="s">
        <v>32</v>
      </c>
      <c r="O16" s="3">
        <f>SUMIFS('📅 Events'!$L$8:$L$47,'📅 Events'!$F$8:$F$47,$N16,'📅 Events'!$Q$8:$Q$47,"&lt;&gt;❌ Cancelled")</f>
        <v>0</v>
      </c>
      <c r="AA16" s="5">
        <f>IF(AND('📅 Events'!$E$22&lt;&gt;"",'📅 Events'!$E$22&gt;=TODAY(),'📅 Events'!$Q$22&lt;&gt;"❌ Cancelled",'📅 Events'!$Q$22&lt;&gt;"🎉 Completed"),'📅 Events'!$E$22,"")</f>
        <v/>
      </c>
      <c r="AB16" s="2">
        <f>IF($AA16="","",'📅 Events'!$D$22&amp;" • "&amp;'📅 Events'!$F$22)</f>
        <v/>
      </c>
      <c r="AC16" s="2">
        <f>IF($AA16="","",'📅 Events'!$Q$22)</f>
        <v/>
      </c>
      <c r="AE16" s="2" t="s">
        <v>74</v>
      </c>
      <c r="AF16" s="4">
        <f>COUNTIF('💰 Payments'!$K$8:$K$67,"&gt;0")</f>
        <v>0</v>
      </c>
    </row>
    <row r="17" spans="14:32">
      <c r="N17" s="2" t="s">
        <v>33</v>
      </c>
      <c r="O17" s="3">
        <f>SUMIFS('📅 Events'!$L$8:$L$47,'📅 Events'!$F$8:$F$47,$N17,'📅 Events'!$Q$8:$Q$47,"&lt;&gt;❌ Cancelled")</f>
        <v>0</v>
      </c>
      <c r="AA17" s="5">
        <f>IF(AND('📅 Events'!$E$23&lt;&gt;"",'📅 Events'!$E$23&gt;=TODAY(),'📅 Events'!$Q$23&lt;&gt;"❌ Cancelled",'📅 Events'!$Q$23&lt;&gt;"🎉 Completed"),'📅 Events'!$E$23,"")</f>
        <v/>
      </c>
      <c r="AB17" s="2">
        <f>IF($AA17="","",'📅 Events'!$D$23&amp;" • "&amp;'📅 Events'!$F$23)</f>
        <v/>
      </c>
      <c r="AC17" s="2">
        <f>IF($AA17="","",'📅 Events'!$Q$23)</f>
        <v/>
      </c>
      <c r="AE17" s="2" t="s">
        <v>75</v>
      </c>
      <c r="AF17" s="4">
        <f>SUMIF('💸 Expenses'!$E$8:$E$67,"Ingredients",'💸 Expenses'!$G$8:$G$67)+SUMIF('💸 Expenses'!$E$8:$E$67,"Packaging",'💸 Expenses'!$G$8:$G$67)</f>
        <v>0</v>
      </c>
    </row>
    <row r="18" spans="14:32">
      <c r="N18" s="2" t="s">
        <v>34</v>
      </c>
      <c r="O18" s="3">
        <f>SUMIFS('📅 Events'!$L$8:$L$47,'📅 Events'!$F$8:$F$47,$N18,'📅 Events'!$Q$8:$Q$47,"&lt;&gt;❌ Cancelled")</f>
        <v>0</v>
      </c>
      <c r="AA18" s="5">
        <f>IF(AND('📅 Events'!$E$24&lt;&gt;"",'📅 Events'!$E$24&gt;=TODAY(),'📅 Events'!$Q$24&lt;&gt;"❌ Cancelled",'📅 Events'!$Q$24&lt;&gt;"🎉 Completed"),'📅 Events'!$E$24,"")</f>
        <v/>
      </c>
      <c r="AB18" s="2">
        <f>IF($AA18="","",'📅 Events'!$D$24&amp;" • "&amp;'📅 Events'!$F$24)</f>
        <v/>
      </c>
      <c r="AC18" s="2">
        <f>IF($AA18="","",'📅 Events'!$Q$24)</f>
        <v/>
      </c>
      <c r="AE18" s="2" t="s">
        <v>76</v>
      </c>
      <c r="AF18" s="4">
        <f>SUMIF('💸 Expenses'!$E$8:$E$67,"Staff / Labor",'💸 Expenses'!$G$8:$G$67)</f>
        <v>0</v>
      </c>
    </row>
    <row r="19" spans="14:32">
      <c r="N19" s="2" t="s">
        <v>35</v>
      </c>
      <c r="O19" s="3">
        <f>SUMIFS('📅 Events'!$L$8:$L$47,'📅 Events'!$F$8:$F$47,$N19,'📅 Events'!$Q$8:$Q$47,"&lt;&gt;❌ Cancelled")</f>
        <v>0</v>
      </c>
      <c r="AA19" s="5">
        <f>IF(AND('📅 Events'!$E$25&lt;&gt;"",'📅 Events'!$E$25&gt;=TODAY(),'📅 Events'!$Q$25&lt;&gt;"❌ Cancelled",'📅 Events'!$Q$25&lt;&gt;"🎉 Completed"),'📅 Events'!$E$25,"")</f>
        <v/>
      </c>
      <c r="AB19" s="2">
        <f>IF($AA19="","",'📅 Events'!$D$25&amp;" • "&amp;'📅 Events'!$F$25)</f>
        <v/>
      </c>
      <c r="AC19" s="2">
        <f>IF($AA19="","",'📅 Events'!$Q$25)</f>
        <v/>
      </c>
      <c r="AE19" s="2" t="s">
        <v>77</v>
      </c>
      <c r="AF19" s="6">
        <f>IFERROR($AF$17/$AF$2,0)</f>
        <v>0</v>
      </c>
    </row>
    <row r="20" spans="14:32">
      <c r="N20" s="2" t="s">
        <v>36</v>
      </c>
      <c r="O20" s="3">
        <f>SUMIFS('📅 Events'!$L$8:$L$47,'📅 Events'!$F$8:$F$47,$N20,'📅 Events'!$Q$8:$Q$47,"&lt;&gt;❌ Cancelled")</f>
        <v>0</v>
      </c>
      <c r="AA20" s="5">
        <f>IF(AND('📅 Events'!$E$26&lt;&gt;"",'📅 Events'!$E$26&gt;=TODAY(),'📅 Events'!$Q$26&lt;&gt;"❌ Cancelled",'📅 Events'!$Q$26&lt;&gt;"🎉 Completed"),'📅 Events'!$E$26,"")</f>
        <v/>
      </c>
      <c r="AB20" s="2">
        <f>IF($AA20="","",'📅 Events'!$D$26&amp;" • "&amp;'📅 Events'!$F$26)</f>
        <v/>
      </c>
      <c r="AC20" s="2">
        <f>IF($AA20="","",'📅 Events'!$Q$26)</f>
        <v/>
      </c>
      <c r="AE20" s="2" t="s">
        <v>78</v>
      </c>
      <c r="AF20" s="6">
        <f>IFERROR($AF$18/$AF$2,0)</f>
        <v>0</v>
      </c>
    </row>
    <row r="21" spans="14:32">
      <c r="N21" s="2" t="s">
        <v>37</v>
      </c>
      <c r="O21" s="3">
        <f>SUMIFS('📅 Events'!$L$8:$L$47,'📅 Events'!$F$8:$F$47,$N21,'📅 Events'!$Q$8:$Q$47,"&lt;&gt;❌ Cancelled")</f>
        <v>0</v>
      </c>
      <c r="AA21" s="5">
        <f>IF(AND('📅 Events'!$E$27&lt;&gt;"",'📅 Events'!$E$27&gt;=TODAY(),'📅 Events'!$Q$27&lt;&gt;"❌ Cancelled",'📅 Events'!$Q$27&lt;&gt;"🎉 Completed"),'📅 Events'!$E$27,"")</f>
        <v/>
      </c>
      <c r="AB21" s="2">
        <f>IF($AA21="","",'📅 Events'!$D$27&amp;" • "&amp;'📅 Events'!$F$27)</f>
        <v/>
      </c>
      <c r="AC21" s="2">
        <f>IF($AA21="","",'📅 Events'!$Q$27)</f>
        <v/>
      </c>
      <c r="AE21" s="2" t="s">
        <v>79</v>
      </c>
      <c r="AF21" s="6">
        <f>IFERROR(SUMPRODUCT(('👥 Clients'!$C$8:$C$47&lt;&gt;"")*(COUNTIF('📅 Events'!$D$8:$D$47,'👥 Clients'!$C$8:$C$47)&gt;1))/COUNTIF('👥 Clients'!$C$8:$C$47,"?*"),0)</f>
        <v>0</v>
      </c>
    </row>
    <row r="22" spans="14:32">
      <c r="N22" s="2" t="s">
        <v>38</v>
      </c>
      <c r="O22" s="3">
        <f>SUMIFS('📅 Events'!$L$8:$L$47,'📅 Events'!$F$8:$F$47,$N22,'📅 Events'!$Q$8:$Q$47,"&lt;&gt;❌ Cancelled")</f>
        <v>0</v>
      </c>
      <c r="AA22" s="5">
        <f>IF(AND('📅 Events'!$E$28&lt;&gt;"",'📅 Events'!$E$28&gt;=TODAY(),'📅 Events'!$Q$28&lt;&gt;"❌ Cancelled",'📅 Events'!$Q$28&lt;&gt;"🎉 Completed"),'📅 Events'!$E$28,"")</f>
        <v/>
      </c>
      <c r="AB22" s="2">
        <f>IF($AA22="","",'📅 Events'!$D$28&amp;" • "&amp;'📅 Events'!$F$28)</f>
        <v/>
      </c>
      <c r="AC22" s="2">
        <f>IF($AA22="","",'📅 Events'!$Q$28)</f>
        <v/>
      </c>
      <c r="AE22" s="2" t="s">
        <v>80</v>
      </c>
      <c r="AF22" s="3">
        <f>SUM('📦 Inventory'!$I$8:$I$47)</f>
        <v>0</v>
      </c>
    </row>
    <row r="23" spans="14:32">
      <c r="N23" s="2" t="s">
        <v>39</v>
      </c>
      <c r="O23" s="3">
        <f>SUMIFS('📅 Events'!$L$8:$L$47,'📅 Events'!$F$8:$F$47,$N23,'📅 Events'!$Q$8:$Q$47,"&lt;&gt;❌ Cancelled")</f>
        <v>0</v>
      </c>
      <c r="AA23" s="5">
        <f>IF(AND('📅 Events'!$E$29&lt;&gt;"",'📅 Events'!$E$29&gt;=TODAY(),'📅 Events'!$Q$29&lt;&gt;"❌ Cancelled",'📅 Events'!$Q$29&lt;&gt;"🎉 Completed"),'📅 Events'!$E$29,"")</f>
        <v/>
      </c>
      <c r="AB23" s="2">
        <f>IF($AA23="","",'📅 Events'!$D$29&amp;" • "&amp;'📅 Events'!$F$29)</f>
        <v/>
      </c>
      <c r="AC23" s="2">
        <f>IF($AA23="","",'📅 Events'!$Q$29)</f>
        <v/>
      </c>
      <c r="AE23" s="2" t="s">
        <v>81</v>
      </c>
      <c r="AF23" s="4">
        <f>COUNTIF('📦 Inventory'!$K$8:$K$47,"🔴 Reorder")</f>
        <v>0</v>
      </c>
    </row>
    <row r="24" spans="14:32">
      <c r="N24" s="2" t="s">
        <v>40</v>
      </c>
      <c r="O24" s="3">
        <f>SUMIFS('📅 Events'!$L$8:$L$47,'📅 Events'!$F$8:$F$47,$N24,'📅 Events'!$Q$8:$Q$47,"&lt;&gt;❌ Cancelled")</f>
        <v>0</v>
      </c>
      <c r="AA24" s="5">
        <f>IF(AND('📅 Events'!$E$30&lt;&gt;"",'📅 Events'!$E$30&gt;=TODAY(),'📅 Events'!$Q$30&lt;&gt;"❌ Cancelled",'📅 Events'!$Q$30&lt;&gt;"🎉 Completed"),'📅 Events'!$E$30,"")</f>
        <v/>
      </c>
      <c r="AB24" s="2">
        <f>IF($AA24="","",'📅 Events'!$D$30&amp;" • "&amp;'📅 Events'!$F$30)</f>
        <v/>
      </c>
      <c r="AC24" s="2">
        <f>IF($AA24="","",'📅 Events'!$Q$30)</f>
        <v/>
      </c>
      <c r="AE24" s="2" t="s">
        <v>82</v>
      </c>
      <c r="AF24" s="4">
        <f>COUNTIFS('🛒 Shopping List'!$G$8:$G$47,"&gt;0",'🛒 Shopping List'!$J$8:$J$47,"&lt;&gt;✓")</f>
        <v>0</v>
      </c>
    </row>
    <row r="25" spans="14:32">
      <c r="Q25" s="1" t="s">
        <v>48</v>
      </c>
      <c r="R25" s="1" t="s">
        <v>49</v>
      </c>
      <c r="T25" s="1" t="s">
        <v>50</v>
      </c>
      <c r="U25" s="1" t="s">
        <v>51</v>
      </c>
      <c r="AA25" s="5">
        <f>IF(AND('📅 Events'!$E$31&lt;&gt;"",'📅 Events'!$E$31&gt;=TODAY(),'📅 Events'!$Q$31&lt;&gt;"❌ Cancelled",'📅 Events'!$Q$31&lt;&gt;"🎉 Completed"),'📅 Events'!$E$31,"")</f>
        <v/>
      </c>
      <c r="AB25" s="2">
        <f>IF($AA25="","",'📅 Events'!$D$31&amp;" • "&amp;'📅 Events'!$F$31)</f>
        <v/>
      </c>
      <c r="AC25" s="2">
        <f>IF($AA25="","",'📅 Events'!$Q$31)</f>
        <v/>
      </c>
      <c r="AE25" s="2" t="s">
        <v>83</v>
      </c>
      <c r="AF25" s="3">
        <f>SUMIF('🛒 Shopping List'!$J$8:$J$47,"&lt;&gt;✓",'🛒 Shopping List'!$I$8:$I$47)</f>
        <v>0</v>
      </c>
    </row>
    <row r="26" spans="14:32">
      <c r="Q26" s="2">
        <f>IF('👥 Clients'!$C$8="","",'👥 Clients'!$C$8)</f>
        <v/>
      </c>
      <c r="R26" s="3">
        <f>IF($Q26="",0,SUMIF('💰 Payments'!$D$8:$D$67,$Q26,'💰 Payments'!$J$8:$J$67))</f>
        <v>0</v>
      </c>
      <c r="T26" s="2">
        <f>IF('🍽️ Menu Costing'!$C$8="","",'🍽️ Menu Costing'!$C$8)</f>
        <v/>
      </c>
      <c r="U26" s="4">
        <f>IF($T26="",0,COUNTIF('📅 Events'!$H$8:$H$47,"*"&amp;$T26&amp;"*"))</f>
        <v>0</v>
      </c>
      <c r="AA26" s="5">
        <f>IF(AND('📅 Events'!$E$32&lt;&gt;"",'📅 Events'!$E$32&gt;=TODAY(),'📅 Events'!$Q$32&lt;&gt;"❌ Cancelled",'📅 Events'!$Q$32&lt;&gt;"🎉 Completed"),'📅 Events'!$E$32,"")</f>
        <v/>
      </c>
      <c r="AB26" s="2">
        <f>IF($AA26="","",'📅 Events'!$D$32&amp;" • "&amp;'📅 Events'!$F$32)</f>
        <v/>
      </c>
      <c r="AC26" s="2">
        <f>IF($AA26="","",'📅 Events'!$Q$32)</f>
        <v/>
      </c>
      <c r="AE26" s="2" t="s">
        <v>84</v>
      </c>
      <c r="AF26" s="4">
        <f>SUMPRODUCT(('👷 Staff &amp; Labor'!$C$8:$C$57&lt;&gt;"")*('👷 Staff &amp; Labor'!$J$8:$J$57&lt;&gt;"✓"))</f>
        <v>0</v>
      </c>
    </row>
    <row r="27" spans="14:32">
      <c r="N27" s="1" t="s">
        <v>41</v>
      </c>
      <c r="O27" s="1" t="s">
        <v>4</v>
      </c>
      <c r="Q27" s="2">
        <f>IF('👥 Clients'!$C$9="","",'👥 Clients'!$C$9)</f>
        <v/>
      </c>
      <c r="R27" s="3">
        <f>IF($Q27="",0,SUMIF('💰 Payments'!$D$8:$D$67,$Q27,'💰 Payments'!$J$8:$J$67))</f>
        <v>0</v>
      </c>
      <c r="T27" s="2">
        <f>IF('🍽️ Menu Costing'!$C$9="","",'🍽️ Menu Costing'!$C$9)</f>
        <v/>
      </c>
      <c r="U27" s="4">
        <f>IF($T27="",0,COUNTIF('📅 Events'!$H$8:$H$47,"*"&amp;$T27&amp;"*"))</f>
        <v>0</v>
      </c>
      <c r="AA27" s="5">
        <f>IF(AND('📅 Events'!$E$33&lt;&gt;"",'📅 Events'!$E$33&gt;=TODAY(),'📅 Events'!$Q$33&lt;&gt;"❌ Cancelled",'📅 Events'!$Q$33&lt;&gt;"🎉 Completed"),'📅 Events'!$E$33,"")</f>
        <v/>
      </c>
      <c r="AB27" s="2">
        <f>IF($AA27="","",'📅 Events'!$D$33&amp;" • "&amp;'📅 Events'!$F$33)</f>
        <v/>
      </c>
      <c r="AC27" s="2">
        <f>IF($AA27="","",'📅 Events'!$Q$33)</f>
        <v/>
      </c>
      <c r="AE27" s="2" t="s">
        <v>85</v>
      </c>
      <c r="AF27" s="4">
        <f>SUM('🍳 Equipment'!$J$8:$J$42)</f>
        <v>0</v>
      </c>
    </row>
    <row r="28" spans="14:32">
      <c r="N28" s="2" t="s">
        <v>42</v>
      </c>
      <c r="O28" s="4">
        <f>COUNTIF('📅 Events'!$Q$8:$Q$47,$N28)</f>
        <v>0</v>
      </c>
      <c r="Q28" s="2">
        <f>IF('👥 Clients'!$C$10="","",'👥 Clients'!$C$10)</f>
        <v/>
      </c>
      <c r="R28" s="3">
        <f>IF($Q28="",0,SUMIF('💰 Payments'!$D$8:$D$67,$Q28,'💰 Payments'!$J$8:$J$67))</f>
        <v>0</v>
      </c>
      <c r="T28" s="2">
        <f>IF('🍽️ Menu Costing'!$C$10="","",'🍽️ Menu Costing'!$C$10)</f>
        <v/>
      </c>
      <c r="U28" s="4">
        <f>IF($T28="",0,COUNTIF('📅 Events'!$H$8:$H$47,"*"&amp;$T28&amp;"*"))</f>
        <v>0</v>
      </c>
      <c r="AA28" s="5">
        <f>IF(AND('📅 Events'!$E$34&lt;&gt;"",'📅 Events'!$E$34&gt;=TODAY(),'📅 Events'!$Q$34&lt;&gt;"❌ Cancelled",'📅 Events'!$Q$34&lt;&gt;"🎉 Completed"),'📅 Events'!$E$34,"")</f>
        <v/>
      </c>
      <c r="AB28" s="2">
        <f>IF($AA28="","",'📅 Events'!$D$34&amp;" • "&amp;'📅 Events'!$F$34)</f>
        <v/>
      </c>
      <c r="AC28" s="2">
        <f>IF($AA28="","",'📅 Events'!$Q$34)</f>
        <v/>
      </c>
      <c r="AE28" s="2" t="s">
        <v>86</v>
      </c>
      <c r="AF28" s="4">
        <f>COUNTIF('🍳 Equipment'!$L$8:$L$42,"🔧 Service")+COUNTIF('🍳 Equipment'!$L$8:$L$42,"🟡 Soon")</f>
        <v>0</v>
      </c>
    </row>
    <row r="29" spans="14:32">
      <c r="N29" s="2" t="s">
        <v>43</v>
      </c>
      <c r="O29" s="4">
        <f>COUNTIF('📅 Events'!$Q$8:$Q$47,$N29)</f>
        <v>0</v>
      </c>
      <c r="Q29" s="2">
        <f>IF('👥 Clients'!$C$11="","",'👥 Clients'!$C$11)</f>
        <v/>
      </c>
      <c r="R29" s="3">
        <f>IF($Q29="",0,SUMIF('💰 Payments'!$D$8:$D$67,$Q29,'💰 Payments'!$J$8:$J$67))</f>
        <v>0</v>
      </c>
      <c r="T29" s="2">
        <f>IF('🍽️ Menu Costing'!$C$11="","",'🍽️ Menu Costing'!$C$11)</f>
        <v/>
      </c>
      <c r="U29" s="4">
        <f>IF($T29="",0,COUNTIF('📅 Events'!$H$8:$H$47,"*"&amp;$T29&amp;"*"))</f>
        <v>0</v>
      </c>
      <c r="AA29" s="5">
        <f>IF(AND('📅 Events'!$E$35&lt;&gt;"",'📅 Events'!$E$35&gt;=TODAY(),'📅 Events'!$Q$35&lt;&gt;"❌ Cancelled",'📅 Events'!$Q$35&lt;&gt;"🎉 Completed"),'📅 Events'!$E$35,"")</f>
        <v/>
      </c>
      <c r="AB29" s="2">
        <f>IF($AA29="","",'📅 Events'!$D$35&amp;" • "&amp;'📅 Events'!$F$35)</f>
        <v/>
      </c>
      <c r="AC29" s="2">
        <f>IF($AA29="","",'📅 Events'!$Q$35)</f>
        <v/>
      </c>
      <c r="AE29" s="2" t="s">
        <v>87</v>
      </c>
      <c r="AF29" s="3">
        <f>ROUND(SUM('💰 Payments'!$F$8:$F$67)*TaxRate,2)</f>
        <v>0</v>
      </c>
    </row>
    <row r="30" spans="14:32">
      <c r="N30" s="2" t="s">
        <v>44</v>
      </c>
      <c r="O30" s="4">
        <f>COUNTIF('📅 Events'!$Q$8:$Q$47,$N30)</f>
        <v>0</v>
      </c>
      <c r="Q30" s="2">
        <f>IF('👥 Clients'!$C$12="","",'👥 Clients'!$C$12)</f>
        <v/>
      </c>
      <c r="R30" s="3">
        <f>IF($Q30="",0,SUMIF('💰 Payments'!$D$8:$D$67,$Q30,'💰 Payments'!$J$8:$J$67))</f>
        <v>0</v>
      </c>
      <c r="T30" s="2">
        <f>IF('🍽️ Menu Costing'!$C$12="","",'🍽️ Menu Costing'!$C$12)</f>
        <v/>
      </c>
      <c r="U30" s="4">
        <f>IF($T30="",0,COUNTIF('📅 Events'!$H$8:$H$47,"*"&amp;$T30&amp;"*"))</f>
        <v>0</v>
      </c>
      <c r="AA30" s="5">
        <f>IF(AND('📅 Events'!$E$36&lt;&gt;"",'📅 Events'!$E$36&gt;=TODAY(),'📅 Events'!$Q$36&lt;&gt;"❌ Cancelled",'📅 Events'!$Q$36&lt;&gt;"🎉 Completed"),'📅 Events'!$E$36,"")</f>
        <v/>
      </c>
      <c r="AB30" s="2">
        <f>IF($AA30="","",'📅 Events'!$D$36&amp;" • "&amp;'📅 Events'!$F$36)</f>
        <v/>
      </c>
      <c r="AC30" s="2">
        <f>IF($AA30="","",'📅 Events'!$Q$36)</f>
        <v/>
      </c>
      <c r="AE30" s="2" t="s">
        <v>88</v>
      </c>
      <c r="AF30" s="3">
        <f>'🧾 Tax Tracker'!$G$13</f>
        <v>0</v>
      </c>
    </row>
    <row r="31" spans="14:32">
      <c r="N31" s="2" t="s">
        <v>45</v>
      </c>
      <c r="O31" s="4">
        <f>COUNTIF('📅 Events'!$Q$8:$Q$47,$N31)</f>
        <v>0</v>
      </c>
      <c r="Q31" s="2">
        <f>IF('👥 Clients'!$C$13="","",'👥 Clients'!$C$13)</f>
        <v/>
      </c>
      <c r="R31" s="3">
        <f>IF($Q31="",0,SUMIF('💰 Payments'!$D$8:$D$67,$Q31,'💰 Payments'!$J$8:$J$67))</f>
        <v>0</v>
      </c>
      <c r="T31" s="2">
        <f>IF('🍽️ Menu Costing'!$C$13="","",'🍽️ Menu Costing'!$C$13)</f>
        <v/>
      </c>
      <c r="U31" s="4">
        <f>IF($T31="",0,COUNTIF('📅 Events'!$H$8:$H$47,"*"&amp;$T31&amp;"*"))</f>
        <v>0</v>
      </c>
      <c r="AA31" s="5">
        <f>IF(AND('📅 Events'!$E$37&lt;&gt;"",'📅 Events'!$E$37&gt;=TODAY(),'📅 Events'!$Q$37&lt;&gt;"❌ Cancelled",'📅 Events'!$Q$37&lt;&gt;"🎉 Completed"),'📅 Events'!$E$37,"")</f>
        <v/>
      </c>
      <c r="AB31" s="2">
        <f>IF($AA31="","",'📅 Events'!$D$37&amp;" • "&amp;'📅 Events'!$F$37)</f>
        <v/>
      </c>
      <c r="AC31" s="2">
        <f>IF($AA31="","",'📅 Events'!$Q$37)</f>
        <v/>
      </c>
      <c r="AE31" s="2" t="s">
        <v>89</v>
      </c>
      <c r="AF31" s="3">
        <f>'🧮 Quote Calculator'!$J$16</f>
        <v/>
      </c>
    </row>
    <row r="32" spans="14:32">
      <c r="N32" s="2" t="s">
        <v>46</v>
      </c>
      <c r="O32" s="4">
        <f>COUNTIF('📅 Events'!$Q$8:$Q$47,$N32)</f>
        <v>0</v>
      </c>
      <c r="Q32" s="2">
        <f>IF('👥 Clients'!$C$14="","",'👥 Clients'!$C$14)</f>
        <v/>
      </c>
      <c r="R32" s="3">
        <f>IF($Q32="",0,SUMIF('💰 Payments'!$D$8:$D$67,$Q32,'💰 Payments'!$J$8:$J$67))</f>
        <v>0</v>
      </c>
      <c r="T32" s="2">
        <f>IF('🍽️ Menu Costing'!$C$14="","",'🍽️ Menu Costing'!$C$14)</f>
        <v/>
      </c>
      <c r="U32" s="4">
        <f>IF($T32="",0,COUNTIF('📅 Events'!$H$8:$H$47,"*"&amp;$T32&amp;"*"))</f>
        <v>0</v>
      </c>
      <c r="AA32" s="5">
        <f>IF(AND('📅 Events'!$E$38&lt;&gt;"",'📅 Events'!$E$38&gt;=TODAY(),'📅 Events'!$Q$38&lt;&gt;"❌ Cancelled",'📅 Events'!$Q$38&lt;&gt;"🎉 Completed"),'📅 Events'!$E$38,"")</f>
        <v/>
      </c>
      <c r="AB32" s="2">
        <f>IF($AA32="","",'📅 Events'!$D$38&amp;" • "&amp;'📅 Events'!$F$38)</f>
        <v/>
      </c>
      <c r="AC32" s="2">
        <f>IF($AA32="","",'📅 Events'!$Q$38)</f>
        <v/>
      </c>
      <c r="AE32" s="2" t="s">
        <v>90</v>
      </c>
      <c r="AF32" s="3">
        <f>'🧮 Quote Calculator'!$J$17</f>
        <v/>
      </c>
    </row>
    <row r="33" spans="14:32">
      <c r="N33" s="2" t="s">
        <v>47</v>
      </c>
      <c r="O33" s="4">
        <f>COUNTIF('📅 Events'!$Q$8:$Q$47,$N33)</f>
        <v>0</v>
      </c>
      <c r="Q33" s="2">
        <f>IF('👥 Clients'!$C$15="","",'👥 Clients'!$C$15)</f>
        <v/>
      </c>
      <c r="R33" s="3">
        <f>IF($Q33="",0,SUMIF('💰 Payments'!$D$8:$D$67,$Q33,'💰 Payments'!$J$8:$J$67))</f>
        <v>0</v>
      </c>
      <c r="T33" s="2">
        <f>IF('🍽️ Menu Costing'!$C$15="","",'🍽️ Menu Costing'!$C$15)</f>
        <v/>
      </c>
      <c r="U33" s="4">
        <f>IF($T33="",0,COUNTIF('📅 Events'!$H$8:$H$47,"*"&amp;$T33&amp;"*"))</f>
        <v>0</v>
      </c>
      <c r="AA33" s="5">
        <f>IF(AND('📅 Events'!$E$39&lt;&gt;"",'📅 Events'!$E$39&gt;=TODAY(),'📅 Events'!$Q$39&lt;&gt;"❌ Cancelled",'📅 Events'!$Q$39&lt;&gt;"🎉 Completed"),'📅 Events'!$E$39,"")</f>
        <v/>
      </c>
      <c r="AB33" s="2">
        <f>IF($AA33="","",'📅 Events'!$D$39&amp;" • "&amp;'📅 Events'!$F$39)</f>
        <v/>
      </c>
      <c r="AC33" s="2">
        <f>IF($AA33="","",'📅 Events'!$Q$39)</f>
        <v/>
      </c>
      <c r="AE33" s="2" t="s">
        <v>91</v>
      </c>
      <c r="AF33" s="4">
        <f>COUNTA('🍽️ Menu Costing'!$C$8:$C$37)</f>
        <v>0</v>
      </c>
    </row>
    <row r="34" spans="14:32">
      <c r="Q34" s="2">
        <f>IF('👥 Clients'!$C$16="","",'👥 Clients'!$C$16)</f>
        <v/>
      </c>
      <c r="R34" s="3">
        <f>IF($Q34="",0,SUMIF('💰 Payments'!$D$8:$D$67,$Q34,'💰 Payments'!$J$8:$J$67))</f>
        <v>0</v>
      </c>
      <c r="T34" s="2">
        <f>IF('🍽️ Menu Costing'!$C$16="","",'🍽️ Menu Costing'!$C$16)</f>
        <v/>
      </c>
      <c r="U34" s="4">
        <f>IF($T34="",0,COUNTIF('📅 Events'!$H$8:$H$47,"*"&amp;$T34&amp;"*"))</f>
        <v>0</v>
      </c>
      <c r="AA34" s="5">
        <f>IF(AND('📅 Events'!$E$40&lt;&gt;"",'📅 Events'!$E$40&gt;=TODAY(),'📅 Events'!$Q$40&lt;&gt;"❌ Cancelled",'📅 Events'!$Q$40&lt;&gt;"🎉 Completed"),'📅 Events'!$E$40,"")</f>
        <v/>
      </c>
      <c r="AB34" s="2">
        <f>IF($AA34="","",'📅 Events'!$D$40&amp;" • "&amp;'📅 Events'!$F$40)</f>
        <v/>
      </c>
      <c r="AC34" s="2">
        <f>IF($AA34="","",'📅 Events'!$Q$40)</f>
        <v/>
      </c>
      <c r="AE34" s="2" t="s">
        <v>92</v>
      </c>
      <c r="AF34" s="6">
        <f>IFERROR(AVERAGE('🍽️ Menu Costing'!$J$8:$J$37),0)</f>
        <v>0</v>
      </c>
    </row>
    <row r="35" spans="14:32">
      <c r="Q35" s="2">
        <f>IF('👥 Clients'!$C$17="","",'👥 Clients'!$C$17)</f>
        <v/>
      </c>
      <c r="R35" s="3">
        <f>IF($Q35="",0,SUMIF('💰 Payments'!$D$8:$D$67,$Q35,'💰 Payments'!$J$8:$J$67))</f>
        <v>0</v>
      </c>
      <c r="T35" s="2">
        <f>IF('🍽️ Menu Costing'!$C$17="","",'🍽️ Menu Costing'!$C$17)</f>
        <v/>
      </c>
      <c r="U35" s="4">
        <f>IF($T35="",0,COUNTIF('📅 Events'!$H$8:$H$47,"*"&amp;$T35&amp;"*"))</f>
        <v>0</v>
      </c>
      <c r="AA35" s="5">
        <f>IF(AND('📅 Events'!$E$41&lt;&gt;"",'📅 Events'!$E$41&gt;=TODAY(),'📅 Events'!$Q$41&lt;&gt;"❌ Cancelled",'📅 Events'!$Q$41&lt;&gt;"🎉 Completed"),'📅 Events'!$E$41,"")</f>
        <v/>
      </c>
      <c r="AB35" s="2">
        <f>IF($AA35="","",'📅 Events'!$D$41&amp;" • "&amp;'📅 Events'!$F$41)</f>
        <v/>
      </c>
      <c r="AC35" s="2">
        <f>IF($AA35="","",'📅 Events'!$Q$41)</f>
        <v/>
      </c>
      <c r="AE35" s="2" t="s">
        <v>93</v>
      </c>
      <c r="AF35" s="2" t="str">
        <f>IF(MAX($O$16:$O$24)&lt;=0,"-",INDEX($N$16:$N$24,MATCH(MAX($O$16:$O$24),$O$16:$O$24,0)))</f>
        <v>-</v>
      </c>
    </row>
    <row r="36" spans="14:32">
      <c r="Q36" s="2">
        <f>IF('👥 Clients'!$C$18="","",'👥 Clients'!$C$18)</f>
        <v/>
      </c>
      <c r="R36" s="3">
        <f>IF($Q36="",0,SUMIF('💰 Payments'!$D$8:$D$67,$Q36,'💰 Payments'!$J$8:$J$67))</f>
        <v>0</v>
      </c>
      <c r="T36" s="2">
        <f>IF('🍽️ Menu Costing'!$C$18="","",'🍽️ Menu Costing'!$C$18)</f>
        <v/>
      </c>
      <c r="U36" s="4">
        <f>IF($T36="",0,COUNTIF('📅 Events'!$H$8:$H$47,"*"&amp;$T36&amp;"*"))</f>
        <v>0</v>
      </c>
      <c r="AA36" s="5">
        <f>IF(AND('📅 Events'!$E$42&lt;&gt;"",'📅 Events'!$E$42&gt;=TODAY(),'📅 Events'!$Q$42&lt;&gt;"❌ Cancelled",'📅 Events'!$Q$42&lt;&gt;"🎉 Completed"),'📅 Events'!$E$42,"")</f>
        <v/>
      </c>
      <c r="AB36" s="2">
        <f>IF($AA36="","",'📅 Events'!$D$42&amp;" • "&amp;'📅 Events'!$F$42)</f>
        <v/>
      </c>
      <c r="AC36" s="2">
        <f>IF($AA36="","",'📅 Events'!$Q$42)</f>
        <v/>
      </c>
      <c r="AE36" s="2" t="s">
        <v>94</v>
      </c>
      <c r="AF36" s="2" t="str">
        <f>IF(MAX($R$26:$R$45)&lt;=0,"-",INDEX($Q$26:$Q$45,MATCH(MAX($R$26:$R$45),$R$26:$R$45,0)))</f>
        <v>-</v>
      </c>
    </row>
    <row r="37" spans="14:32">
      <c r="Q37" s="2">
        <f>IF('👥 Clients'!$C$19="","",'👥 Clients'!$C$19)</f>
        <v/>
      </c>
      <c r="R37" s="3">
        <f>IF($Q37="",0,SUMIF('💰 Payments'!$D$8:$D$67,$Q37,'💰 Payments'!$J$8:$J$67))</f>
        <v>0</v>
      </c>
      <c r="T37" s="2">
        <f>IF('🍽️ Menu Costing'!$C$19="","",'🍽️ Menu Costing'!$C$19)</f>
        <v/>
      </c>
      <c r="U37" s="4">
        <f>IF($T37="",0,COUNTIF('📅 Events'!$H$8:$H$47,"*"&amp;$T37&amp;"*"))</f>
        <v>0</v>
      </c>
      <c r="AA37" s="5">
        <f>IF(AND('📅 Events'!$E$43&lt;&gt;"",'📅 Events'!$E$43&gt;=TODAY(),'📅 Events'!$Q$43&lt;&gt;"❌ Cancelled",'📅 Events'!$Q$43&lt;&gt;"🎉 Completed"),'📅 Events'!$E$43,"")</f>
        <v/>
      </c>
      <c r="AB37" s="2">
        <f>IF($AA37="","",'📅 Events'!$D$43&amp;" • "&amp;'📅 Events'!$F$43)</f>
        <v/>
      </c>
      <c r="AC37" s="2">
        <f>IF($AA37="","",'📅 Events'!$Q$43)</f>
        <v/>
      </c>
    </row>
    <row r="38" spans="14:32">
      <c r="Q38" s="2">
        <f>IF('👥 Clients'!$C$20="","",'👥 Clients'!$C$20)</f>
        <v/>
      </c>
      <c r="R38" s="3">
        <f>IF($Q38="",0,SUMIF('💰 Payments'!$D$8:$D$67,$Q38,'💰 Payments'!$J$8:$J$67))</f>
        <v>0</v>
      </c>
      <c r="T38" s="2">
        <f>IF('🍽️ Menu Costing'!$C$20="","",'🍽️ Menu Costing'!$C$20)</f>
        <v/>
      </c>
      <c r="U38" s="4">
        <f>IF($T38="",0,COUNTIF('📅 Events'!$H$8:$H$47,"*"&amp;$T38&amp;"*"))</f>
        <v>0</v>
      </c>
      <c r="AA38" s="5">
        <f>IF(AND('📅 Events'!$E$44&lt;&gt;"",'📅 Events'!$E$44&gt;=TODAY(),'📅 Events'!$Q$44&lt;&gt;"❌ Cancelled",'📅 Events'!$Q$44&lt;&gt;"🎉 Completed"),'📅 Events'!$E$44,"")</f>
        <v/>
      </c>
      <c r="AB38" s="2">
        <f>IF($AA38="","",'📅 Events'!$D$44&amp;" • "&amp;'📅 Events'!$F$44)</f>
        <v/>
      </c>
      <c r="AC38" s="2">
        <f>IF($AA38="","",'📅 Events'!$Q$44)</f>
        <v/>
      </c>
    </row>
    <row r="39" spans="14:32">
      <c r="Q39" s="2">
        <f>IF('👥 Clients'!$C$21="","",'👥 Clients'!$C$21)</f>
        <v/>
      </c>
      <c r="R39" s="3">
        <f>IF($Q39="",0,SUMIF('💰 Payments'!$D$8:$D$67,$Q39,'💰 Payments'!$J$8:$J$67))</f>
        <v>0</v>
      </c>
      <c r="T39" s="2">
        <f>IF('🍽️ Menu Costing'!$C$21="","",'🍽️ Menu Costing'!$C$21)</f>
        <v/>
      </c>
      <c r="U39" s="4">
        <f>IF($T39="",0,COUNTIF('📅 Events'!$H$8:$H$47,"*"&amp;$T39&amp;"*"))</f>
        <v>0</v>
      </c>
      <c r="AA39" s="5">
        <f>IF(AND('📅 Events'!$E$45&lt;&gt;"",'📅 Events'!$E$45&gt;=TODAY(),'📅 Events'!$Q$45&lt;&gt;"❌ Cancelled",'📅 Events'!$Q$45&lt;&gt;"🎉 Completed"),'📅 Events'!$E$45,"")</f>
        <v/>
      </c>
      <c r="AB39" s="2">
        <f>IF($AA39="","",'📅 Events'!$D$45&amp;" • "&amp;'📅 Events'!$F$45)</f>
        <v/>
      </c>
      <c r="AC39" s="2">
        <f>IF($AA39="","",'📅 Events'!$Q$45)</f>
        <v/>
      </c>
    </row>
    <row r="40" spans="14:32">
      <c r="Q40" s="2">
        <f>IF('👥 Clients'!$C$22="","",'👥 Clients'!$C$22)</f>
        <v/>
      </c>
      <c r="R40" s="3">
        <f>IF($Q40="",0,SUMIF('💰 Payments'!$D$8:$D$67,$Q40,'💰 Payments'!$J$8:$J$67))</f>
        <v>0</v>
      </c>
      <c r="T40" s="2">
        <f>IF('🍽️ Menu Costing'!$C$22="","",'🍽️ Menu Costing'!$C$22)</f>
        <v/>
      </c>
      <c r="U40" s="4">
        <f>IF($T40="",0,COUNTIF('📅 Events'!$H$8:$H$47,"*"&amp;$T40&amp;"*"))</f>
        <v>0</v>
      </c>
      <c r="AA40" s="5">
        <f>IF(AND('📅 Events'!$E$46&lt;&gt;"",'📅 Events'!$E$46&gt;=TODAY(),'📅 Events'!$Q$46&lt;&gt;"❌ Cancelled",'📅 Events'!$Q$46&lt;&gt;"🎉 Completed"),'📅 Events'!$E$46,"")</f>
        <v/>
      </c>
      <c r="AB40" s="2">
        <f>IF($AA40="","",'📅 Events'!$D$46&amp;" • "&amp;'📅 Events'!$F$46)</f>
        <v/>
      </c>
      <c r="AC40" s="2">
        <f>IF($AA40="","",'📅 Events'!$Q$46)</f>
        <v/>
      </c>
    </row>
    <row r="41" spans="14:32">
      <c r="Q41" s="2">
        <f>IF('👥 Clients'!$C$23="","",'👥 Clients'!$C$23)</f>
        <v/>
      </c>
      <c r="R41" s="3">
        <f>IF($Q41="",0,SUMIF('💰 Payments'!$D$8:$D$67,$Q41,'💰 Payments'!$J$8:$J$67))</f>
        <v>0</v>
      </c>
      <c r="T41" s="2">
        <f>IF('🍽️ Menu Costing'!$C$23="","",'🍽️ Menu Costing'!$C$23)</f>
        <v/>
      </c>
      <c r="U41" s="4">
        <f>IF($T41="",0,COUNTIF('📅 Events'!$H$8:$H$47,"*"&amp;$T41&amp;"*"))</f>
        <v>0</v>
      </c>
      <c r="AA41" s="5">
        <f>IF(AND('📅 Events'!$E$47&lt;&gt;"",'📅 Events'!$E$47&gt;=TODAY(),'📅 Events'!$Q$47&lt;&gt;"❌ Cancelled",'📅 Events'!$Q$47&lt;&gt;"🎉 Completed"),'📅 Events'!$E$47,"")</f>
        <v/>
      </c>
      <c r="AB41" s="2">
        <f>IF($AA41="","",'📅 Events'!$D$47&amp;" • "&amp;'📅 Events'!$F$47)</f>
        <v/>
      </c>
      <c r="AC41" s="2">
        <f>IF($AA41="","",'📅 Events'!$Q$47)</f>
        <v/>
      </c>
    </row>
    <row r="42" spans="14:32">
      <c r="Q42" s="2">
        <f>IF('👥 Clients'!$C$24="","",'👥 Clients'!$C$24)</f>
        <v/>
      </c>
      <c r="R42" s="3">
        <f>IF($Q42="",0,SUMIF('💰 Payments'!$D$8:$D$67,$Q42,'💰 Payments'!$J$8:$J$67))</f>
        <v>0</v>
      </c>
      <c r="T42" s="2">
        <f>IF('🍽️ Menu Costing'!$C$24="","",'🍽️ Menu Costing'!$C$24)</f>
        <v/>
      </c>
      <c r="U42" s="4">
        <f>IF($T42="",0,COUNTIF('📅 Events'!$H$8:$H$47,"*"&amp;$T42&amp;"*"))</f>
        <v>0</v>
      </c>
      <c r="AA42" s="5">
        <f>IF(AND(ISNUMBER('💰 Payments'!$L$8),IFERROR('💰 Payments'!$K$8*1,0)&gt;0),'💰 Payments'!$L$8,"")</f>
        <v/>
      </c>
      <c r="AB42" s="2">
        <f>IF($AA42="","",'💰 Payments'!$D$8&amp;" ("&amp;'💰 Payments'!$C$8&amp;")")</f>
        <v/>
      </c>
      <c r="AC42" s="3">
        <f>IF($AA42="","",'💰 Payments'!$K$8)</f>
        <v/>
      </c>
    </row>
    <row r="43" spans="14:32">
      <c r="Q43" s="2">
        <f>IF('👥 Clients'!$C$25="","",'👥 Clients'!$C$25)</f>
        <v/>
      </c>
      <c r="R43" s="3">
        <f>IF($Q43="",0,SUMIF('💰 Payments'!$D$8:$D$67,$Q43,'💰 Payments'!$J$8:$J$67))</f>
        <v>0</v>
      </c>
      <c r="T43" s="2">
        <f>IF('🍽️ Menu Costing'!$C$25="","",'🍽️ Menu Costing'!$C$25)</f>
        <v/>
      </c>
      <c r="U43" s="4">
        <f>IF($T43="",0,COUNTIF('📅 Events'!$H$8:$H$47,"*"&amp;$T43&amp;"*"))</f>
        <v>0</v>
      </c>
      <c r="AA43" s="5">
        <f>IF(AND(ISNUMBER('💰 Payments'!$L$9),IFERROR('💰 Payments'!$K$9*1,0)&gt;0),'💰 Payments'!$L$9,"")</f>
        <v/>
      </c>
      <c r="AB43" s="2">
        <f>IF($AA43="","",'💰 Payments'!$D$9&amp;" ("&amp;'💰 Payments'!$C$9&amp;")")</f>
        <v/>
      </c>
      <c r="AC43" s="3">
        <f>IF($AA43="","",'💰 Payments'!$K$9)</f>
        <v/>
      </c>
    </row>
    <row r="44" spans="14:32">
      <c r="Q44" s="2">
        <f>IF('👥 Clients'!$C$26="","",'👥 Clients'!$C$26)</f>
        <v/>
      </c>
      <c r="R44" s="3">
        <f>IF($Q44="",0,SUMIF('💰 Payments'!$D$8:$D$67,$Q44,'💰 Payments'!$J$8:$J$67))</f>
        <v>0</v>
      </c>
      <c r="T44" s="2">
        <f>IF('🍽️ Menu Costing'!$C$26="","",'🍽️ Menu Costing'!$C$26)</f>
        <v/>
      </c>
      <c r="U44" s="4">
        <f>IF($T44="",0,COUNTIF('📅 Events'!$H$8:$H$47,"*"&amp;$T44&amp;"*"))</f>
        <v>0</v>
      </c>
      <c r="AA44" s="5">
        <f>IF(AND(ISNUMBER('💰 Payments'!$L$10),IFERROR('💰 Payments'!$K$10*1,0)&gt;0),'💰 Payments'!$L$10,"")</f>
        <v/>
      </c>
      <c r="AB44" s="2">
        <f>IF($AA44="","",'💰 Payments'!$D$10&amp;" ("&amp;'💰 Payments'!$C$10&amp;")")</f>
        <v/>
      </c>
      <c r="AC44" s="3">
        <f>IF($AA44="","",'💰 Payments'!$K$10)</f>
        <v/>
      </c>
    </row>
    <row r="45" spans="14:32">
      <c r="Q45" s="2">
        <f>IF('👥 Clients'!$C$27="","",'👥 Clients'!$C$27)</f>
        <v/>
      </c>
      <c r="R45" s="3">
        <f>IF($Q45="",0,SUMIF('💰 Payments'!$D$8:$D$67,$Q45,'💰 Payments'!$J$8:$J$67))</f>
        <v>0</v>
      </c>
      <c r="T45" s="2">
        <f>IF('🍽️ Menu Costing'!$C$27="","",'🍽️ Menu Costing'!$C$27)</f>
        <v/>
      </c>
      <c r="U45" s="4">
        <f>IF($T45="",0,COUNTIF('📅 Events'!$H$8:$H$47,"*"&amp;$T45&amp;"*"))</f>
        <v>0</v>
      </c>
      <c r="AA45" s="5">
        <f>IF(AND(ISNUMBER('💰 Payments'!$L$11),IFERROR('💰 Payments'!$K$11*1,0)&gt;0),'💰 Payments'!$L$11,"")</f>
        <v/>
      </c>
      <c r="AB45" s="2">
        <f>IF($AA45="","",'💰 Payments'!$D$11&amp;" ("&amp;'💰 Payments'!$C$11&amp;")")</f>
        <v/>
      </c>
      <c r="AC45" s="3">
        <f>IF($AA45="","",'💰 Payments'!$K$11)</f>
        <v/>
      </c>
    </row>
    <row r="46" spans="14:32">
      <c r="AA46" s="5">
        <f>IF(AND(ISNUMBER('💰 Payments'!$L$12),IFERROR('💰 Payments'!$K$12*1,0)&gt;0),'💰 Payments'!$L$12,"")</f>
        <v/>
      </c>
      <c r="AB46" s="2">
        <f>IF($AA46="","",'💰 Payments'!$D$12&amp;" ("&amp;'💰 Payments'!$C$12&amp;")")</f>
        <v/>
      </c>
      <c r="AC46" s="3">
        <f>IF($AA46="","",'💰 Payments'!$K$12)</f>
        <v/>
      </c>
    </row>
    <row r="47" spans="14:32">
      <c r="AA47" s="5">
        <f>IF(AND(ISNUMBER('💰 Payments'!$L$13),IFERROR('💰 Payments'!$K$13*1,0)&gt;0),'💰 Payments'!$L$13,"")</f>
        <v/>
      </c>
      <c r="AB47" s="2">
        <f>IF($AA47="","",'💰 Payments'!$D$13&amp;" ("&amp;'💰 Payments'!$C$13&amp;")")</f>
        <v/>
      </c>
      <c r="AC47" s="3">
        <f>IF($AA47="","",'💰 Payments'!$K$13)</f>
        <v/>
      </c>
    </row>
    <row r="48" spans="14:32">
      <c r="AA48" s="5">
        <f>IF(AND(ISNUMBER('💰 Payments'!$L$14),IFERROR('💰 Payments'!$K$14*1,0)&gt;0),'💰 Payments'!$L$14,"")</f>
        <v/>
      </c>
      <c r="AB48" s="2">
        <f>IF($AA48="","",'💰 Payments'!$D$14&amp;" ("&amp;'💰 Payments'!$C$14&amp;")")</f>
        <v/>
      </c>
      <c r="AC48" s="3">
        <f>IF($AA48="","",'💰 Payments'!$K$14)</f>
        <v/>
      </c>
    </row>
    <row r="49" spans="27:29">
      <c r="AA49" s="5">
        <f>IF(AND(ISNUMBER('💰 Payments'!$L$15),IFERROR('💰 Payments'!$K$15*1,0)&gt;0),'💰 Payments'!$L$15,"")</f>
        <v/>
      </c>
      <c r="AB49" s="2">
        <f>IF($AA49="","",'💰 Payments'!$D$15&amp;" ("&amp;'💰 Payments'!$C$15&amp;")")</f>
        <v/>
      </c>
      <c r="AC49" s="3">
        <f>IF($AA49="","",'💰 Payments'!$K$15)</f>
        <v/>
      </c>
    </row>
    <row r="50" spans="27:29">
      <c r="AA50" s="5">
        <f>IF(AND(ISNUMBER('💰 Payments'!$L$16),IFERROR('💰 Payments'!$K$16*1,0)&gt;0),'💰 Payments'!$L$16,"")</f>
        <v/>
      </c>
      <c r="AB50" s="2">
        <f>IF($AA50="","",'💰 Payments'!$D$16&amp;" ("&amp;'💰 Payments'!$C$16&amp;")")</f>
        <v/>
      </c>
      <c r="AC50" s="3">
        <f>IF($AA50="","",'💰 Payments'!$K$16)</f>
        <v/>
      </c>
    </row>
    <row r="51" spans="27:29">
      <c r="AA51" s="5">
        <f>IF(AND(ISNUMBER('💰 Payments'!$L$17),IFERROR('💰 Payments'!$K$17*1,0)&gt;0),'💰 Payments'!$L$17,"")</f>
        <v/>
      </c>
      <c r="AB51" s="2">
        <f>IF($AA51="","",'💰 Payments'!$D$17&amp;" ("&amp;'💰 Payments'!$C$17&amp;")")</f>
        <v/>
      </c>
      <c r="AC51" s="3">
        <f>IF($AA51="","",'💰 Payments'!$K$17)</f>
        <v/>
      </c>
    </row>
    <row r="52" spans="27:29">
      <c r="AA52" s="5">
        <f>IF(AND(ISNUMBER('💰 Payments'!$L$18),IFERROR('💰 Payments'!$K$18*1,0)&gt;0),'💰 Payments'!$L$18,"")</f>
        <v/>
      </c>
      <c r="AB52" s="2">
        <f>IF($AA52="","",'💰 Payments'!$D$18&amp;" ("&amp;'💰 Payments'!$C$18&amp;")")</f>
        <v/>
      </c>
      <c r="AC52" s="3">
        <f>IF($AA52="","",'💰 Payments'!$K$18)</f>
        <v/>
      </c>
    </row>
    <row r="53" spans="27:29">
      <c r="AA53" s="5">
        <f>IF(AND(ISNUMBER('💰 Payments'!$L$19),IFERROR('💰 Payments'!$K$19*1,0)&gt;0),'💰 Payments'!$L$19,"")</f>
        <v/>
      </c>
      <c r="AB53" s="2">
        <f>IF($AA53="","",'💰 Payments'!$D$19&amp;" ("&amp;'💰 Payments'!$C$19&amp;")")</f>
        <v/>
      </c>
      <c r="AC53" s="3">
        <f>IF($AA53="","",'💰 Payments'!$K$19)</f>
        <v/>
      </c>
    </row>
    <row r="54" spans="27:29">
      <c r="AA54" s="5">
        <f>IF(AND(ISNUMBER('💰 Payments'!$L$20),IFERROR('💰 Payments'!$K$20*1,0)&gt;0),'💰 Payments'!$L$20,"")</f>
        <v/>
      </c>
      <c r="AB54" s="2">
        <f>IF($AA54="","",'💰 Payments'!$D$20&amp;" ("&amp;'💰 Payments'!$C$20&amp;")")</f>
        <v/>
      </c>
      <c r="AC54" s="3">
        <f>IF($AA54="","",'💰 Payments'!$K$20)</f>
        <v/>
      </c>
    </row>
    <row r="55" spans="27:29">
      <c r="AA55" s="5">
        <f>IF(AND(ISNUMBER('💰 Payments'!$L$21),IFERROR('💰 Payments'!$K$21*1,0)&gt;0),'💰 Payments'!$L$21,"")</f>
        <v/>
      </c>
      <c r="AB55" s="2">
        <f>IF($AA55="","",'💰 Payments'!$D$21&amp;" ("&amp;'💰 Payments'!$C$21&amp;")")</f>
        <v/>
      </c>
      <c r="AC55" s="3">
        <f>IF($AA55="","",'💰 Payments'!$K$21)</f>
        <v/>
      </c>
    </row>
    <row r="56" spans="27:29">
      <c r="AA56" s="5">
        <f>IF(AND(ISNUMBER('💰 Payments'!$L$22),IFERROR('💰 Payments'!$K$22*1,0)&gt;0),'💰 Payments'!$L$22,"")</f>
        <v/>
      </c>
      <c r="AB56" s="2">
        <f>IF($AA56="","",'💰 Payments'!$D$22&amp;" ("&amp;'💰 Payments'!$C$22&amp;")")</f>
        <v/>
      </c>
      <c r="AC56" s="3">
        <f>IF($AA56="","",'💰 Payments'!$K$22)</f>
        <v/>
      </c>
    </row>
    <row r="57" spans="27:29">
      <c r="AA57" s="5">
        <f>IF(AND(ISNUMBER('💰 Payments'!$L$23),IFERROR('💰 Payments'!$K$23*1,0)&gt;0),'💰 Payments'!$L$23,"")</f>
        <v/>
      </c>
      <c r="AB57" s="2">
        <f>IF($AA57="","",'💰 Payments'!$D$23&amp;" ("&amp;'💰 Payments'!$C$23&amp;")")</f>
        <v/>
      </c>
      <c r="AC57" s="3">
        <f>IF($AA57="","",'💰 Payments'!$K$23)</f>
        <v/>
      </c>
    </row>
    <row r="58" spans="27:29">
      <c r="AA58" s="5">
        <f>IF(AND(ISNUMBER('💰 Payments'!$L$24),IFERROR('💰 Payments'!$K$24*1,0)&gt;0),'💰 Payments'!$L$24,"")</f>
        <v/>
      </c>
      <c r="AB58" s="2">
        <f>IF($AA58="","",'💰 Payments'!$D$24&amp;" ("&amp;'💰 Payments'!$C$24&amp;")")</f>
        <v/>
      </c>
      <c r="AC58" s="3">
        <f>IF($AA58="","",'💰 Payments'!$K$24)</f>
        <v/>
      </c>
    </row>
    <row r="59" spans="27:29">
      <c r="AA59" s="5">
        <f>IF(AND(ISNUMBER('💰 Payments'!$L$25),IFERROR('💰 Payments'!$K$25*1,0)&gt;0),'💰 Payments'!$L$25,"")</f>
        <v/>
      </c>
      <c r="AB59" s="2">
        <f>IF($AA59="","",'💰 Payments'!$D$25&amp;" ("&amp;'💰 Payments'!$C$25&amp;")")</f>
        <v/>
      </c>
      <c r="AC59" s="3">
        <f>IF($AA59="","",'💰 Payments'!$K$25)</f>
        <v/>
      </c>
    </row>
    <row r="60" spans="27:29">
      <c r="AA60" s="5">
        <f>IF(AND(ISNUMBER('💰 Payments'!$L$26),IFERROR('💰 Payments'!$K$26*1,0)&gt;0),'💰 Payments'!$L$26,"")</f>
        <v/>
      </c>
      <c r="AB60" s="2">
        <f>IF($AA60="","",'💰 Payments'!$D$26&amp;" ("&amp;'💰 Payments'!$C$26&amp;")")</f>
        <v/>
      </c>
      <c r="AC60" s="3">
        <f>IF($AA60="","",'💰 Payments'!$K$26)</f>
        <v/>
      </c>
    </row>
    <row r="61" spans="27:29">
      <c r="AA61" s="5">
        <f>IF(AND(ISNUMBER('💰 Payments'!$L$27),IFERROR('💰 Payments'!$K$27*1,0)&gt;0),'💰 Payments'!$L$27,"")</f>
        <v/>
      </c>
      <c r="AB61" s="2">
        <f>IF($AA61="","",'💰 Payments'!$D$27&amp;" ("&amp;'💰 Payments'!$C$27&amp;")")</f>
        <v/>
      </c>
      <c r="AC61" s="3">
        <f>IF($AA61="","",'💰 Payments'!$K$27)</f>
        <v/>
      </c>
    </row>
    <row r="62" spans="27:29">
      <c r="AA62" s="5">
        <f>IF(AND(ISNUMBER('💰 Payments'!$L$28),IFERROR('💰 Payments'!$K$28*1,0)&gt;0),'💰 Payments'!$L$28,"")</f>
        <v/>
      </c>
      <c r="AB62" s="2">
        <f>IF($AA62="","",'💰 Payments'!$D$28&amp;" ("&amp;'💰 Payments'!$C$28&amp;")")</f>
        <v/>
      </c>
      <c r="AC62" s="3">
        <f>IF($AA62="","",'💰 Payments'!$K$28)</f>
        <v/>
      </c>
    </row>
    <row r="63" spans="27:29">
      <c r="AA63" s="5">
        <f>IF(AND(ISNUMBER('💰 Payments'!$L$29),IFERROR('💰 Payments'!$K$29*1,0)&gt;0),'💰 Payments'!$L$29,"")</f>
        <v/>
      </c>
      <c r="AB63" s="2">
        <f>IF($AA63="","",'💰 Payments'!$D$29&amp;" ("&amp;'💰 Payments'!$C$29&amp;")")</f>
        <v/>
      </c>
      <c r="AC63" s="3">
        <f>IF($AA63="","",'💰 Payments'!$K$29)</f>
        <v/>
      </c>
    </row>
    <row r="64" spans="27:29">
      <c r="AA64" s="5">
        <f>IF(AND(ISNUMBER('💰 Payments'!$L$30),IFERROR('💰 Payments'!$K$30*1,0)&gt;0),'💰 Payments'!$L$30,"")</f>
        <v/>
      </c>
      <c r="AB64" s="2">
        <f>IF($AA64="","",'💰 Payments'!$D$30&amp;" ("&amp;'💰 Payments'!$C$30&amp;")")</f>
        <v/>
      </c>
      <c r="AC64" s="3">
        <f>IF($AA64="","",'💰 Payments'!$K$30)</f>
        <v/>
      </c>
    </row>
    <row r="65" spans="27:29">
      <c r="AA65" s="5">
        <f>IF(AND(ISNUMBER('💰 Payments'!$L$31),IFERROR('💰 Payments'!$K$31*1,0)&gt;0),'💰 Payments'!$L$31,"")</f>
        <v/>
      </c>
      <c r="AB65" s="2">
        <f>IF($AA65="","",'💰 Payments'!$D$31&amp;" ("&amp;'💰 Payments'!$C$31&amp;")")</f>
        <v/>
      </c>
      <c r="AC65" s="3">
        <f>IF($AA65="","",'💰 Payments'!$K$31)</f>
        <v/>
      </c>
    </row>
    <row r="66" spans="27:29">
      <c r="AA66" s="5">
        <f>IF(AND(ISNUMBER('💰 Payments'!$L$32),IFERROR('💰 Payments'!$K$32*1,0)&gt;0),'💰 Payments'!$L$32,"")</f>
        <v/>
      </c>
      <c r="AB66" s="2">
        <f>IF($AA66="","",'💰 Payments'!$D$32&amp;" ("&amp;'💰 Payments'!$C$32&amp;")")</f>
        <v/>
      </c>
      <c r="AC66" s="3">
        <f>IF($AA66="","",'💰 Payments'!$K$32)</f>
        <v/>
      </c>
    </row>
    <row r="67" spans="27:29">
      <c r="AA67" s="5">
        <f>IF(AND(ISNUMBER('💰 Payments'!$L$33),IFERROR('💰 Payments'!$K$33*1,0)&gt;0),'💰 Payments'!$L$33,"")</f>
        <v/>
      </c>
      <c r="AB67" s="2">
        <f>IF($AA67="","",'💰 Payments'!$D$33&amp;" ("&amp;'💰 Payments'!$C$33&amp;")")</f>
        <v/>
      </c>
      <c r="AC67" s="3">
        <f>IF($AA67="","",'💰 Payments'!$K$33)</f>
        <v/>
      </c>
    </row>
    <row r="68" spans="27:29">
      <c r="AA68" s="5">
        <f>IF(AND(ISNUMBER('💰 Payments'!$L$34),IFERROR('💰 Payments'!$K$34*1,0)&gt;0),'💰 Payments'!$L$34,"")</f>
        <v/>
      </c>
      <c r="AB68" s="2">
        <f>IF($AA68="","",'💰 Payments'!$D$34&amp;" ("&amp;'💰 Payments'!$C$34&amp;")")</f>
        <v/>
      </c>
      <c r="AC68" s="3">
        <f>IF($AA68="","",'💰 Payments'!$K$34)</f>
        <v/>
      </c>
    </row>
    <row r="69" spans="27:29">
      <c r="AA69" s="5">
        <f>IF(AND(ISNUMBER('💰 Payments'!$L$35),IFERROR('💰 Payments'!$K$35*1,0)&gt;0),'💰 Payments'!$L$35,"")</f>
        <v/>
      </c>
      <c r="AB69" s="2">
        <f>IF($AA69="","",'💰 Payments'!$D$35&amp;" ("&amp;'💰 Payments'!$C$35&amp;")")</f>
        <v/>
      </c>
      <c r="AC69" s="3">
        <f>IF($AA69="","",'💰 Payments'!$K$35)</f>
        <v/>
      </c>
    </row>
    <row r="70" spans="27:29">
      <c r="AA70" s="5">
        <f>IF(AND(ISNUMBER('💰 Payments'!$L$36),IFERROR('💰 Payments'!$K$36*1,0)&gt;0),'💰 Payments'!$L$36,"")</f>
        <v/>
      </c>
      <c r="AB70" s="2">
        <f>IF($AA70="","",'💰 Payments'!$D$36&amp;" ("&amp;'💰 Payments'!$C$36&amp;")")</f>
        <v/>
      </c>
      <c r="AC70" s="3">
        <f>IF($AA70="","",'💰 Payments'!$K$36)</f>
        <v/>
      </c>
    </row>
    <row r="71" spans="27:29">
      <c r="AA71" s="5">
        <f>IF(AND(ISNUMBER('💰 Payments'!$L$37),IFERROR('💰 Payments'!$K$37*1,0)&gt;0),'💰 Payments'!$L$37,"")</f>
        <v/>
      </c>
      <c r="AB71" s="2">
        <f>IF($AA71="","",'💰 Payments'!$D$37&amp;" ("&amp;'💰 Payments'!$C$37&amp;")")</f>
        <v/>
      </c>
      <c r="AC71" s="3">
        <f>IF($AA71="","",'💰 Payments'!$K$37)</f>
        <v/>
      </c>
    </row>
    <row r="72" spans="27:29">
      <c r="AA72" s="5">
        <f>IF(AND(ISNUMBER('💰 Payments'!$L$38),IFERROR('💰 Payments'!$K$38*1,0)&gt;0),'💰 Payments'!$L$38,"")</f>
        <v/>
      </c>
      <c r="AB72" s="2">
        <f>IF($AA72="","",'💰 Payments'!$D$38&amp;" ("&amp;'💰 Payments'!$C$38&amp;")")</f>
        <v/>
      </c>
      <c r="AC72" s="3">
        <f>IF($AA72="","",'💰 Payments'!$K$38)</f>
        <v/>
      </c>
    </row>
    <row r="73" spans="27:29">
      <c r="AA73" s="5">
        <f>IF(AND(ISNUMBER('💰 Payments'!$L$39),IFERROR('💰 Payments'!$K$39*1,0)&gt;0),'💰 Payments'!$L$39,"")</f>
        <v/>
      </c>
      <c r="AB73" s="2">
        <f>IF($AA73="","",'💰 Payments'!$D$39&amp;" ("&amp;'💰 Payments'!$C$39&amp;")")</f>
        <v/>
      </c>
      <c r="AC73" s="3">
        <f>IF($AA73="","",'💰 Payments'!$K$39)</f>
        <v/>
      </c>
    </row>
    <row r="74" spans="27:29">
      <c r="AA74" s="5">
        <f>IF(AND(ISNUMBER('💰 Payments'!$L$40),IFERROR('💰 Payments'!$K$40*1,0)&gt;0),'💰 Payments'!$L$40,"")</f>
        <v/>
      </c>
      <c r="AB74" s="2">
        <f>IF($AA74="","",'💰 Payments'!$D$40&amp;" ("&amp;'💰 Payments'!$C$40&amp;")")</f>
        <v/>
      </c>
      <c r="AC74" s="3">
        <f>IF($AA74="","",'💰 Payments'!$K$40)</f>
        <v/>
      </c>
    </row>
    <row r="75" spans="27:29">
      <c r="AA75" s="5">
        <f>IF(AND(ISNUMBER('💰 Payments'!$L$41),IFERROR('💰 Payments'!$K$41*1,0)&gt;0),'💰 Payments'!$L$41,"")</f>
        <v/>
      </c>
      <c r="AB75" s="2">
        <f>IF($AA75="","",'💰 Payments'!$D$41&amp;" ("&amp;'💰 Payments'!$C$41&amp;")")</f>
        <v/>
      </c>
      <c r="AC75" s="3">
        <f>IF($AA75="","",'💰 Payments'!$K$41)</f>
        <v/>
      </c>
    </row>
    <row r="76" spans="27:29">
      <c r="AA76" s="5">
        <f>IF(AND(ISNUMBER('💰 Payments'!$L$42),IFERROR('💰 Payments'!$K$42*1,0)&gt;0),'💰 Payments'!$L$42,"")</f>
        <v/>
      </c>
      <c r="AB76" s="2">
        <f>IF($AA76="","",'💰 Payments'!$D$42&amp;" ("&amp;'💰 Payments'!$C$42&amp;")")</f>
        <v/>
      </c>
      <c r="AC76" s="3">
        <f>IF($AA76="","",'💰 Payments'!$K$42)</f>
        <v/>
      </c>
    </row>
    <row r="77" spans="27:29">
      <c r="AA77" s="5">
        <f>IF(AND(ISNUMBER('💰 Payments'!$L$43),IFERROR('💰 Payments'!$K$43*1,0)&gt;0),'💰 Payments'!$L$43,"")</f>
        <v/>
      </c>
      <c r="AB77" s="2">
        <f>IF($AA77="","",'💰 Payments'!$D$43&amp;" ("&amp;'💰 Payments'!$C$43&amp;")")</f>
        <v/>
      </c>
      <c r="AC77" s="3">
        <f>IF($AA77="","",'💰 Payments'!$K$43)</f>
        <v/>
      </c>
    </row>
    <row r="78" spans="27:29">
      <c r="AA78" s="5">
        <f>IF(AND(ISNUMBER('💰 Payments'!$L$44),IFERROR('💰 Payments'!$K$44*1,0)&gt;0),'💰 Payments'!$L$44,"")</f>
        <v/>
      </c>
      <c r="AB78" s="2">
        <f>IF($AA78="","",'💰 Payments'!$D$44&amp;" ("&amp;'💰 Payments'!$C$44&amp;")")</f>
        <v/>
      </c>
      <c r="AC78" s="3">
        <f>IF($AA78="","",'💰 Payments'!$K$44)</f>
        <v/>
      </c>
    </row>
    <row r="79" spans="27:29">
      <c r="AA79" s="5">
        <f>IF(AND(ISNUMBER('💰 Payments'!$L$45),IFERROR('💰 Payments'!$K$45*1,0)&gt;0),'💰 Payments'!$L$45,"")</f>
        <v/>
      </c>
      <c r="AB79" s="2">
        <f>IF($AA79="","",'💰 Payments'!$D$45&amp;" ("&amp;'💰 Payments'!$C$45&amp;")")</f>
        <v/>
      </c>
      <c r="AC79" s="3">
        <f>IF($AA79="","",'💰 Payments'!$K$45)</f>
        <v/>
      </c>
    </row>
    <row r="80" spans="27:29">
      <c r="AA80" s="5">
        <f>IF(AND(ISNUMBER('💰 Payments'!$L$46),IFERROR('💰 Payments'!$K$46*1,0)&gt;0),'💰 Payments'!$L$46,"")</f>
        <v/>
      </c>
      <c r="AB80" s="2">
        <f>IF($AA80="","",'💰 Payments'!$D$46&amp;" ("&amp;'💰 Payments'!$C$46&amp;")")</f>
        <v/>
      </c>
      <c r="AC80" s="3">
        <f>IF($AA80="","",'💰 Payments'!$K$46)</f>
        <v/>
      </c>
    </row>
    <row r="81" spans="27:29">
      <c r="AA81" s="5">
        <f>IF(AND(ISNUMBER('💰 Payments'!$L$47),IFERROR('💰 Payments'!$K$47*1,0)&gt;0),'💰 Payments'!$L$47,"")</f>
        <v/>
      </c>
      <c r="AB81" s="2">
        <f>IF($AA81="","",'💰 Payments'!$D$47&amp;" ("&amp;'💰 Payments'!$C$47&amp;")")</f>
        <v/>
      </c>
      <c r="AC81" s="3">
        <f>IF($AA81="","",'💰 Payments'!$K$47)</f>
        <v/>
      </c>
    </row>
    <row r="82" spans="27:29">
      <c r="AA82" s="5">
        <f>IF(AND(ISNUMBER('💰 Payments'!$L$48),IFERROR('💰 Payments'!$K$48*1,0)&gt;0),'💰 Payments'!$L$48,"")</f>
        <v/>
      </c>
      <c r="AB82" s="2">
        <f>IF($AA82="","",'💰 Payments'!$D$48&amp;" ("&amp;'💰 Payments'!$C$48&amp;")")</f>
        <v/>
      </c>
      <c r="AC82" s="3">
        <f>IF($AA82="","",'💰 Payments'!$K$48)</f>
        <v/>
      </c>
    </row>
    <row r="83" spans="27:29">
      <c r="AA83" s="5">
        <f>IF(AND(ISNUMBER('💰 Payments'!$L$49),IFERROR('💰 Payments'!$K$49*1,0)&gt;0),'💰 Payments'!$L$49,"")</f>
        <v/>
      </c>
      <c r="AB83" s="2">
        <f>IF($AA83="","",'💰 Payments'!$D$49&amp;" ("&amp;'💰 Payments'!$C$49&amp;")")</f>
        <v/>
      </c>
      <c r="AC83" s="3">
        <f>IF($AA83="","",'💰 Payments'!$K$49)</f>
        <v/>
      </c>
    </row>
    <row r="84" spans="27:29">
      <c r="AA84" s="5">
        <f>IF(AND(ISNUMBER('💰 Payments'!$L$50),IFERROR('💰 Payments'!$K$50*1,0)&gt;0),'💰 Payments'!$L$50,"")</f>
        <v/>
      </c>
      <c r="AB84" s="2">
        <f>IF($AA84="","",'💰 Payments'!$D$50&amp;" ("&amp;'💰 Payments'!$C$50&amp;")")</f>
        <v/>
      </c>
      <c r="AC84" s="3">
        <f>IF($AA84="","",'💰 Payments'!$K$50)</f>
        <v/>
      </c>
    </row>
    <row r="85" spans="27:29">
      <c r="AA85" s="5">
        <f>IF(AND(ISNUMBER('💰 Payments'!$L$51),IFERROR('💰 Payments'!$K$51*1,0)&gt;0),'💰 Payments'!$L$51,"")</f>
        <v/>
      </c>
      <c r="AB85" s="2">
        <f>IF($AA85="","",'💰 Payments'!$D$51&amp;" ("&amp;'💰 Payments'!$C$51&amp;")")</f>
        <v/>
      </c>
      <c r="AC85" s="3">
        <f>IF($AA85="","",'💰 Payments'!$K$51)</f>
        <v/>
      </c>
    </row>
    <row r="86" spans="27:29">
      <c r="AA86" s="5">
        <f>IF(AND(ISNUMBER('💰 Payments'!$L$52),IFERROR('💰 Payments'!$K$52*1,0)&gt;0),'💰 Payments'!$L$52,"")</f>
        <v/>
      </c>
      <c r="AB86" s="2">
        <f>IF($AA86="","",'💰 Payments'!$D$52&amp;" ("&amp;'💰 Payments'!$C$52&amp;")")</f>
        <v/>
      </c>
      <c r="AC86" s="3">
        <f>IF($AA86="","",'💰 Payments'!$K$52)</f>
        <v/>
      </c>
    </row>
    <row r="87" spans="27:29">
      <c r="AA87" s="5">
        <f>IF(AND(ISNUMBER('💰 Payments'!$L$53),IFERROR('💰 Payments'!$K$53*1,0)&gt;0),'💰 Payments'!$L$53,"")</f>
        <v/>
      </c>
      <c r="AB87" s="2">
        <f>IF($AA87="","",'💰 Payments'!$D$53&amp;" ("&amp;'💰 Payments'!$C$53&amp;")")</f>
        <v/>
      </c>
      <c r="AC87" s="3">
        <f>IF($AA87="","",'💰 Payments'!$K$53)</f>
        <v/>
      </c>
    </row>
    <row r="88" spans="27:29">
      <c r="AA88" s="5">
        <f>IF(AND(ISNUMBER('💰 Payments'!$L$54),IFERROR('💰 Payments'!$K$54*1,0)&gt;0),'💰 Payments'!$L$54,"")</f>
        <v/>
      </c>
      <c r="AB88" s="2">
        <f>IF($AA88="","",'💰 Payments'!$D$54&amp;" ("&amp;'💰 Payments'!$C$54&amp;")")</f>
        <v/>
      </c>
      <c r="AC88" s="3">
        <f>IF($AA88="","",'💰 Payments'!$K$54)</f>
        <v/>
      </c>
    </row>
    <row r="89" spans="27:29">
      <c r="AA89" s="5">
        <f>IF(AND(ISNUMBER('💰 Payments'!$L$55),IFERROR('💰 Payments'!$K$55*1,0)&gt;0),'💰 Payments'!$L$55,"")</f>
        <v/>
      </c>
      <c r="AB89" s="2">
        <f>IF($AA89="","",'💰 Payments'!$D$55&amp;" ("&amp;'💰 Payments'!$C$55&amp;")")</f>
        <v/>
      </c>
      <c r="AC89" s="3">
        <f>IF($AA89="","",'💰 Payments'!$K$55)</f>
        <v/>
      </c>
    </row>
    <row r="90" spans="27:29">
      <c r="AA90" s="5">
        <f>IF(AND(ISNUMBER('💰 Payments'!$L$56),IFERROR('💰 Payments'!$K$56*1,0)&gt;0),'💰 Payments'!$L$56,"")</f>
        <v/>
      </c>
      <c r="AB90" s="2">
        <f>IF($AA90="","",'💰 Payments'!$D$56&amp;" ("&amp;'💰 Payments'!$C$56&amp;")")</f>
        <v/>
      </c>
      <c r="AC90" s="3">
        <f>IF($AA90="","",'💰 Payments'!$K$56)</f>
        <v/>
      </c>
    </row>
    <row r="91" spans="27:29">
      <c r="AA91" s="5">
        <f>IF(AND(ISNUMBER('💰 Payments'!$L$57),IFERROR('💰 Payments'!$K$57*1,0)&gt;0),'💰 Payments'!$L$57,"")</f>
        <v/>
      </c>
      <c r="AB91" s="2">
        <f>IF($AA91="","",'💰 Payments'!$D$57&amp;" ("&amp;'💰 Payments'!$C$57&amp;")")</f>
        <v/>
      </c>
      <c r="AC91" s="3">
        <f>IF($AA91="","",'💰 Payments'!$K$57)</f>
        <v/>
      </c>
    </row>
    <row r="92" spans="27:29">
      <c r="AA92" s="5">
        <f>IF(AND(ISNUMBER('💰 Payments'!$L$58),IFERROR('💰 Payments'!$K$58*1,0)&gt;0),'💰 Payments'!$L$58,"")</f>
        <v/>
      </c>
      <c r="AB92" s="2">
        <f>IF($AA92="","",'💰 Payments'!$D$58&amp;" ("&amp;'💰 Payments'!$C$58&amp;")")</f>
        <v/>
      </c>
      <c r="AC92" s="3">
        <f>IF($AA92="","",'💰 Payments'!$K$58)</f>
        <v/>
      </c>
    </row>
    <row r="93" spans="27:29">
      <c r="AA93" s="5">
        <f>IF(AND(ISNUMBER('💰 Payments'!$L$59),IFERROR('💰 Payments'!$K$59*1,0)&gt;0),'💰 Payments'!$L$59,"")</f>
        <v/>
      </c>
      <c r="AB93" s="2">
        <f>IF($AA93="","",'💰 Payments'!$D$59&amp;" ("&amp;'💰 Payments'!$C$59&amp;")")</f>
        <v/>
      </c>
      <c r="AC93" s="3">
        <f>IF($AA93="","",'💰 Payments'!$K$59)</f>
        <v/>
      </c>
    </row>
    <row r="94" spans="27:29">
      <c r="AA94" s="5">
        <f>IF(AND(ISNUMBER('💰 Payments'!$L$60),IFERROR('💰 Payments'!$K$60*1,0)&gt;0),'💰 Payments'!$L$60,"")</f>
        <v/>
      </c>
      <c r="AB94" s="2">
        <f>IF($AA94="","",'💰 Payments'!$D$60&amp;" ("&amp;'💰 Payments'!$C$60&amp;")")</f>
        <v/>
      </c>
      <c r="AC94" s="3">
        <f>IF($AA94="","",'💰 Payments'!$K$60)</f>
        <v/>
      </c>
    </row>
    <row r="95" spans="27:29">
      <c r="AA95" s="5">
        <f>IF(AND(ISNUMBER('💰 Payments'!$L$61),IFERROR('💰 Payments'!$K$61*1,0)&gt;0),'💰 Payments'!$L$61,"")</f>
        <v/>
      </c>
      <c r="AB95" s="2">
        <f>IF($AA95="","",'💰 Payments'!$D$61&amp;" ("&amp;'💰 Payments'!$C$61&amp;")")</f>
        <v/>
      </c>
      <c r="AC95" s="3">
        <f>IF($AA95="","",'💰 Payments'!$K$61)</f>
        <v/>
      </c>
    </row>
    <row r="96" spans="27:29">
      <c r="AA96" s="5">
        <f>IF(AND(ISNUMBER('💰 Payments'!$L$62),IFERROR('💰 Payments'!$K$62*1,0)&gt;0),'💰 Payments'!$L$62,"")</f>
        <v/>
      </c>
      <c r="AB96" s="2">
        <f>IF($AA96="","",'💰 Payments'!$D$62&amp;" ("&amp;'💰 Payments'!$C$62&amp;")")</f>
        <v/>
      </c>
      <c r="AC96" s="3">
        <f>IF($AA96="","",'💰 Payments'!$K$62)</f>
        <v/>
      </c>
    </row>
    <row r="97" spans="27:29">
      <c r="AA97" s="5">
        <f>IF(AND(ISNUMBER('💰 Payments'!$L$63),IFERROR('💰 Payments'!$K$63*1,0)&gt;0),'💰 Payments'!$L$63,"")</f>
        <v/>
      </c>
      <c r="AB97" s="2">
        <f>IF($AA97="","",'💰 Payments'!$D$63&amp;" ("&amp;'💰 Payments'!$C$63&amp;")")</f>
        <v/>
      </c>
      <c r="AC97" s="3">
        <f>IF($AA97="","",'💰 Payments'!$K$63)</f>
        <v/>
      </c>
    </row>
    <row r="98" spans="27:29">
      <c r="AA98" s="5">
        <f>IF(AND(ISNUMBER('💰 Payments'!$L$64),IFERROR('💰 Payments'!$K$64*1,0)&gt;0),'💰 Payments'!$L$64,"")</f>
        <v/>
      </c>
      <c r="AB98" s="2">
        <f>IF($AA98="","",'💰 Payments'!$D$64&amp;" ("&amp;'💰 Payments'!$C$64&amp;")")</f>
        <v/>
      </c>
      <c r="AC98" s="3">
        <f>IF($AA98="","",'💰 Payments'!$K$64)</f>
        <v/>
      </c>
    </row>
    <row r="99" spans="27:29">
      <c r="AA99" s="5">
        <f>IF(AND(ISNUMBER('💰 Payments'!$L$65),IFERROR('💰 Payments'!$K$65*1,0)&gt;0),'💰 Payments'!$L$65,"")</f>
        <v/>
      </c>
      <c r="AB99" s="2">
        <f>IF($AA99="","",'💰 Payments'!$D$65&amp;" ("&amp;'💰 Payments'!$C$65&amp;")")</f>
        <v/>
      </c>
      <c r="AC99" s="3">
        <f>IF($AA99="","",'💰 Payments'!$K$65)</f>
        <v/>
      </c>
    </row>
    <row r="100" spans="27:29">
      <c r="AA100" s="5">
        <f>IF(AND(ISNUMBER('💰 Payments'!$L$66),IFERROR('💰 Payments'!$K$66*1,0)&gt;0),'💰 Payments'!$L$66,"")</f>
        <v/>
      </c>
      <c r="AB100" s="2">
        <f>IF($AA100="","",'💰 Payments'!$D$66&amp;" ("&amp;'💰 Payments'!$C$66&amp;")")</f>
        <v/>
      </c>
      <c r="AC100" s="3">
        <f>IF($AA100="","",'💰 Payments'!$K$66)</f>
        <v/>
      </c>
    </row>
    <row r="101" spans="27:29">
      <c r="AA101" s="5">
        <f>IF(AND(ISNUMBER('💰 Payments'!$L$67),IFERROR('💰 Payments'!$K$67*1,0)&gt;0),'💰 Payments'!$L$67,"")</f>
        <v/>
      </c>
      <c r="AB101" s="2">
        <f>IF($AA101="","",'💰 Payments'!$D$67&amp;" ("&amp;'💰 Payments'!$C$67&amp;")")</f>
        <v/>
      </c>
      <c r="AC101" s="3">
        <f>IF($AA101="","",'💰 Payments'!$K$67)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7A5C43"/>
    <pageSetUpPr fitToPage="1"/>
  </sheetPr>
  <dimension ref="A1:J71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2.85546875" customWidth="1"/>
    <col min="2" max="2" width="34.7109375" customWidth="1"/>
    <col min="3" max="3" width="30.7109375" customWidth="1"/>
    <col min="4" max="4" width="16.7109375" customWidth="1"/>
    <col min="5" max="5" width="16.7109375" customWidth="1"/>
    <col min="6" max="6" width="16.7109375" customWidth="1"/>
    <col min="7" max="7" width="18.7109375" customWidth="1"/>
    <col min="8" max="8" width="16.7109375" customWidth="1"/>
    <col min="9" max="9" width="16.7109375" customWidth="1"/>
    <col min="10" max="10" width="16.7109375" customWidth="1"/>
  </cols>
  <sheetData>
    <row r="1" spans="1:10" ht="7" customHeight="1">
      <c r="A1" s="7"/>
      <c r="B1" s="7"/>
      <c r="C1" s="7"/>
      <c r="D1" s="7"/>
      <c r="E1" s="7"/>
      <c r="F1" s="7"/>
      <c r="G1" s="7"/>
      <c r="H1" s="7"/>
      <c r="I1" s="7"/>
      <c r="J1" s="7"/>
    </row>
    <row r="2" spans="1:10" ht="32" customHeight="1">
      <c r="A2" s="7"/>
      <c r="B2" s="8" t="s">
        <v>95</v>
      </c>
      <c r="C2" s="8"/>
      <c r="D2" s="8"/>
      <c r="E2" s="8"/>
      <c r="F2" s="8"/>
      <c r="G2" s="8"/>
      <c r="H2" s="7"/>
      <c r="I2" s="7"/>
      <c r="J2" s="7"/>
    </row>
    <row r="3" spans="1:10" ht="18" customHeight="1">
      <c r="A3" s="7"/>
      <c r="B3" s="9" t="s">
        <v>96</v>
      </c>
      <c r="C3" s="9"/>
      <c r="D3" s="9"/>
      <c r="E3" s="9"/>
      <c r="F3" s="9"/>
      <c r="G3" s="9"/>
      <c r="H3" s="10" t="s">
        <v>97</v>
      </c>
      <c r="I3" s="10"/>
      <c r="J3" s="10"/>
    </row>
    <row r="4" spans="1:10" ht="7" customHeight="1">
      <c r="A4" s="7"/>
      <c r="B4" s="7"/>
      <c r="C4" s="7"/>
      <c r="D4" s="7"/>
      <c r="E4" s="7"/>
      <c r="F4" s="7"/>
      <c r="G4" s="7"/>
      <c r="H4" s="7"/>
      <c r="I4" s="7"/>
      <c r="J4" s="7"/>
    </row>
    <row r="5" spans="1:10" ht="24" customHeight="1">
      <c r="A5" s="7"/>
      <c r="B5" s="11" t="s">
        <v>98</v>
      </c>
      <c r="C5" s="11"/>
      <c r="D5" s="11"/>
      <c r="E5" s="11"/>
      <c r="F5" s="11"/>
      <c r="G5" s="11"/>
      <c r="H5" s="11"/>
      <c r="I5" s="11"/>
      <c r="J5" s="11"/>
    </row>
    <row r="6" spans="1:10" ht="28" customHeight="1">
      <c r="A6" s="7"/>
      <c r="B6" s="12" t="s">
        <v>99</v>
      </c>
      <c r="C6" s="13"/>
      <c r="D6" s="14" t="s">
        <v>100</v>
      </c>
      <c r="E6" s="14"/>
      <c r="F6" s="14"/>
      <c r="G6" s="14"/>
      <c r="H6" s="14"/>
      <c r="I6" s="14"/>
      <c r="J6" s="14"/>
    </row>
    <row r="7" spans="1:10" ht="26" customHeight="1">
      <c r="A7" s="7"/>
      <c r="B7" s="12" t="s">
        <v>101</v>
      </c>
      <c r="C7" s="13"/>
      <c r="D7" s="14" t="s">
        <v>102</v>
      </c>
      <c r="E7" s="14"/>
      <c r="F7" s="14"/>
      <c r="G7" s="14"/>
      <c r="H7" s="14"/>
      <c r="I7" s="14"/>
      <c r="J7" s="14"/>
    </row>
    <row r="8" spans="1:10" ht="8" customHeight="1">
      <c r="A8" s="7"/>
      <c r="B8" s="7"/>
      <c r="C8" s="7"/>
      <c r="D8" s="7"/>
      <c r="E8" s="7"/>
      <c r="F8" s="7"/>
      <c r="G8" s="7"/>
      <c r="H8" s="7"/>
      <c r="I8" s="7"/>
      <c r="J8" s="7"/>
    </row>
    <row r="9" spans="1:10" ht="24" customHeight="1">
      <c r="A9" s="7"/>
      <c r="B9" s="11" t="s">
        <v>103</v>
      </c>
      <c r="C9" s="11"/>
      <c r="D9" s="11"/>
      <c r="E9" s="11"/>
      <c r="F9" s="11"/>
      <c r="G9" s="11"/>
      <c r="H9" s="11"/>
      <c r="I9" s="11"/>
      <c r="J9" s="11"/>
    </row>
    <row r="10" spans="1:10" ht="26" customHeight="1">
      <c r="A10" s="7"/>
      <c r="B10" s="12" t="s">
        <v>104</v>
      </c>
      <c r="C10" s="13" t="s">
        <v>105</v>
      </c>
      <c r="D10" s="14" t="s">
        <v>106</v>
      </c>
      <c r="E10" s="14"/>
      <c r="F10" s="14"/>
      <c r="G10" s="14"/>
      <c r="H10" s="14"/>
      <c r="I10" s="14"/>
      <c r="J10" s="14"/>
    </row>
    <row r="11" spans="1:10" ht="26" customHeight="1">
      <c r="A11" s="7"/>
      <c r="B11" s="12" t="s">
        <v>107</v>
      </c>
      <c r="C11" s="15">
        <v>0</v>
      </c>
      <c r="D11" s="14" t="s">
        <v>108</v>
      </c>
      <c r="E11" s="14"/>
      <c r="F11" s="14"/>
      <c r="G11" s="14"/>
      <c r="H11" s="14"/>
      <c r="I11" s="14"/>
      <c r="J11" s="14"/>
    </row>
    <row r="12" spans="1:10" ht="26" customHeight="1">
      <c r="A12" s="7"/>
      <c r="B12" s="12" t="s">
        <v>109</v>
      </c>
      <c r="C12" s="16">
        <v>0.35</v>
      </c>
      <c r="D12" s="14" t="s">
        <v>110</v>
      </c>
      <c r="E12" s="14"/>
      <c r="F12" s="14"/>
      <c r="G12" s="14"/>
      <c r="H12" s="14"/>
      <c r="I12" s="14"/>
      <c r="J12" s="14"/>
    </row>
    <row r="13" spans="1:10" ht="26" customHeight="1">
      <c r="A13" s="7"/>
      <c r="B13" s="12" t="s">
        <v>111</v>
      </c>
      <c r="C13" s="16">
        <v>0.4</v>
      </c>
      <c r="D13" s="14" t="s">
        <v>112</v>
      </c>
      <c r="E13" s="14"/>
      <c r="F13" s="14"/>
      <c r="G13" s="14"/>
      <c r="H13" s="14"/>
      <c r="I13" s="14"/>
      <c r="J13" s="14"/>
    </row>
    <row r="14" spans="1:10" ht="26" customHeight="1">
      <c r="A14" s="7"/>
      <c r="B14" s="12" t="s">
        <v>113</v>
      </c>
      <c r="C14" s="17">
        <v>7</v>
      </c>
      <c r="D14" s="14" t="s">
        <v>114</v>
      </c>
      <c r="E14" s="14"/>
      <c r="F14" s="14"/>
      <c r="G14" s="14"/>
      <c r="H14" s="14"/>
      <c r="I14" s="14"/>
      <c r="J14" s="14"/>
    </row>
    <row r="15" spans="1:10" ht="26" customHeight="1">
      <c r="A15" s="7"/>
      <c r="B15" s="12" t="s">
        <v>115</v>
      </c>
      <c r="C15" s="17">
        <v>2026</v>
      </c>
      <c r="D15" s="14" t="s">
        <v>116</v>
      </c>
      <c r="E15" s="14"/>
      <c r="F15" s="14"/>
      <c r="G15" s="14"/>
      <c r="H15" s="14"/>
      <c r="I15" s="14"/>
      <c r="J15" s="14"/>
    </row>
    <row r="16" spans="1:10" ht="8" customHeight="1">
      <c r="A16" s="7"/>
      <c r="B16" s="7"/>
      <c r="C16" s="7"/>
      <c r="D16" s="7"/>
      <c r="E16" s="7"/>
      <c r="F16" s="7"/>
      <c r="G16" s="7"/>
      <c r="H16" s="7"/>
      <c r="I16" s="7"/>
      <c r="J16" s="7"/>
    </row>
    <row r="17" spans="1:10" ht="24" customHeight="1">
      <c r="A17" s="7"/>
      <c r="B17" s="11" t="s">
        <v>117</v>
      </c>
      <c r="C17" s="11"/>
      <c r="D17" s="11"/>
      <c r="E17" s="11"/>
      <c r="F17" s="11"/>
      <c r="G17" s="11"/>
      <c r="H17" s="11"/>
      <c r="I17" s="11"/>
      <c r="J17" s="11"/>
    </row>
    <row r="18" spans="1:10" ht="26" customHeight="1">
      <c r="A18" s="7"/>
      <c r="B18" s="12" t="s">
        <v>118</v>
      </c>
      <c r="C18" s="17">
        <v>9</v>
      </c>
      <c r="D18" s="14" t="s">
        <v>119</v>
      </c>
      <c r="E18" s="14"/>
      <c r="F18" s="14"/>
      <c r="G18" s="14"/>
      <c r="H18" s="14"/>
      <c r="I18" s="14"/>
      <c r="J18" s="14"/>
    </row>
    <row r="19" spans="1:10" ht="26" customHeight="1">
      <c r="A19" s="7"/>
      <c r="B19" s="12" t="s">
        <v>120</v>
      </c>
      <c r="C19" s="17">
        <v>2026</v>
      </c>
      <c r="D19" s="14"/>
      <c r="E19" s="14"/>
      <c r="F19" s="14"/>
      <c r="G19" s="14"/>
      <c r="H19" s="14"/>
      <c r="I19" s="14"/>
      <c r="J19" s="14"/>
    </row>
    <row r="20" spans="1:10" ht="8" customHeight="1">
      <c r="A20" s="7"/>
      <c r="B20" s="7"/>
      <c r="C20" s="7"/>
      <c r="D20" s="7"/>
      <c r="E20" s="7"/>
      <c r="F20" s="7"/>
      <c r="G20" s="7"/>
      <c r="H20" s="7"/>
      <c r="I20" s="7"/>
      <c r="J20" s="7"/>
    </row>
    <row r="21" spans="1:10" ht="24" customHeight="1">
      <c r="A21" s="7"/>
      <c r="B21" s="11" t="s">
        <v>121</v>
      </c>
      <c r="C21" s="11"/>
      <c r="D21" s="11"/>
      <c r="E21" s="11"/>
      <c r="F21" s="11"/>
      <c r="G21" s="11"/>
      <c r="H21" s="11"/>
      <c r="I21" s="11"/>
      <c r="J21" s="11"/>
    </row>
    <row r="22" spans="1:10" ht="30" customHeight="1">
      <c r="A22" s="7"/>
      <c r="B22" s="18" t="s">
        <v>122</v>
      </c>
      <c r="C22" s="18" t="s">
        <v>123</v>
      </c>
      <c r="D22" s="18" t="s">
        <v>124</v>
      </c>
      <c r="E22" s="18" t="s">
        <v>125</v>
      </c>
      <c r="F22" s="18" t="s">
        <v>126</v>
      </c>
      <c r="G22" s="18" t="s">
        <v>127</v>
      </c>
      <c r="H22" s="7"/>
      <c r="I22" s="7"/>
      <c r="J22" s="7"/>
    </row>
    <row r="23" spans="1:10" ht="18" customHeight="1">
      <c r="A23" s="7"/>
      <c r="B23" s="19" t="s">
        <v>32</v>
      </c>
      <c r="C23" s="19" t="s">
        <v>19</v>
      </c>
      <c r="D23" s="19" t="s">
        <v>128</v>
      </c>
      <c r="E23" s="19" t="s">
        <v>129</v>
      </c>
      <c r="F23" s="19" t="s">
        <v>130</v>
      </c>
      <c r="G23" s="19" t="s">
        <v>131</v>
      </c>
      <c r="H23" s="7"/>
      <c r="I23" s="7"/>
      <c r="J23" s="7"/>
    </row>
    <row r="24" spans="1:10" ht="18" customHeight="1">
      <c r="A24" s="7"/>
      <c r="B24" s="20" t="s">
        <v>33</v>
      </c>
      <c r="C24" s="20" t="s">
        <v>20</v>
      </c>
      <c r="D24" s="20" t="s">
        <v>132</v>
      </c>
      <c r="E24" s="20" t="s">
        <v>133</v>
      </c>
      <c r="F24" s="20" t="s">
        <v>134</v>
      </c>
      <c r="G24" s="20" t="s">
        <v>135</v>
      </c>
      <c r="H24" s="7"/>
      <c r="I24" s="7"/>
      <c r="J24" s="7"/>
    </row>
    <row r="25" spans="1:10" ht="18" customHeight="1">
      <c r="A25" s="7"/>
      <c r="B25" s="19" t="s">
        <v>34</v>
      </c>
      <c r="C25" s="19" t="s">
        <v>21</v>
      </c>
      <c r="D25" s="19" t="s">
        <v>136</v>
      </c>
      <c r="E25" s="19" t="s">
        <v>137</v>
      </c>
      <c r="F25" s="19" t="s">
        <v>138</v>
      </c>
      <c r="G25" s="19" t="s">
        <v>139</v>
      </c>
      <c r="H25" s="7"/>
      <c r="I25" s="7"/>
      <c r="J25" s="7"/>
    </row>
    <row r="26" spans="1:10" ht="18" customHeight="1">
      <c r="A26" s="7"/>
      <c r="B26" s="20" t="s">
        <v>35</v>
      </c>
      <c r="C26" s="20" t="s">
        <v>22</v>
      </c>
      <c r="D26" s="20" t="s">
        <v>140</v>
      </c>
      <c r="E26" s="20" t="s">
        <v>141</v>
      </c>
      <c r="F26" s="20" t="s">
        <v>142</v>
      </c>
      <c r="G26" s="20" t="s">
        <v>143</v>
      </c>
      <c r="H26" s="7"/>
      <c r="I26" s="7"/>
      <c r="J26" s="7"/>
    </row>
    <row r="27" spans="1:10" ht="18" customHeight="1">
      <c r="A27" s="7"/>
      <c r="B27" s="19" t="s">
        <v>36</v>
      </c>
      <c r="C27" s="19" t="s">
        <v>23</v>
      </c>
      <c r="D27" s="19" t="s">
        <v>144</v>
      </c>
      <c r="E27" s="19" t="s">
        <v>145</v>
      </c>
      <c r="F27" s="19" t="s">
        <v>146</v>
      </c>
      <c r="G27" s="19" t="s">
        <v>147</v>
      </c>
      <c r="H27" s="7"/>
      <c r="I27" s="7"/>
      <c r="J27" s="7"/>
    </row>
    <row r="28" spans="1:10" ht="18" customHeight="1">
      <c r="A28" s="7"/>
      <c r="B28" s="20" t="s">
        <v>37</v>
      </c>
      <c r="C28" s="20" t="s">
        <v>24</v>
      </c>
      <c r="D28" s="20" t="s">
        <v>40</v>
      </c>
      <c r="E28" s="20" t="s">
        <v>148</v>
      </c>
      <c r="F28" s="20" t="s">
        <v>149</v>
      </c>
      <c r="G28" s="20" t="s">
        <v>150</v>
      </c>
      <c r="H28" s="7"/>
      <c r="I28" s="7"/>
      <c r="J28" s="7"/>
    </row>
    <row r="29" spans="1:10" ht="18" customHeight="1">
      <c r="A29" s="7"/>
      <c r="B29" s="19" t="s">
        <v>38</v>
      </c>
      <c r="C29" s="19" t="s">
        <v>25</v>
      </c>
      <c r="D29" s="19"/>
      <c r="E29" s="19" t="s">
        <v>151</v>
      </c>
      <c r="F29" s="19" t="s">
        <v>40</v>
      </c>
      <c r="G29" s="19" t="s">
        <v>20</v>
      </c>
      <c r="H29" s="7"/>
      <c r="I29" s="7"/>
      <c r="J29" s="7"/>
    </row>
    <row r="30" spans="1:10" ht="18" customHeight="1">
      <c r="A30" s="7"/>
      <c r="B30" s="20" t="s">
        <v>39</v>
      </c>
      <c r="C30" s="20" t="s">
        <v>26</v>
      </c>
      <c r="D30" s="20"/>
      <c r="E30" s="20" t="s">
        <v>152</v>
      </c>
      <c r="F30" s="20"/>
      <c r="G30" s="20" t="s">
        <v>40</v>
      </c>
      <c r="H30" s="7"/>
      <c r="I30" s="7"/>
      <c r="J30" s="7"/>
    </row>
    <row r="31" spans="1:10" ht="18" customHeight="1">
      <c r="A31" s="7"/>
      <c r="B31" s="19" t="s">
        <v>40</v>
      </c>
      <c r="C31" s="19" t="s">
        <v>27</v>
      </c>
      <c r="D31" s="19"/>
      <c r="E31" s="19" t="s">
        <v>153</v>
      </c>
      <c r="F31" s="19"/>
      <c r="G31" s="19"/>
      <c r="H31" s="7"/>
      <c r="I31" s="7"/>
      <c r="J31" s="7"/>
    </row>
    <row r="32" spans="1:10" ht="18" customHeight="1">
      <c r="A32" s="7"/>
      <c r="B32" s="20"/>
      <c r="C32" s="20" t="s">
        <v>28</v>
      </c>
      <c r="D32" s="20"/>
      <c r="E32" s="20" t="s">
        <v>40</v>
      </c>
      <c r="F32" s="20"/>
      <c r="G32" s="20"/>
      <c r="H32" s="7"/>
      <c r="I32" s="7"/>
      <c r="J32" s="7"/>
    </row>
    <row r="33" spans="1:10" ht="18" customHeight="1">
      <c r="A33" s="7"/>
      <c r="B33" s="19"/>
      <c r="C33" s="19" t="s">
        <v>29</v>
      </c>
      <c r="D33" s="19"/>
      <c r="E33" s="19"/>
      <c r="F33" s="19"/>
      <c r="G33" s="19"/>
      <c r="H33" s="7"/>
      <c r="I33" s="7"/>
      <c r="J33" s="7"/>
    </row>
    <row r="34" spans="1:10" ht="18" customHeight="1">
      <c r="A34" s="7"/>
      <c r="B34" s="20"/>
      <c r="C34" s="20"/>
      <c r="D34" s="20"/>
      <c r="E34" s="20"/>
      <c r="F34" s="20"/>
      <c r="G34" s="20"/>
      <c r="H34" s="7"/>
      <c r="I34" s="7"/>
      <c r="J34" s="7"/>
    </row>
    <row r="35" spans="1:10" ht="18" customHeight="1">
      <c r="A35" s="7"/>
      <c r="B35" s="19"/>
      <c r="C35" s="19"/>
      <c r="D35" s="19"/>
      <c r="E35" s="19"/>
      <c r="F35" s="19"/>
      <c r="G35" s="19"/>
      <c r="H35" s="7"/>
      <c r="I35" s="7"/>
      <c r="J35" s="7"/>
    </row>
    <row r="36" spans="1:10" ht="18" customHeight="1">
      <c r="A36" s="7"/>
      <c r="B36" s="20"/>
      <c r="C36" s="20"/>
      <c r="D36" s="20"/>
      <c r="E36" s="20"/>
      <c r="F36" s="20"/>
      <c r="G36" s="20"/>
      <c r="H36" s="7"/>
      <c r="I36" s="7"/>
      <c r="J36" s="7"/>
    </row>
    <row r="37" spans="1:10" ht="18" customHeight="1">
      <c r="A37" s="7"/>
      <c r="B37" s="19"/>
      <c r="C37" s="19"/>
      <c r="D37" s="19"/>
      <c r="E37" s="19"/>
      <c r="F37" s="19"/>
      <c r="G37" s="19"/>
      <c r="H37" s="7"/>
      <c r="I37" s="7"/>
      <c r="J37" s="7"/>
    </row>
    <row r="38" spans="1:10" ht="18" customHeight="1">
      <c r="A38" s="7"/>
      <c r="B38" s="20"/>
      <c r="C38" s="20"/>
      <c r="D38" s="20"/>
      <c r="E38" s="20"/>
      <c r="F38" s="20"/>
      <c r="G38" s="20"/>
      <c r="H38" s="7"/>
      <c r="I38" s="7"/>
      <c r="J38" s="7"/>
    </row>
    <row r="39" spans="1:10" ht="18" customHeight="1">
      <c r="A39" s="7"/>
      <c r="B39" s="19"/>
      <c r="C39" s="19"/>
      <c r="D39" s="19"/>
      <c r="E39" s="19"/>
      <c r="F39" s="19"/>
      <c r="G39" s="19"/>
      <c r="H39" s="7"/>
      <c r="I39" s="7"/>
      <c r="J39" s="7"/>
    </row>
    <row r="40" spans="1:10" ht="18" customHeight="1">
      <c r="A40" s="7"/>
      <c r="B40" s="20"/>
      <c r="C40" s="20"/>
      <c r="D40" s="20"/>
      <c r="E40" s="20"/>
      <c r="F40" s="20"/>
      <c r="G40" s="20"/>
      <c r="H40" s="7"/>
      <c r="I40" s="7"/>
      <c r="J40" s="7"/>
    </row>
    <row r="41" spans="1:10" ht="18" customHeight="1">
      <c r="A41" s="7"/>
      <c r="B41" s="19"/>
      <c r="C41" s="19"/>
      <c r="D41" s="19"/>
      <c r="E41" s="19"/>
      <c r="F41" s="19"/>
      <c r="G41" s="19"/>
      <c r="H41" s="7"/>
      <c r="I41" s="7"/>
      <c r="J41" s="7"/>
    </row>
    <row r="42" spans="1:10" ht="18" customHeight="1">
      <c r="A42" s="7"/>
      <c r="B42" s="20"/>
      <c r="C42" s="20"/>
      <c r="D42" s="20"/>
      <c r="E42" s="20"/>
      <c r="F42" s="20"/>
      <c r="G42" s="20"/>
      <c r="H42" s="7"/>
      <c r="I42" s="7"/>
      <c r="J42" s="7"/>
    </row>
    <row r="43" spans="1:10" ht="26" customHeight="1">
      <c r="A43" s="7"/>
      <c r="B43" s="21" t="s">
        <v>154</v>
      </c>
      <c r="C43" s="21"/>
      <c r="D43" s="21"/>
      <c r="E43" s="21"/>
      <c r="F43" s="21"/>
      <c r="G43" s="21"/>
      <c r="H43" s="21"/>
      <c r="I43" s="21"/>
      <c r="J43" s="21"/>
    </row>
    <row r="44" spans="1:10" ht="26" customHeight="1">
      <c r="A44" s="7"/>
      <c r="B44" s="21"/>
      <c r="C44" s="21"/>
      <c r="D44" s="21"/>
      <c r="E44" s="21"/>
      <c r="F44" s="21"/>
      <c r="G44" s="21"/>
      <c r="H44" s="21"/>
      <c r="I44" s="21"/>
      <c r="J44" s="21"/>
    </row>
    <row r="45" spans="1:10" ht="24" customHeight="1">
      <c r="A45" s="7"/>
      <c r="B45" s="22" t="s">
        <v>155</v>
      </c>
      <c r="C45" s="22"/>
      <c r="D45" s="22"/>
      <c r="E45" s="22"/>
      <c r="F45" s="22"/>
      <c r="G45" s="22"/>
      <c r="H45" s="22"/>
      <c r="I45" s="22"/>
      <c r="J45" s="22"/>
    </row>
    <row r="46" spans="1:10" ht="26" customHeight="1">
      <c r="A46" s="7"/>
      <c r="B46" s="7"/>
      <c r="C46" s="23" t="s">
        <v>156</v>
      </c>
      <c r="D46" s="23" t="s">
        <v>157</v>
      </c>
      <c r="E46" s="23" t="s">
        <v>158</v>
      </c>
      <c r="F46" s="7"/>
      <c r="G46" s="7"/>
      <c r="H46" s="7"/>
      <c r="I46" s="7"/>
      <c r="J46" s="7"/>
    </row>
    <row r="47" spans="1:10" ht="18" customHeight="1">
      <c r="A47" s="7"/>
      <c r="B47" s="7"/>
      <c r="C47" s="24" t="s">
        <v>42</v>
      </c>
      <c r="D47" s="24" t="s">
        <v>159</v>
      </c>
      <c r="E47" s="24" t="s">
        <v>162</v>
      </c>
      <c r="F47" s="7"/>
      <c r="G47" s="7"/>
      <c r="H47" s="7"/>
      <c r="I47" s="7"/>
      <c r="J47" s="7"/>
    </row>
    <row r="48" spans="1:10" ht="18" customHeight="1">
      <c r="A48" s="7"/>
      <c r="B48" s="7"/>
      <c r="C48" s="24" t="s">
        <v>43</v>
      </c>
      <c r="D48" s="24" t="s">
        <v>160</v>
      </c>
      <c r="E48" s="24"/>
      <c r="F48" s="7"/>
      <c r="G48" s="7"/>
      <c r="H48" s="7"/>
      <c r="I48" s="7"/>
      <c r="J48" s="7"/>
    </row>
    <row r="49" spans="1:10" ht="18" customHeight="1">
      <c r="A49" s="7"/>
      <c r="B49" s="7"/>
      <c r="C49" s="24" t="s">
        <v>44</v>
      </c>
      <c r="D49" s="24" t="s">
        <v>161</v>
      </c>
      <c r="E49" s="24"/>
      <c r="F49" s="7"/>
      <c r="G49" s="7"/>
      <c r="H49" s="7"/>
      <c r="I49" s="7"/>
      <c r="J49" s="7"/>
    </row>
    <row r="50" spans="1:10" ht="18" customHeight="1">
      <c r="A50" s="7"/>
      <c r="B50" s="7"/>
      <c r="C50" s="24" t="s">
        <v>45</v>
      </c>
      <c r="D50" s="24"/>
      <c r="E50" s="24"/>
      <c r="F50" s="7"/>
      <c r="G50" s="7"/>
      <c r="H50" s="7"/>
      <c r="I50" s="7"/>
      <c r="J50" s="7"/>
    </row>
    <row r="51" spans="1:10" ht="18" customHeight="1">
      <c r="A51" s="7"/>
      <c r="B51" s="7"/>
      <c r="C51" s="24" t="s">
        <v>46</v>
      </c>
      <c r="D51" s="24"/>
      <c r="E51" s="24"/>
      <c r="F51" s="7"/>
      <c r="G51" s="7"/>
      <c r="H51" s="7"/>
      <c r="I51" s="7"/>
      <c r="J51" s="7"/>
    </row>
    <row r="52" spans="1:10" ht="18" customHeight="1">
      <c r="A52" s="7"/>
      <c r="B52" s="7"/>
      <c r="C52" s="24" t="s">
        <v>47</v>
      </c>
      <c r="D52" s="24"/>
      <c r="E52" s="24"/>
      <c r="F52" s="7"/>
      <c r="G52" s="7"/>
      <c r="H52" s="7"/>
      <c r="I52" s="7"/>
      <c r="J52" s="7"/>
    </row>
    <row r="53" spans="1:10">
      <c r="A53" s="7"/>
      <c r="B53" s="7"/>
      <c r="C53" s="7"/>
      <c r="D53" s="7"/>
      <c r="E53" s="7"/>
      <c r="F53" s="7"/>
      <c r="G53" s="7"/>
      <c r="H53" s="7"/>
      <c r="I53" s="7"/>
      <c r="J53" s="7"/>
    </row>
    <row r="54" spans="1:10" ht="30" customHeight="1">
      <c r="A54" s="7"/>
      <c r="B54" s="25" t="s">
        <v>163</v>
      </c>
      <c r="C54" s="25"/>
      <c r="D54" s="25"/>
      <c r="E54" s="25"/>
      <c r="F54" s="25"/>
      <c r="G54" s="25"/>
      <c r="H54" s="25"/>
      <c r="I54" s="25"/>
      <c r="J54" s="25"/>
    </row>
    <row r="55" spans="1:10">
      <c r="A55" s="7"/>
      <c r="B55" s="7"/>
      <c r="C55" s="7"/>
      <c r="D55" s="7"/>
      <c r="E55" s="7"/>
      <c r="F55" s="7"/>
      <c r="G55" s="7"/>
      <c r="H55" s="7"/>
      <c r="I55" s="7"/>
      <c r="J55" s="7"/>
    </row>
    <row r="56" spans="1:10" ht="24" customHeight="1">
      <c r="A56" s="7"/>
      <c r="B56" s="26" t="s">
        <v>164</v>
      </c>
      <c r="C56" s="26"/>
      <c r="D56" s="27" t="s">
        <v>165</v>
      </c>
      <c r="E56" s="27"/>
      <c r="F56" s="28" t="s">
        <v>166</v>
      </c>
      <c r="G56" s="28"/>
      <c r="H56" s="29" t="s">
        <v>4</v>
      </c>
      <c r="I56" s="29"/>
      <c r="J56" s="7"/>
    </row>
    <row r="57" spans="1:10" ht="24" customHeight="1">
      <c r="A57" s="7"/>
      <c r="B57" s="30" t="s">
        <v>167</v>
      </c>
      <c r="C57" s="30"/>
      <c r="D57" s="31" t="s">
        <v>168</v>
      </c>
      <c r="E57" s="31"/>
      <c r="F57" s="32" t="s">
        <v>169</v>
      </c>
      <c r="G57" s="32"/>
      <c r="H57" s="33" t="s">
        <v>170</v>
      </c>
      <c r="I57" s="33"/>
      <c r="J57" s="7"/>
    </row>
    <row r="58" spans="1:10" ht="24" customHeight="1">
      <c r="A58" s="7"/>
      <c r="B58" s="27" t="s">
        <v>2</v>
      </c>
      <c r="C58" s="27"/>
      <c r="D58" s="29" t="s">
        <v>171</v>
      </c>
      <c r="E58" s="29"/>
      <c r="F58" s="26" t="s">
        <v>172</v>
      </c>
      <c r="G58" s="26"/>
      <c r="H58" s="27" t="s">
        <v>173</v>
      </c>
      <c r="I58" s="27"/>
      <c r="J58" s="7"/>
    </row>
    <row r="59" spans="1:10" ht="24" customHeight="1">
      <c r="A59" s="7"/>
      <c r="B59" s="28" t="s">
        <v>174</v>
      </c>
      <c r="C59" s="28"/>
      <c r="D59" s="29" t="s">
        <v>175</v>
      </c>
      <c r="E59" s="29"/>
      <c r="F59" s="30" t="s">
        <v>176</v>
      </c>
      <c r="G59" s="30"/>
      <c r="H59" s="31" t="s">
        <v>177</v>
      </c>
      <c r="I59" s="31"/>
      <c r="J59" s="7"/>
    </row>
    <row r="60" spans="1:10" ht="24" customHeight="1">
      <c r="A60" s="7"/>
      <c r="B60" s="32" t="s">
        <v>178</v>
      </c>
      <c r="C60" s="32"/>
      <c r="D60" s="33" t="s">
        <v>56</v>
      </c>
      <c r="E60" s="33"/>
      <c r="F60" s="27" t="s">
        <v>179</v>
      </c>
      <c r="G60" s="27"/>
      <c r="H60" s="7"/>
      <c r="I60" s="7"/>
      <c r="J60" s="7"/>
    </row>
    <row r="61" spans="1:10">
      <c r="A61" s="7"/>
      <c r="B61" s="7"/>
      <c r="C61" s="7"/>
      <c r="D61" s="7"/>
      <c r="E61" s="7"/>
      <c r="F61" s="7"/>
      <c r="G61" s="7"/>
      <c r="H61" s="7"/>
      <c r="I61" s="7"/>
      <c r="J61" s="7"/>
    </row>
    <row r="62" spans="1:10">
      <c r="A62" s="7"/>
      <c r="B62" s="7"/>
      <c r="C62" s="7"/>
      <c r="D62" s="7"/>
      <c r="E62" s="7"/>
      <c r="F62" s="7"/>
      <c r="G62" s="7"/>
      <c r="H62" s="7"/>
      <c r="I62" s="7"/>
      <c r="J62" s="7"/>
    </row>
    <row r="63" spans="1:10">
      <c r="A63" s="7"/>
      <c r="B63" s="7"/>
      <c r="C63" s="7"/>
      <c r="D63" s="7"/>
      <c r="E63" s="7"/>
      <c r="F63" s="7"/>
      <c r="G63" s="7"/>
      <c r="H63" s="7"/>
      <c r="I63" s="7"/>
      <c r="J63" s="7"/>
    </row>
    <row r="64" spans="1:10">
      <c r="A64" s="7"/>
      <c r="B64" s="7"/>
      <c r="C64" s="7"/>
      <c r="D64" s="7"/>
      <c r="E64" s="7"/>
      <c r="F64" s="7"/>
      <c r="G64" s="7"/>
      <c r="H64" s="7"/>
      <c r="I64" s="7"/>
      <c r="J64" s="7"/>
    </row>
    <row r="65" spans="1:10">
      <c r="A65" s="7"/>
      <c r="B65" s="7"/>
      <c r="C65" s="7"/>
      <c r="D65" s="7"/>
      <c r="E65" s="7"/>
      <c r="F65" s="7"/>
      <c r="G65" s="7"/>
      <c r="H65" s="7"/>
      <c r="I65" s="7"/>
      <c r="J65" s="7"/>
    </row>
    <row r="66" spans="1:10">
      <c r="A66" s="7"/>
      <c r="B66" s="7"/>
      <c r="C66" s="7"/>
      <c r="D66" s="7"/>
      <c r="E66" s="7"/>
      <c r="F66" s="7"/>
      <c r="G66" s="7"/>
      <c r="H66" s="7"/>
      <c r="I66" s="7"/>
      <c r="J66" s="7"/>
    </row>
    <row r="67" spans="1:10">
      <c r="A67" s="7"/>
      <c r="B67" s="7"/>
      <c r="C67" s="7"/>
      <c r="D67" s="7"/>
      <c r="E67" s="7"/>
      <c r="F67" s="7"/>
      <c r="G67" s="7"/>
      <c r="H67" s="7"/>
      <c r="I67" s="7"/>
      <c r="J67" s="7"/>
    </row>
    <row r="68" spans="1:10">
      <c r="A68" s="7"/>
      <c r="B68" s="7"/>
      <c r="C68" s="7"/>
      <c r="D68" s="7"/>
      <c r="E68" s="7"/>
      <c r="F68" s="7"/>
      <c r="G68" s="7"/>
      <c r="H68" s="7"/>
      <c r="I68" s="7"/>
      <c r="J68" s="7"/>
    </row>
    <row r="69" spans="1:10">
      <c r="A69" s="7"/>
      <c r="B69" s="7"/>
      <c r="C69" s="7"/>
      <c r="D69" s="7"/>
      <c r="E69" s="7"/>
      <c r="F69" s="7"/>
      <c r="G69" s="7"/>
      <c r="H69" s="7"/>
      <c r="I69" s="7"/>
      <c r="J69" s="7"/>
    </row>
    <row r="70" spans="1:10">
      <c r="A70" s="7"/>
      <c r="B70" s="7"/>
      <c r="C70" s="7"/>
      <c r="D70" s="7"/>
      <c r="E70" s="7"/>
      <c r="F70" s="7"/>
      <c r="G70" s="7"/>
      <c r="H70" s="7"/>
      <c r="I70" s="7"/>
      <c r="J70" s="7"/>
    </row>
    <row r="71" spans="1:10">
      <c r="A71" s="7"/>
      <c r="B71" s="7"/>
      <c r="C71" s="7"/>
      <c r="D71" s="7"/>
      <c r="E71" s="7"/>
      <c r="F71" s="7"/>
      <c r="G71" s="7"/>
      <c r="H71" s="7"/>
      <c r="I71" s="7"/>
      <c r="J71" s="7"/>
    </row>
  </sheetData>
  <mergeCells count="39">
    <mergeCell ref="B2:G2"/>
    <mergeCell ref="B3:G3"/>
    <mergeCell ref="H3:J3"/>
    <mergeCell ref="B5:J5"/>
    <mergeCell ref="D6:J6"/>
    <mergeCell ref="D7:J7"/>
    <mergeCell ref="B9:J9"/>
    <mergeCell ref="D10:J10"/>
    <mergeCell ref="D11:J11"/>
    <mergeCell ref="D12:J12"/>
    <mergeCell ref="D13:J13"/>
    <mergeCell ref="D14:J14"/>
    <mergeCell ref="D15:J15"/>
    <mergeCell ref="B17:J17"/>
    <mergeCell ref="D18:J18"/>
    <mergeCell ref="D19:J19"/>
    <mergeCell ref="B21:J21"/>
    <mergeCell ref="B43:J44"/>
    <mergeCell ref="B45:J45"/>
    <mergeCell ref="B54:J54"/>
    <mergeCell ref="B56:C56"/>
    <mergeCell ref="D56:E56"/>
    <mergeCell ref="F56:G56"/>
    <mergeCell ref="H56:I56"/>
    <mergeCell ref="B57:C57"/>
    <mergeCell ref="D57:E57"/>
    <mergeCell ref="F57:G57"/>
    <mergeCell ref="H57:I57"/>
    <mergeCell ref="B58:C58"/>
    <mergeCell ref="D58:E58"/>
    <mergeCell ref="F58:G58"/>
    <mergeCell ref="H58:I58"/>
    <mergeCell ref="B59:C59"/>
    <mergeCell ref="D59:E59"/>
    <mergeCell ref="F59:G59"/>
    <mergeCell ref="H59:I59"/>
    <mergeCell ref="B60:C60"/>
    <mergeCell ref="D60:E60"/>
    <mergeCell ref="F60:G60"/>
  </mergeCells>
  <dataValidations count="6">
    <dataValidation type="list" allowBlank="1" showInputMessage="1" showErrorMessage="1" errorTitle="Pick from the list" error="Choose one of the listed symbols." promptTitle="Currency" prompt="Pick your currency symbol." sqref="C10">
      <formula1>"$,€,£,¥,₨,₹,A$,C$,R,kr,CHF"</formula1>
    </dataValidation>
    <dataValidation type="decimal" allowBlank="1" showInputMessage="1" showErrorMessage="1" error="A decimal between 0 and 1 (5% = 0.05)." promptTitle="Tax rate" prompt="A decimal between 0 and 1 (5% = 0.05)." sqref="C11">
      <formula1>0</formula1>
      <formula2>1</formula2>
    </dataValidation>
    <dataValidation type="decimal" allowBlank="1" showInputMessage="1" showErrorMessage="1" error="Between 0% and 95% (0.35 = 35%)." promptTitle="Margin" prompt="Between 0% and 95% (0.35 = 35%)." sqref="C12">
      <formula1>0</formula1>
      <formula2>0.95</formula2>
    </dataValidation>
    <dataValidation type="decimal" allowBlank="1" showInputMessage="1" showErrorMessage="1" error="Between 0% and 100% (0.4 = 40%)." promptTitle="Deposit %" prompt="Between 0% and 100% (0.4 = 40%)." sqref="C13">
      <formula1>0</formula1>
      <formula2>1</formula2>
    </dataValidation>
    <dataValidation type="decimal" allowBlank="1" showInputMessage="1" showErrorMessage="1" error="A number of days, 1-90." promptTitle="Days" prompt="A number of days, 1-90." sqref="C14">
      <formula1>1</formula1>
      <formula2>90</formula2>
    </dataValidation>
    <dataValidation type="list" allowBlank="1" showInputMessage="1" promptTitle="Month" prompt="A number from 1 (January) to 12 (December)." sqref="C18">
      <formula1>"1,2,3,4,5,6,7,8,9,10,11,12"</formula1>
    </dataValidation>
  </dataValidations>
  <hyperlinks>
    <hyperlink ref="H3" location="'📊 Dashboard'!A1" display="🏠  Back to Dashboard"/>
    <hyperlink ref="B56" location="'⚙️ Setup'!A1" display="▶ Setup"/>
    <hyperlink ref="D56" location="'📊 Dashboard'!A1" display="🏠 Home"/>
    <hyperlink ref="F56" location="'👥 Clients'!A1" display="Clients"/>
    <hyperlink ref="H56" location="'📅 Events'!A1" display="Events"/>
    <hyperlink ref="B57" location="'🧮 Quote Calculator'!A1" display="Quote"/>
    <hyperlink ref="D57" location="'🍽️ Menu Costing'!A1" display="Menu"/>
    <hyperlink ref="F57" location="'📦 Inventory'!A1" display="Stock"/>
    <hyperlink ref="H57" location="'🛒 Shopping List'!A1" display="Shop"/>
    <hyperlink ref="B58" location="'💸 Expenses'!A1" display="Expenses"/>
    <hyperlink ref="D58" location="'💰 Payments'!A1" display="Payments"/>
    <hyperlink ref="F58" location="'👷 Staff &amp; Labor'!A1" display="Staff"/>
    <hyperlink ref="H58" location="'🍳 Equipment'!A1" display="Equip"/>
    <hyperlink ref="B59" location="'🚚 Suppliers'!A1" display="Suppliers"/>
    <hyperlink ref="D59" location="'📆 Event Calendar'!A1" display="Calendar"/>
    <hyperlink ref="F59" location="'📈 P&amp;L &amp; Reports'!A1" display="P&amp;L"/>
    <hyperlink ref="H59" location="'🧾 Tax Tracker'!A1" display="Tax"/>
    <hyperlink ref="B60" location="'✅ Checklists'!A1" display="Checks"/>
    <hyperlink ref="D60" location="'🖨️ Invoice &amp; Proposal'!A1" display="Invoice"/>
    <hyperlink ref="F60" location="'📖 Start Here'!A1" display="Help"/>
  </hyperlinks>
  <pageMargins left="0.4" right="0.4" top="0.5" bottom="0.5" header="0.3" footer="0.3"/>
  <pageSetup paperSize="9" fitToHeight="0" orientation="portrait"/>
  <headerFooter>
    <oddHeader>&amp;L&amp;"Calibri,Bold"&amp;11Catering Business Manager&amp;R&amp;"Calibri,Italic"&amp;9Page &amp;P of &amp;N</oddHeader>
    <oddFooter>&amp;C&amp;"Calibri,Italic"&amp;8&amp;A  •  Ultimate Catering Business Spreadsheet v1.0  •  personal licence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4B3626"/>
    <pageSetUpPr fitToPage="1"/>
  </sheetPr>
  <dimension ref="A1:M64"/>
  <sheetViews>
    <sheetView showGridLines="0" tabSelected="1" zoomScale="85" zoomScaleNormal="85" workbookViewId="0"/>
  </sheetViews>
  <sheetFormatPr defaultRowHeight="15"/>
  <cols>
    <col min="1" max="1" width="2.85546875" customWidth="1"/>
    <col min="2" max="13" width="13.7109375" customWidth="1"/>
  </cols>
  <sheetData>
    <row r="1" spans="1:13" ht="8" customHeight="1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13" ht="42" customHeight="1">
      <c r="A2" s="7"/>
      <c r="B2" s="34" t="str">
        <f>IF(BusinessName="","🍽️  Catering Command Center","🍽️  "&amp;BusinessName&amp;"   •   Catering Command Center")</f>
        <v>🍽️  Catering Command Center</v>
      </c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</row>
    <row r="3" spans="1:13" ht="32" customHeight="1">
      <c r="A3" s="7"/>
      <c r="B3" s="35" t="str">
        <f>IF(IFERROR(SMALL('_Data'!$AA$2:$AA$41,1),"")="","🌴  No upcoming events — add one on the 📅 Events tab!","🔥  Next event: "&amp;IFERROR(INDEX('_Data'!$AB$2:$AB$41,MATCH(IFERROR(SMALL('_Data'!$AA$2:$AA$41,1),""),'_Data'!$AA$2:$AA$41,0)),"")&amp;"  —  in "&amp;(IFERROR(SMALL('_Data'!$AA$2:$AA$41,1),"")-TODAY())&amp;" day(s)")</f>
        <v>🌴  No upcoming events — add one on the 📅 Events tab!</v>
      </c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</row>
    <row r="4" spans="1:13" ht="20" customHeight="1">
      <c r="A4" s="7"/>
      <c r="B4" s="25" t="str">
        <f>TEXT(TODAY(),"dddd, dd mmmm yyyy")&amp;"   •   "&amp;'_Data'!$AF$6&amp;" events on the books   •   "&amp;Currency&amp;TEXT('_Data'!$AF$2,"#,##0")&amp;" cash received   •   "&amp;Currency&amp;TEXT('_Data'!$AF$14,"#,##0")&amp;" still outstanding"</f>
        <v>Saturday, 12 September 2026   •   0 events on the books   •   $0 cash received   •   $0 still outstanding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</row>
    <row r="5" spans="1:13" ht="22" customHeight="1">
      <c r="A5" s="7"/>
      <c r="B5" s="36">
        <f>IF('⚙️ Setup'!$C$7="","","📣  "&amp;'⚙️ Setup'!$C$7)</f>
        <v/>
      </c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</row>
    <row r="6" spans="1:13" ht="8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</row>
    <row r="7" spans="1:13" ht="22" customHeight="1">
      <c r="A7" s="7"/>
      <c r="B7" s="11" t="s">
        <v>180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</row>
    <row r="8" spans="1:13" ht="18" customHeight="1">
      <c r="A8" s="7"/>
      <c r="B8" s="37" t="s">
        <v>181</v>
      </c>
      <c r="C8" s="37"/>
      <c r="D8" s="38" t="s">
        <v>182</v>
      </c>
      <c r="E8" s="38"/>
      <c r="F8" s="39" t="s">
        <v>183</v>
      </c>
      <c r="G8" s="39"/>
      <c r="H8" s="40" t="s">
        <v>184</v>
      </c>
      <c r="I8" s="40"/>
      <c r="J8" s="41" t="s">
        <v>185</v>
      </c>
      <c r="K8" s="41"/>
      <c r="L8" s="42" t="s">
        <v>186</v>
      </c>
      <c r="M8" s="42"/>
    </row>
    <row r="9" spans="1:13" ht="36" customHeight="1">
      <c r="A9" s="7"/>
      <c r="B9" s="43" t="str">
        <f>Currency&amp;TEXT('_Data'!$AF$2,"#,##0")</f>
        <v>$0</v>
      </c>
      <c r="C9" s="43"/>
      <c r="D9" s="44" t="str">
        <f>Currency&amp;TEXT('_Data'!$AF$3,"#,##0")</f>
        <v>$0</v>
      </c>
      <c r="E9" s="44"/>
      <c r="F9" s="45" t="str">
        <f>Currency&amp;TEXT('_Data'!$AF$4,"#,##0")</f>
        <v>$0</v>
      </c>
      <c r="G9" s="45"/>
      <c r="H9" s="46">
        <f>'_Data'!$AF$5</f>
        <v>0</v>
      </c>
      <c r="I9" s="46"/>
      <c r="J9" s="47">
        <f>'_Data'!$AF$6</f>
        <v>0</v>
      </c>
      <c r="K9" s="47"/>
      <c r="L9" s="48" t="str">
        <f>Currency&amp;TEXT('_Data'!$AF$10,"#,##0")</f>
        <v>$0</v>
      </c>
      <c r="M9" s="48"/>
    </row>
    <row r="10" spans="1:13" ht="18" customHeight="1">
      <c r="A10" s="7"/>
      <c r="B10" s="39" t="s">
        <v>187</v>
      </c>
      <c r="C10" s="39"/>
      <c r="D10" s="49" t="s">
        <v>188</v>
      </c>
      <c r="E10" s="49"/>
      <c r="F10" s="50" t="s">
        <v>189</v>
      </c>
      <c r="G10" s="50"/>
      <c r="H10" s="50" t="s">
        <v>190</v>
      </c>
      <c r="I10" s="50"/>
      <c r="J10" s="51" t="s">
        <v>191</v>
      </c>
      <c r="K10" s="51"/>
      <c r="L10" s="41" t="s">
        <v>192</v>
      </c>
      <c r="M10" s="41"/>
    </row>
    <row r="11" spans="1:13" ht="36" customHeight="1">
      <c r="A11" s="7"/>
      <c r="B11" s="52">
        <f>'_Data'!$AF$8</f>
        <v>0</v>
      </c>
      <c r="C11" s="52"/>
      <c r="D11" s="53" t="str">
        <f>Currency&amp;TEXT('_Data'!$AF$14,"#,##0")</f>
        <v>$0</v>
      </c>
      <c r="E11" s="53"/>
      <c r="F11" s="54">
        <f>'_Data'!$AF$15</f>
        <v>0</v>
      </c>
      <c r="G11" s="54"/>
      <c r="H11" s="54">
        <f>'_Data'!$AF$23</f>
        <v>0</v>
      </c>
      <c r="I11" s="54"/>
      <c r="J11" s="55">
        <f>'_Data'!$AF$26</f>
        <v>0</v>
      </c>
      <c r="K11" s="55"/>
      <c r="L11" s="56" t="str">
        <f>Currency&amp;TEXT('_Data'!$AF$22,"#,##0")</f>
        <v>$0</v>
      </c>
      <c r="M11" s="56"/>
    </row>
    <row r="12" spans="1:13" ht="22" customHeight="1">
      <c r="A12" s="7"/>
      <c r="B12" s="57" t="s">
        <v>193</v>
      </c>
      <c r="C12" s="57"/>
      <c r="D12" s="58" t="str">
        <f>IFERROR(REPT("█",ROUND(MIN(1,IFERROR(('_Data'!$AF$4)/('_Data'!$AF$2),0))*34,0))&amp;REPT("░",34-ROUND(MIN(1,IFERROR(('_Data'!$AF$4)/('_Data'!$AF$2),0))*34,0)),"░░░░░░░░░░░░░░░░░░░░░░░░░░░░░░░░░░")</f>
        <v>░░░░░░░░░░░░░░░░░░░░░░░░░░░░░░░░░░</v>
      </c>
      <c r="E12" s="58"/>
      <c r="F12" s="58"/>
      <c r="G12" s="58"/>
      <c r="H12" s="58"/>
      <c r="I12" s="58"/>
      <c r="J12" s="58"/>
      <c r="K12" s="59" t="str">
        <f>TEXT('_Data'!$AF$5,"0.0%")</f>
        <v>0.0%</v>
      </c>
      <c r="L12" s="59"/>
      <c r="M12" s="59"/>
    </row>
    <row r="13" spans="1:13" ht="22" customHeight="1">
      <c r="A13" s="7"/>
      <c r="B13" s="57" t="s">
        <v>194</v>
      </c>
      <c r="C13" s="57"/>
      <c r="D13" s="58" t="str">
        <f>IFERROR(REPT("█",ROUND(MIN(1,IFERROR(('_Data'!$AF$17)/('_Data'!$AF$2),0))*34,0))&amp;REPT("░",34-ROUND(MIN(1,IFERROR(('_Data'!$AF$17)/('_Data'!$AF$2),0))*34,0)),"░░░░░░░░░░░░░░░░░░░░░░░░░░░░░░░░░░")</f>
        <v>░░░░░░░░░░░░░░░░░░░░░░░░░░░░░░░░░░</v>
      </c>
      <c r="E13" s="58"/>
      <c r="F13" s="58"/>
      <c r="G13" s="58"/>
      <c r="H13" s="58"/>
      <c r="I13" s="58"/>
      <c r="J13" s="58"/>
      <c r="K13" s="59" t="str">
        <f>TEXT('_Data'!$AF$19,"0.0%")</f>
        <v>0.0%</v>
      </c>
      <c r="L13" s="59"/>
      <c r="M13" s="59"/>
    </row>
    <row r="14" spans="1:13" ht="8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</row>
    <row r="15" spans="1:13" ht="22" customHeight="1">
      <c r="A15" s="7"/>
      <c r="B15" s="22" t="s">
        <v>195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</row>
    <row r="16" spans="1:13" ht="30" customHeight="1">
      <c r="A16" s="7"/>
      <c r="B16" s="60" t="str">
        <f>"💬 Inquiry: "&amp;COUNTIF('📅 Events'!$Q$8:$Q$47,"💬 Inquiry")</f>
        <v>💬 Inquiry: 0</v>
      </c>
      <c r="C16" s="60"/>
      <c r="D16" s="61" t="str">
        <f>"📝 Quote Sent: "&amp;COUNTIF('📅 Events'!$Q$8:$Q$47,"📝 Quote Sent")</f>
        <v>📝 Quote Sent: 0</v>
      </c>
      <c r="E16" s="61"/>
      <c r="F16" s="62" t="str">
        <f>"💰 Deposit Paid: "&amp;COUNTIF('📅 Events'!$Q$8:$Q$47,"💰 Deposit Paid")</f>
        <v>💰 Deposit Paid: 0</v>
      </c>
      <c r="G16" s="62"/>
      <c r="H16" s="63" t="str">
        <f>"✅ Confirmed: "&amp;COUNTIF('📅 Events'!$Q$8:$Q$47,"✅ Confirmed")</f>
        <v>✅ Confirmed: 0</v>
      </c>
      <c r="I16" s="63"/>
      <c r="J16" s="64" t="str">
        <f>"🎉 Completed: "&amp;COUNTIF('📅 Events'!$Q$8:$Q$47,"🎉 Completed")</f>
        <v>🎉 Completed: 0</v>
      </c>
      <c r="K16" s="64"/>
      <c r="L16" s="65" t="str">
        <f>"❌ Cancelled: "&amp;COUNTIF('📅 Events'!$Q$8:$Q$47,"❌ Cancelled")</f>
        <v>❌ Cancelled: 0</v>
      </c>
      <c r="M16" s="65"/>
    </row>
    <row r="17" spans="1:13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</row>
    <row r="18" spans="1:13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</row>
    <row r="19" spans="1:13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</row>
    <row r="20" spans="1:13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</row>
    <row r="21" spans="1:13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</row>
    <row r="22" spans="1:13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</row>
    <row r="23" spans="1:1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</row>
    <row r="24" spans="1:13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</row>
    <row r="25" spans="1:13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</row>
    <row r="26" spans="1:13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</row>
    <row r="27" spans="1:13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</row>
    <row r="28" spans="1:13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</row>
    <row r="29" spans="1:13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</row>
    <row r="30" spans="1:13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</row>
    <row r="31" spans="1:13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</row>
    <row r="32" spans="1:13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</row>
    <row r="33" spans="1:1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</row>
    <row r="34" spans="1:13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</row>
    <row r="35" spans="1:13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</row>
    <row r="36" spans="1:13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</row>
    <row r="37" spans="1:13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</row>
    <row r="38" spans="1:13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</row>
    <row r="39" spans="1:13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</row>
    <row r="40" spans="1:13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</row>
    <row r="41" spans="1:13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</row>
    <row r="42" spans="1:13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</row>
    <row r="43" spans="1:1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</row>
    <row r="44" spans="1:13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</row>
    <row r="45" spans="1:13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</row>
    <row r="46" spans="1:13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</row>
    <row r="47" spans="1:13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</row>
    <row r="48" spans="1:13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</row>
    <row r="49" spans="1:13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</row>
    <row r="50" spans="1:13" ht="22" customHeight="1">
      <c r="A50" s="7"/>
      <c r="B50" s="66" t="s">
        <v>196</v>
      </c>
      <c r="C50" s="66"/>
      <c r="D50" s="66"/>
      <c r="E50" s="66"/>
      <c r="F50" s="66"/>
      <c r="G50" s="66" t="s">
        <v>197</v>
      </c>
      <c r="H50" s="66"/>
      <c r="I50" s="66"/>
      <c r="J50" s="66"/>
      <c r="K50" s="66"/>
      <c r="L50" s="66"/>
      <c r="M50" s="66"/>
    </row>
    <row r="51" spans="1:13" ht="20" customHeight="1">
      <c r="A51" s="7"/>
      <c r="B51" s="67" t="str">
        <f>IF('_Data'!$AA$2="","—",TEXT('_Data'!$AA$2,"ddd dd mmm"))</f>
        <v>—</v>
      </c>
      <c r="C51" s="68" t="str">
        <f>IF('_Data'!$AB$2="","(nothing booked yet)",'_Data'!$AB$2)</f>
        <v>(nothing booked yet)</v>
      </c>
      <c r="D51" s="68"/>
      <c r="E51" s="67">
        <f>IF('_Data'!$AC$2="","",'_Data'!$AC$2)</f>
        <v/>
      </c>
      <c r="F51" s="67"/>
      <c r="G51" s="67" t="str">
        <f>IF('_Data'!$AA$42="","—",TEXT('_Data'!$AA$42,"dd mmm"))</f>
        <v>—</v>
      </c>
      <c r="H51" s="68" t="str">
        <f>IF('_Data'!$AB$42="","(all square — nothing owed)",'_Data'!$AB$42)</f>
        <v>(all square — nothing owed)</v>
      </c>
      <c r="I51" s="68"/>
      <c r="J51" s="68"/>
      <c r="K51" s="69">
        <f>IF('_Data'!$AA$42="","",'_Data'!$AC$42)</f>
        <v/>
      </c>
      <c r="L51" s="69"/>
      <c r="M51" s="69"/>
    </row>
    <row r="52" spans="1:13" ht="20" customHeight="1">
      <c r="A52" s="7"/>
      <c r="B52" s="70" t="str">
        <f>IF('_Data'!$AA$3="","—",TEXT('_Data'!$AA$3,"ddd dd mmm"))</f>
        <v>—</v>
      </c>
      <c r="C52" s="71" t="str">
        <f>IF('_Data'!$AB$3="","(nothing booked yet)",'_Data'!$AB$3)</f>
        <v>(nothing booked yet)</v>
      </c>
      <c r="D52" s="71"/>
      <c r="E52" s="70">
        <f>IF('_Data'!$AC$3="","",'_Data'!$AC$3)</f>
        <v/>
      </c>
      <c r="F52" s="70"/>
      <c r="G52" s="70" t="str">
        <f>IF('_Data'!$AA$43="","—",TEXT('_Data'!$AA$43,"dd mmm"))</f>
        <v>—</v>
      </c>
      <c r="H52" s="71" t="str">
        <f>IF('_Data'!$AB$43="","(all square — nothing owed)",'_Data'!$AB$43)</f>
        <v>(all square — nothing owed)</v>
      </c>
      <c r="I52" s="71"/>
      <c r="J52" s="71"/>
      <c r="K52" s="72">
        <f>IF('_Data'!$AA$43="","",'_Data'!$AC$43)</f>
        <v/>
      </c>
      <c r="L52" s="72"/>
      <c r="M52" s="72"/>
    </row>
    <row r="53" spans="1:13" ht="20" customHeight="1">
      <c r="A53" s="7"/>
      <c r="B53" s="67" t="str">
        <f>IF('_Data'!$AA$4="","—",TEXT('_Data'!$AA$4,"ddd dd mmm"))</f>
        <v>—</v>
      </c>
      <c r="C53" s="68" t="str">
        <f>IF('_Data'!$AB$4="","(nothing booked yet)",'_Data'!$AB$4)</f>
        <v>(nothing booked yet)</v>
      </c>
      <c r="D53" s="68"/>
      <c r="E53" s="67">
        <f>IF('_Data'!$AC$4="","",'_Data'!$AC$4)</f>
        <v/>
      </c>
      <c r="F53" s="67"/>
      <c r="G53" s="67" t="str">
        <f>IF('_Data'!$AA$44="","—",TEXT('_Data'!$AA$44,"dd mmm"))</f>
        <v>—</v>
      </c>
      <c r="H53" s="68" t="str">
        <f>IF('_Data'!$AB$44="","(all square — nothing owed)",'_Data'!$AB$44)</f>
        <v>(all square — nothing owed)</v>
      </c>
      <c r="I53" s="68"/>
      <c r="J53" s="68"/>
      <c r="K53" s="69">
        <f>IF('_Data'!$AA$44="","",'_Data'!$AC$44)</f>
        <v/>
      </c>
      <c r="L53" s="69"/>
      <c r="M53" s="69"/>
    </row>
    <row r="54" spans="1:13" ht="20" customHeight="1">
      <c r="A54" s="7"/>
      <c r="B54" s="70" t="str">
        <f>IF('_Data'!$AA$5="","—",TEXT('_Data'!$AA$5,"ddd dd mmm"))</f>
        <v>—</v>
      </c>
      <c r="C54" s="71" t="str">
        <f>IF('_Data'!$AB$5="","(nothing booked yet)",'_Data'!$AB$5)</f>
        <v>(nothing booked yet)</v>
      </c>
      <c r="D54" s="71"/>
      <c r="E54" s="70">
        <f>IF('_Data'!$AC$5="","",'_Data'!$AC$5)</f>
        <v/>
      </c>
      <c r="F54" s="70"/>
      <c r="G54" s="70" t="str">
        <f>IF('_Data'!$AA$45="","—",TEXT('_Data'!$AA$45,"dd mmm"))</f>
        <v>—</v>
      </c>
      <c r="H54" s="71" t="str">
        <f>IF('_Data'!$AB$45="","(all square — nothing owed)",'_Data'!$AB$45)</f>
        <v>(all square — nothing owed)</v>
      </c>
      <c r="I54" s="71"/>
      <c r="J54" s="71"/>
      <c r="K54" s="72">
        <f>IF('_Data'!$AA$45="","",'_Data'!$AC$45)</f>
        <v/>
      </c>
      <c r="L54" s="72"/>
      <c r="M54" s="72"/>
    </row>
    <row r="55" spans="1:13" ht="20" customHeight="1">
      <c r="A55" s="7"/>
      <c r="B55" s="67" t="str">
        <f>IF('_Data'!$AA$6="","—",TEXT('_Data'!$AA$6,"ddd dd mmm"))</f>
        <v>—</v>
      </c>
      <c r="C55" s="68" t="str">
        <f>IF('_Data'!$AB$6="","(nothing booked yet)",'_Data'!$AB$6)</f>
        <v>(nothing booked yet)</v>
      </c>
      <c r="D55" s="68"/>
      <c r="E55" s="67">
        <f>IF('_Data'!$AC$6="","",'_Data'!$AC$6)</f>
        <v/>
      </c>
      <c r="F55" s="67"/>
      <c r="G55" s="67" t="str">
        <f>IF('_Data'!$AA$46="","—",TEXT('_Data'!$AA$46,"dd mmm"))</f>
        <v>—</v>
      </c>
      <c r="H55" s="68" t="str">
        <f>IF('_Data'!$AB$46="","(all square — nothing owed)",'_Data'!$AB$46)</f>
        <v>(all square — nothing owed)</v>
      </c>
      <c r="I55" s="68"/>
      <c r="J55" s="68"/>
      <c r="K55" s="69">
        <f>IF('_Data'!$AA$46="","",'_Data'!$AC$46)</f>
        <v/>
      </c>
      <c r="L55" s="69"/>
      <c r="M55" s="69"/>
    </row>
    <row r="56" spans="1:13" ht="20" customHeight="1">
      <c r="A56" s="7"/>
      <c r="B56" s="70" t="str">
        <f>IF('_Data'!$AA$7="","—",TEXT('_Data'!$AA$7,"ddd dd mmm"))</f>
        <v>—</v>
      </c>
      <c r="C56" s="71" t="str">
        <f>IF('_Data'!$AB$7="","(nothing booked yet)",'_Data'!$AB$7)</f>
        <v>(nothing booked yet)</v>
      </c>
      <c r="D56" s="71"/>
      <c r="E56" s="70">
        <f>IF('_Data'!$AC$7="","",'_Data'!$AC$7)</f>
        <v/>
      </c>
      <c r="F56" s="70"/>
      <c r="G56" s="70" t="str">
        <f>IF('_Data'!$AA$47="","—",TEXT('_Data'!$AA$47,"dd mmm"))</f>
        <v>—</v>
      </c>
      <c r="H56" s="71" t="str">
        <f>IF('_Data'!$AB$47="","(all square — nothing owed)",'_Data'!$AB$47)</f>
        <v>(all square — nothing owed)</v>
      </c>
      <c r="I56" s="71"/>
      <c r="J56" s="71"/>
      <c r="K56" s="72">
        <f>IF('_Data'!$AA$47="","",'_Data'!$AC$47)</f>
        <v/>
      </c>
      <c r="L56" s="72"/>
      <c r="M56" s="72"/>
    </row>
    <row r="57" spans="1:13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</row>
    <row r="58" spans="1:13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</row>
    <row r="59" spans="1:13" ht="30" customHeight="1">
      <c r="A59" s="7"/>
      <c r="B59" s="25" t="s">
        <v>198</v>
      </c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</row>
    <row r="60" spans="1:13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</row>
    <row r="61" spans="1:13" ht="24" customHeight="1">
      <c r="A61" s="7"/>
      <c r="B61" s="26" t="s">
        <v>199</v>
      </c>
      <c r="C61" s="26"/>
      <c r="D61" s="27" t="s">
        <v>200</v>
      </c>
      <c r="E61" s="27"/>
      <c r="F61" s="28" t="s">
        <v>166</v>
      </c>
      <c r="G61" s="28"/>
      <c r="H61" s="29" t="s">
        <v>4</v>
      </c>
      <c r="I61" s="29"/>
      <c r="J61" s="30" t="s">
        <v>167</v>
      </c>
      <c r="K61" s="30"/>
      <c r="L61" s="31" t="s">
        <v>168</v>
      </c>
      <c r="M61" s="31"/>
    </row>
    <row r="62" spans="1:13" ht="24" customHeight="1">
      <c r="A62" s="7"/>
      <c r="B62" s="32" t="s">
        <v>169</v>
      </c>
      <c r="C62" s="32"/>
      <c r="D62" s="33" t="s">
        <v>170</v>
      </c>
      <c r="E62" s="33"/>
      <c r="F62" s="27" t="s">
        <v>2</v>
      </c>
      <c r="G62" s="27"/>
      <c r="H62" s="29" t="s">
        <v>171</v>
      </c>
      <c r="I62" s="29"/>
      <c r="J62" s="26" t="s">
        <v>172</v>
      </c>
      <c r="K62" s="26"/>
      <c r="L62" s="27" t="s">
        <v>173</v>
      </c>
      <c r="M62" s="27"/>
    </row>
    <row r="63" spans="1:13" ht="24" customHeight="1">
      <c r="A63" s="7"/>
      <c r="B63" s="28" t="s">
        <v>174</v>
      </c>
      <c r="C63" s="28"/>
      <c r="D63" s="29" t="s">
        <v>175</v>
      </c>
      <c r="E63" s="29"/>
      <c r="F63" s="30" t="s">
        <v>176</v>
      </c>
      <c r="G63" s="30"/>
      <c r="H63" s="31" t="s">
        <v>177</v>
      </c>
      <c r="I63" s="31"/>
      <c r="J63" s="32" t="s">
        <v>178</v>
      </c>
      <c r="K63" s="32"/>
      <c r="L63" s="33" t="s">
        <v>56</v>
      </c>
      <c r="M63" s="33"/>
    </row>
    <row r="64" spans="1:13" ht="24" customHeight="1">
      <c r="B64" s="27" t="s">
        <v>179</v>
      </c>
      <c r="C64" s="27"/>
    </row>
  </sheetData>
  <mergeCells count="88">
    <mergeCell ref="B2:M2"/>
    <mergeCell ref="B3:M3"/>
    <mergeCell ref="B4:M4"/>
    <mergeCell ref="B5:M5"/>
    <mergeCell ref="B7:M7"/>
    <mergeCell ref="B8:C8"/>
    <mergeCell ref="B9:C9"/>
    <mergeCell ref="D8:E8"/>
    <mergeCell ref="D9:E9"/>
    <mergeCell ref="F8:G8"/>
    <mergeCell ref="F9:G9"/>
    <mergeCell ref="H8:I8"/>
    <mergeCell ref="H9:I9"/>
    <mergeCell ref="J8:K8"/>
    <mergeCell ref="J9:K9"/>
    <mergeCell ref="L8:M8"/>
    <mergeCell ref="L9:M9"/>
    <mergeCell ref="B10:C10"/>
    <mergeCell ref="B11:C11"/>
    <mergeCell ref="D10:E10"/>
    <mergeCell ref="D11:E11"/>
    <mergeCell ref="F10:G10"/>
    <mergeCell ref="F11:G11"/>
    <mergeCell ref="H10:I10"/>
    <mergeCell ref="H11:I11"/>
    <mergeCell ref="J10:K10"/>
    <mergeCell ref="J11:K11"/>
    <mergeCell ref="L10:M10"/>
    <mergeCell ref="L11:M11"/>
    <mergeCell ref="B12:C12"/>
    <mergeCell ref="D12:J12"/>
    <mergeCell ref="K12:M12"/>
    <mergeCell ref="B13:C13"/>
    <mergeCell ref="D13:J13"/>
    <mergeCell ref="K13:M13"/>
    <mergeCell ref="B15:M15"/>
    <mergeCell ref="B16:C16"/>
    <mergeCell ref="D16:E16"/>
    <mergeCell ref="F16:G16"/>
    <mergeCell ref="H16:I16"/>
    <mergeCell ref="J16:K16"/>
    <mergeCell ref="L16:M16"/>
    <mergeCell ref="B50:F50"/>
    <mergeCell ref="G50:M50"/>
    <mergeCell ref="C51:D51"/>
    <mergeCell ref="E51:F51"/>
    <mergeCell ref="H51:J51"/>
    <mergeCell ref="K51:M51"/>
    <mergeCell ref="C52:D52"/>
    <mergeCell ref="E52:F52"/>
    <mergeCell ref="H52:J52"/>
    <mergeCell ref="K52:M52"/>
    <mergeCell ref="C53:D53"/>
    <mergeCell ref="E53:F53"/>
    <mergeCell ref="H53:J53"/>
    <mergeCell ref="K53:M53"/>
    <mergeCell ref="C54:D54"/>
    <mergeCell ref="E54:F54"/>
    <mergeCell ref="H54:J54"/>
    <mergeCell ref="K54:M54"/>
    <mergeCell ref="C55:D55"/>
    <mergeCell ref="E55:F55"/>
    <mergeCell ref="H55:J55"/>
    <mergeCell ref="K55:M55"/>
    <mergeCell ref="C56:D56"/>
    <mergeCell ref="E56:F56"/>
    <mergeCell ref="H56:J56"/>
    <mergeCell ref="K56:M56"/>
    <mergeCell ref="B59:M59"/>
    <mergeCell ref="B61:C61"/>
    <mergeCell ref="D61:E61"/>
    <mergeCell ref="F61:G61"/>
    <mergeCell ref="H61:I61"/>
    <mergeCell ref="J61:K61"/>
    <mergeCell ref="L61:M61"/>
    <mergeCell ref="B62:C62"/>
    <mergeCell ref="D62:E62"/>
    <mergeCell ref="F62:G62"/>
    <mergeCell ref="H62:I62"/>
    <mergeCell ref="J62:K62"/>
    <mergeCell ref="L62:M62"/>
    <mergeCell ref="B63:C63"/>
    <mergeCell ref="D63:E63"/>
    <mergeCell ref="F63:G63"/>
    <mergeCell ref="H63:I63"/>
    <mergeCell ref="J63:K63"/>
    <mergeCell ref="L63:M63"/>
    <mergeCell ref="B64:C64"/>
  </mergeCells>
  <conditionalFormatting sqref="B51:F51">
    <cfRule type="expression" dxfId="1" priority="2">
      <formula>AND('_Data'!$AA$2&lt;&gt;"",'_Data'!$AA$2-TODAY()&lt;=DueSoonDays)</formula>
    </cfRule>
  </conditionalFormatting>
  <conditionalFormatting sqref="B52:F52">
    <cfRule type="expression" dxfId="1" priority="4">
      <formula>AND('_Data'!$AA$3&lt;&gt;"",'_Data'!$AA$3-TODAY()&lt;=DueSoonDays)</formula>
    </cfRule>
  </conditionalFormatting>
  <conditionalFormatting sqref="B53:F53">
    <cfRule type="expression" dxfId="1" priority="6">
      <formula>AND('_Data'!$AA$4&lt;&gt;"",'_Data'!$AA$4-TODAY()&lt;=DueSoonDays)</formula>
    </cfRule>
  </conditionalFormatting>
  <conditionalFormatting sqref="B54:F54">
    <cfRule type="expression" dxfId="1" priority="8">
      <formula>AND('_Data'!$AA$5&lt;&gt;"",'_Data'!$AA$5-TODAY()&lt;=DueSoonDays)</formula>
    </cfRule>
  </conditionalFormatting>
  <conditionalFormatting sqref="B55:F55">
    <cfRule type="expression" dxfId="1" priority="10">
      <formula>AND('_Data'!$AA$6&lt;&gt;"",'_Data'!$AA$6-TODAY()&lt;=DueSoonDays)</formula>
    </cfRule>
  </conditionalFormatting>
  <conditionalFormatting sqref="B56:F56">
    <cfRule type="expression" dxfId="1" priority="12">
      <formula>AND('_Data'!$AA$7&lt;&gt;"",'_Data'!$AA$7-TODAY()&lt;=DueSoonDays)</formula>
    </cfRule>
  </conditionalFormatting>
  <conditionalFormatting sqref="G51:M51">
    <cfRule type="expression" dxfId="0" priority="1">
      <formula>AND('_Data'!$AA$42&lt;&gt;"",'_Data'!$AA$42&lt;TODAY())</formula>
    </cfRule>
  </conditionalFormatting>
  <conditionalFormatting sqref="G52:M52">
    <cfRule type="expression" dxfId="0" priority="3">
      <formula>AND('_Data'!$AA$43&lt;&gt;"",'_Data'!$AA$43&lt;TODAY())</formula>
    </cfRule>
  </conditionalFormatting>
  <conditionalFormatting sqref="G53:M53">
    <cfRule type="expression" dxfId="0" priority="5">
      <formula>AND('_Data'!$AA$44&lt;&gt;"",'_Data'!$AA$44&lt;TODAY())</formula>
    </cfRule>
  </conditionalFormatting>
  <conditionalFormatting sqref="G54:M54">
    <cfRule type="expression" dxfId="0" priority="7">
      <formula>AND('_Data'!$AA$45&lt;&gt;"",'_Data'!$AA$45&lt;TODAY())</formula>
    </cfRule>
  </conditionalFormatting>
  <conditionalFormatting sqref="G55:M55">
    <cfRule type="expression" dxfId="0" priority="9">
      <formula>AND('_Data'!$AA$46&lt;&gt;"",'_Data'!$AA$46&lt;TODAY())</formula>
    </cfRule>
  </conditionalFormatting>
  <conditionalFormatting sqref="G56:M56">
    <cfRule type="expression" dxfId="0" priority="11">
      <formula>AND('_Data'!$AA$47&lt;&gt;"",'_Data'!$AA$47&lt;TODAY())</formula>
    </cfRule>
  </conditionalFormatting>
  <hyperlinks>
    <hyperlink ref="B61" location="'⚙️ Setup'!A1" display="Setup"/>
    <hyperlink ref="D61" location="'📊 Dashboard'!A1" display="▶ 🏠 Home"/>
    <hyperlink ref="F61" location="'👥 Clients'!A1" display="Clients"/>
    <hyperlink ref="H61" location="'📅 Events'!A1" display="Events"/>
    <hyperlink ref="J61" location="'🧮 Quote Calculator'!A1" display="Quote"/>
    <hyperlink ref="L61" location="'🍽️ Menu Costing'!A1" display="Menu"/>
    <hyperlink ref="B62" location="'📦 Inventory'!A1" display="Stock"/>
    <hyperlink ref="D62" location="'🛒 Shopping List'!A1" display="Shop"/>
    <hyperlink ref="F62" location="'💸 Expenses'!A1" display="Expenses"/>
    <hyperlink ref="H62" location="'💰 Payments'!A1" display="Payments"/>
    <hyperlink ref="J62" location="'👷 Staff &amp; Labor'!A1" display="Staff"/>
    <hyperlink ref="L62" location="'🍳 Equipment'!A1" display="Equip"/>
    <hyperlink ref="B63" location="'🚚 Suppliers'!A1" display="Suppliers"/>
    <hyperlink ref="D63" location="'📆 Event Calendar'!A1" display="Calendar"/>
    <hyperlink ref="F63" location="'📈 P&amp;L &amp; Reports'!A1" display="P&amp;L"/>
    <hyperlink ref="H63" location="'🧾 Tax Tracker'!A1" display="Tax"/>
    <hyperlink ref="J63" location="'✅ Checklists'!A1" display="Checks"/>
    <hyperlink ref="L63" location="'🖨️ Invoice &amp; Proposal'!A1" display="Invoice"/>
    <hyperlink ref="B64" location="'📖 Start Here'!A1" display="Help"/>
  </hyperlinks>
  <pageMargins left="0.4" right="0.4" top="0.5" bottom="0.5" header="0.3" footer="0.3"/>
  <pageSetup paperSize="9" fitToHeight="0" orientation="portrait"/>
  <headerFooter>
    <oddHeader>&amp;L&amp;"Calibri,Bold"&amp;11Catering Business Manager&amp;R&amp;"Calibri,Italic"&amp;9Page &amp;P of &amp;N</oddHeader>
    <oddFooter>&amp;C&amp;"Calibri,Italic"&amp;8&amp;A  •  Ultimate Catering Business Spreadsheet v1.0  •  personal licence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B4652F"/>
    <pageSetUpPr fitToPage="1"/>
  </sheetPr>
  <dimension ref="A1:O72"/>
  <sheetViews>
    <sheetView showGridLines="0" zoomScale="90" zoomScaleNormal="90" workbookViewId="0">
      <pane xSplit="3" ySplit="8" topLeftCell="D9" activePane="bottomRight" state="frozen"/>
      <selection pane="topRight" activeCell="D1" sqref="D1"/>
      <selection pane="bottomLeft" activeCell="A9" sqref="A9"/>
      <selection pane="bottomRight"/>
    </sheetView>
  </sheetViews>
  <sheetFormatPr defaultRowHeight="15"/>
  <cols>
    <col min="1" max="1" width="2.85546875" customWidth="1"/>
    <col min="2" max="2" width="5.28515625" customWidth="1"/>
    <col min="3" max="3" width="20.7109375" customWidth="1"/>
    <col min="4" max="4" width="14.7109375" customWidth="1"/>
    <col min="5" max="5" width="30.7109375" customWidth="1"/>
    <col min="6" max="6" width="12.7109375" customWidth="1"/>
    <col min="7" max="7" width="13.7109375" customWidth="1"/>
    <col min="8" max="8" width="8.7109375" customWidth="1"/>
    <col min="9" max="9" width="26.7109375" customWidth="1"/>
    <col min="10" max="10" width="16.7109375" customWidth="1"/>
    <col min="11" max="11" width="11.7109375" customWidth="1"/>
    <col min="12" max="12" width="11.7109375" customWidth="1"/>
    <col min="13" max="13" width="11.7109375" customWidth="1"/>
    <col min="14" max="14" width="15.7109375" customWidth="1"/>
    <col min="15" max="15" width="26.7109375" customWidth="1"/>
  </cols>
  <sheetData>
    <row r="1" spans="1:15" ht="7" customHeight="1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</row>
    <row r="2" spans="1:15" ht="30" customHeight="1">
      <c r="A2" s="7"/>
      <c r="B2" s="8" t="s">
        <v>201</v>
      </c>
      <c r="C2" s="8"/>
      <c r="D2" s="8"/>
      <c r="E2" s="8"/>
      <c r="F2" s="8"/>
      <c r="G2" s="8"/>
      <c r="H2" s="8"/>
      <c r="I2" s="8"/>
      <c r="J2" s="8"/>
      <c r="K2" s="8"/>
      <c r="L2" s="8"/>
      <c r="M2" s="7"/>
      <c r="N2" s="7"/>
      <c r="O2" s="7"/>
    </row>
    <row r="3" spans="1:15" ht="18" customHeight="1">
      <c r="A3" s="7"/>
      <c r="B3" s="9" t="s">
        <v>202</v>
      </c>
      <c r="C3" s="9"/>
      <c r="D3" s="9"/>
      <c r="E3" s="9"/>
      <c r="F3" s="9"/>
      <c r="G3" s="9"/>
      <c r="H3" s="9"/>
      <c r="I3" s="9"/>
      <c r="J3" s="9"/>
      <c r="K3" s="9"/>
      <c r="L3" s="9"/>
      <c r="M3" s="10" t="s">
        <v>97</v>
      </c>
      <c r="N3" s="10"/>
      <c r="O3" s="10"/>
    </row>
    <row r="4" spans="1:15" ht="7" customHeight="1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</row>
    <row r="5" spans="1:15" ht="26" customHeight="1">
      <c r="A5" s="7"/>
      <c r="B5" s="73" t="str">
        <f>"👥 Clients: "&amp;COUNTIF('👥 Clients'!$C$8:$C$47,"?*")</f>
        <v>Clients: 0</v>
      </c>
      <c r="C5" s="73"/>
      <c r="D5" s="73"/>
      <c r="E5" s="74" t="str">
        <f>"🔁 Repeat customers: "&amp;TEXT('_Data'!$AF$21,"0%")</f>
        <v>Repeat customers: 0%</v>
      </c>
      <c r="F5" s="74"/>
      <c r="G5" s="74"/>
      <c r="H5" s="75" t="str">
        <f>"💰 Total quoted: "&amp;Currency&amp;TEXT(SUM('👥 Clients'!$K$8:$K$47),"#,##0")</f>
        <v>Total quoted: $0</v>
      </c>
      <c r="I5" s="75"/>
      <c r="J5" s="75"/>
      <c r="K5" s="76" t="str">
        <f>"💵 Deposits held: "&amp;Currency&amp;TEXT(SUM('👥 Clients'!$L$8:$L$47),"#,##0")</f>
        <v>Deposits held: $0</v>
      </c>
      <c r="L5" s="76"/>
      <c r="M5" s="76"/>
      <c r="N5" s="7"/>
      <c r="O5" s="7"/>
    </row>
    <row r="6" spans="1:15" ht="7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spans="1:15" ht="36" customHeight="1">
      <c r="A7" s="7"/>
      <c r="B7" s="18" t="s">
        <v>203</v>
      </c>
      <c r="C7" s="18" t="s">
        <v>204</v>
      </c>
      <c r="D7" s="18" t="s">
        <v>205</v>
      </c>
      <c r="E7" s="18" t="s">
        <v>206</v>
      </c>
      <c r="F7" s="18" t="s">
        <v>207</v>
      </c>
      <c r="G7" s="18" t="s">
        <v>30</v>
      </c>
      <c r="H7" s="18" t="s">
        <v>208</v>
      </c>
      <c r="I7" s="18" t="s">
        <v>209</v>
      </c>
      <c r="J7" s="18" t="s">
        <v>210</v>
      </c>
      <c r="K7" s="18" t="s">
        <v>211</v>
      </c>
      <c r="L7" s="18" t="s">
        <v>212</v>
      </c>
      <c r="M7" s="77" t="s">
        <v>57</v>
      </c>
      <c r="N7" s="18" t="s">
        <v>157</v>
      </c>
      <c r="O7" s="18" t="s">
        <v>213</v>
      </c>
    </row>
    <row r="8" spans="1:15" ht="22" customHeight="1">
      <c r="A8" s="7"/>
      <c r="B8" s="78">
        <v>1</v>
      </c>
      <c r="C8" s="79"/>
      <c r="D8" s="80"/>
      <c r="E8" s="79"/>
      <c r="F8" s="81"/>
      <c r="G8" s="80"/>
      <c r="H8" s="82"/>
      <c r="I8" s="79"/>
      <c r="J8" s="80"/>
      <c r="K8" s="83"/>
      <c r="L8" s="83"/>
      <c r="M8" s="84">
        <f>IF($K8="","",$K8-$L8)</f>
        <v/>
      </c>
      <c r="N8" s="80"/>
      <c r="O8" s="79"/>
    </row>
    <row r="9" spans="1:15" ht="22" customHeight="1">
      <c r="A9" s="7"/>
      <c r="B9" s="85">
        <v>2</v>
      </c>
      <c r="C9" s="86"/>
      <c r="D9" s="87"/>
      <c r="E9" s="86"/>
      <c r="F9" s="88"/>
      <c r="G9" s="87"/>
      <c r="H9" s="89"/>
      <c r="I9" s="86"/>
      <c r="J9" s="87"/>
      <c r="K9" s="90"/>
      <c r="L9" s="90"/>
      <c r="M9" s="84">
        <f>IF($K9="","",$K9-$L9)</f>
        <v/>
      </c>
      <c r="N9" s="87"/>
      <c r="O9" s="86"/>
    </row>
    <row r="10" spans="1:15" ht="22" customHeight="1">
      <c r="A10" s="7"/>
      <c r="B10" s="78">
        <v>3</v>
      </c>
      <c r="C10" s="79"/>
      <c r="D10" s="80"/>
      <c r="E10" s="79"/>
      <c r="F10" s="81"/>
      <c r="G10" s="80"/>
      <c r="H10" s="82"/>
      <c r="I10" s="79"/>
      <c r="J10" s="80"/>
      <c r="K10" s="83"/>
      <c r="L10" s="83"/>
      <c r="M10" s="84">
        <f>IF($K10="","",$K10-$L10)</f>
        <v/>
      </c>
      <c r="N10" s="80"/>
      <c r="O10" s="79"/>
    </row>
    <row r="11" spans="1:15" ht="22" customHeight="1">
      <c r="A11" s="7"/>
      <c r="B11" s="85">
        <v>4</v>
      </c>
      <c r="C11" s="86"/>
      <c r="D11" s="87"/>
      <c r="E11" s="86"/>
      <c r="F11" s="88"/>
      <c r="G11" s="87"/>
      <c r="H11" s="89"/>
      <c r="I11" s="86"/>
      <c r="J11" s="87"/>
      <c r="K11" s="90"/>
      <c r="L11" s="90"/>
      <c r="M11" s="84">
        <f>IF($K11="","",$K11-$L11)</f>
        <v/>
      </c>
      <c r="N11" s="87"/>
      <c r="O11" s="86"/>
    </row>
    <row r="12" spans="1:15" ht="22" customHeight="1">
      <c r="A12" s="7"/>
      <c r="B12" s="78">
        <v>5</v>
      </c>
      <c r="C12" s="79"/>
      <c r="D12" s="80"/>
      <c r="E12" s="79"/>
      <c r="F12" s="81"/>
      <c r="G12" s="80"/>
      <c r="H12" s="82"/>
      <c r="I12" s="79"/>
      <c r="J12" s="80"/>
      <c r="K12" s="83"/>
      <c r="L12" s="83"/>
      <c r="M12" s="84">
        <f>IF($K12="","",$K12-$L12)</f>
        <v/>
      </c>
      <c r="N12" s="80"/>
      <c r="O12" s="79"/>
    </row>
    <row r="13" spans="1:15" ht="22" customHeight="1">
      <c r="A13" s="7"/>
      <c r="B13" s="85">
        <v>6</v>
      </c>
      <c r="C13" s="86"/>
      <c r="D13" s="87"/>
      <c r="E13" s="86"/>
      <c r="F13" s="88"/>
      <c r="G13" s="87"/>
      <c r="H13" s="89"/>
      <c r="I13" s="86"/>
      <c r="J13" s="87"/>
      <c r="K13" s="90"/>
      <c r="L13" s="90"/>
      <c r="M13" s="84">
        <f>IF($K13="","",$K13-$L13)</f>
        <v/>
      </c>
      <c r="N13" s="87"/>
      <c r="O13" s="86"/>
    </row>
    <row r="14" spans="1:15" ht="22" customHeight="1">
      <c r="A14" s="7"/>
      <c r="B14" s="78">
        <v>7</v>
      </c>
      <c r="C14" s="79"/>
      <c r="D14" s="80"/>
      <c r="E14" s="79"/>
      <c r="F14" s="81"/>
      <c r="G14" s="80"/>
      <c r="H14" s="82"/>
      <c r="I14" s="79"/>
      <c r="J14" s="80"/>
      <c r="K14" s="83"/>
      <c r="L14" s="83"/>
      <c r="M14" s="84">
        <f>IF($K14="","",$K14-$L14)</f>
        <v/>
      </c>
      <c r="N14" s="80"/>
      <c r="O14" s="79"/>
    </row>
    <row r="15" spans="1:15" ht="22" customHeight="1">
      <c r="A15" s="7"/>
      <c r="B15" s="85">
        <v>8</v>
      </c>
      <c r="C15" s="86"/>
      <c r="D15" s="87"/>
      <c r="E15" s="86"/>
      <c r="F15" s="88"/>
      <c r="G15" s="87"/>
      <c r="H15" s="89"/>
      <c r="I15" s="86"/>
      <c r="J15" s="87"/>
      <c r="K15" s="90"/>
      <c r="L15" s="90"/>
      <c r="M15" s="84">
        <f>IF($K15="","",$K15-$L15)</f>
        <v/>
      </c>
      <c r="N15" s="87"/>
      <c r="O15" s="86"/>
    </row>
    <row r="16" spans="1:15" ht="22" customHeight="1">
      <c r="A16" s="7"/>
      <c r="B16" s="78">
        <v>9</v>
      </c>
      <c r="C16" s="79"/>
      <c r="D16" s="80"/>
      <c r="E16" s="79"/>
      <c r="F16" s="81"/>
      <c r="G16" s="80"/>
      <c r="H16" s="82"/>
      <c r="I16" s="79"/>
      <c r="J16" s="80"/>
      <c r="K16" s="83"/>
      <c r="L16" s="83"/>
      <c r="M16" s="84">
        <f>IF($K16="","",$K16-$L16)</f>
        <v/>
      </c>
      <c r="N16" s="80"/>
      <c r="O16" s="79"/>
    </row>
    <row r="17" spans="1:15" ht="22" customHeight="1">
      <c r="A17" s="7"/>
      <c r="B17" s="85">
        <v>10</v>
      </c>
      <c r="C17" s="86"/>
      <c r="D17" s="87"/>
      <c r="E17" s="86"/>
      <c r="F17" s="88"/>
      <c r="G17" s="87"/>
      <c r="H17" s="89"/>
      <c r="I17" s="86"/>
      <c r="J17" s="87"/>
      <c r="K17" s="90"/>
      <c r="L17" s="90"/>
      <c r="M17" s="84">
        <f>IF($K17="","",$K17-$L17)</f>
        <v/>
      </c>
      <c r="N17" s="87"/>
      <c r="O17" s="86"/>
    </row>
    <row r="18" spans="1:15" ht="22" customHeight="1">
      <c r="A18" s="7"/>
      <c r="B18" s="78">
        <v>11</v>
      </c>
      <c r="C18" s="79"/>
      <c r="D18" s="80"/>
      <c r="E18" s="79"/>
      <c r="F18" s="81"/>
      <c r="G18" s="80"/>
      <c r="H18" s="82"/>
      <c r="I18" s="79"/>
      <c r="J18" s="80"/>
      <c r="K18" s="83"/>
      <c r="L18" s="83"/>
      <c r="M18" s="84">
        <f>IF($K18="","",$K18-$L18)</f>
        <v/>
      </c>
      <c r="N18" s="80"/>
      <c r="O18" s="79"/>
    </row>
    <row r="19" spans="1:15" ht="22" customHeight="1">
      <c r="A19" s="7"/>
      <c r="B19" s="85">
        <v>12</v>
      </c>
      <c r="C19" s="86"/>
      <c r="D19" s="87"/>
      <c r="E19" s="86"/>
      <c r="F19" s="88"/>
      <c r="G19" s="87"/>
      <c r="H19" s="89"/>
      <c r="I19" s="86"/>
      <c r="J19" s="87"/>
      <c r="K19" s="90"/>
      <c r="L19" s="90"/>
      <c r="M19" s="84">
        <f>IF($K19="","",$K19-$L19)</f>
        <v/>
      </c>
      <c r="N19" s="87"/>
      <c r="O19" s="86"/>
    </row>
    <row r="20" spans="1:15" ht="22" customHeight="1">
      <c r="A20" s="7"/>
      <c r="B20" s="78">
        <v>13</v>
      </c>
      <c r="C20" s="79"/>
      <c r="D20" s="80"/>
      <c r="E20" s="79"/>
      <c r="F20" s="81"/>
      <c r="G20" s="80"/>
      <c r="H20" s="82"/>
      <c r="I20" s="79"/>
      <c r="J20" s="80"/>
      <c r="K20" s="83"/>
      <c r="L20" s="83"/>
      <c r="M20" s="84">
        <f>IF($K20="","",$K20-$L20)</f>
        <v/>
      </c>
      <c r="N20" s="80"/>
      <c r="O20" s="79"/>
    </row>
    <row r="21" spans="1:15" ht="22" customHeight="1">
      <c r="A21" s="7"/>
      <c r="B21" s="85">
        <v>14</v>
      </c>
      <c r="C21" s="86"/>
      <c r="D21" s="87"/>
      <c r="E21" s="86"/>
      <c r="F21" s="88"/>
      <c r="G21" s="87"/>
      <c r="H21" s="89"/>
      <c r="I21" s="86"/>
      <c r="J21" s="87"/>
      <c r="K21" s="90"/>
      <c r="L21" s="90"/>
      <c r="M21" s="84">
        <f>IF($K21="","",$K21-$L21)</f>
        <v/>
      </c>
      <c r="N21" s="87"/>
      <c r="O21" s="86"/>
    </row>
    <row r="22" spans="1:15" ht="22" customHeight="1">
      <c r="A22" s="7"/>
      <c r="B22" s="78">
        <v>15</v>
      </c>
      <c r="C22" s="79"/>
      <c r="D22" s="80"/>
      <c r="E22" s="79"/>
      <c r="F22" s="81"/>
      <c r="G22" s="80"/>
      <c r="H22" s="82"/>
      <c r="I22" s="79"/>
      <c r="J22" s="80"/>
      <c r="K22" s="83"/>
      <c r="L22" s="83"/>
      <c r="M22" s="84">
        <f>IF($K22="","",$K22-$L22)</f>
        <v/>
      </c>
      <c r="N22" s="80"/>
      <c r="O22" s="79"/>
    </row>
    <row r="23" spans="1:15" ht="22" customHeight="1">
      <c r="A23" s="7"/>
      <c r="B23" s="85">
        <v>16</v>
      </c>
      <c r="C23" s="86"/>
      <c r="D23" s="87"/>
      <c r="E23" s="86"/>
      <c r="F23" s="88"/>
      <c r="G23" s="87"/>
      <c r="H23" s="89"/>
      <c r="I23" s="86"/>
      <c r="J23" s="87"/>
      <c r="K23" s="90"/>
      <c r="L23" s="90"/>
      <c r="M23" s="84">
        <f>IF($K23="","",$K23-$L23)</f>
        <v/>
      </c>
      <c r="N23" s="87"/>
      <c r="O23" s="86"/>
    </row>
    <row r="24" spans="1:15" ht="22" customHeight="1">
      <c r="A24" s="7"/>
      <c r="B24" s="78">
        <v>17</v>
      </c>
      <c r="C24" s="79"/>
      <c r="D24" s="80"/>
      <c r="E24" s="79"/>
      <c r="F24" s="81"/>
      <c r="G24" s="80"/>
      <c r="H24" s="82"/>
      <c r="I24" s="79"/>
      <c r="J24" s="80"/>
      <c r="K24" s="83"/>
      <c r="L24" s="83"/>
      <c r="M24" s="84">
        <f>IF($K24="","",$K24-$L24)</f>
        <v/>
      </c>
      <c r="N24" s="80"/>
      <c r="O24" s="79"/>
    </row>
    <row r="25" spans="1:15" ht="22" customHeight="1">
      <c r="A25" s="7"/>
      <c r="B25" s="85">
        <v>18</v>
      </c>
      <c r="C25" s="86"/>
      <c r="D25" s="87"/>
      <c r="E25" s="86"/>
      <c r="F25" s="88"/>
      <c r="G25" s="87"/>
      <c r="H25" s="89"/>
      <c r="I25" s="86"/>
      <c r="J25" s="87"/>
      <c r="K25" s="90"/>
      <c r="L25" s="90"/>
      <c r="M25" s="84">
        <f>IF($K25="","",$K25-$L25)</f>
        <v/>
      </c>
      <c r="N25" s="87"/>
      <c r="O25" s="86"/>
    </row>
    <row r="26" spans="1:15" ht="22" customHeight="1">
      <c r="A26" s="7"/>
      <c r="B26" s="78">
        <v>19</v>
      </c>
      <c r="C26" s="79"/>
      <c r="D26" s="80"/>
      <c r="E26" s="79"/>
      <c r="F26" s="81"/>
      <c r="G26" s="80"/>
      <c r="H26" s="82"/>
      <c r="I26" s="79"/>
      <c r="J26" s="80"/>
      <c r="K26" s="83"/>
      <c r="L26" s="83"/>
      <c r="M26" s="84">
        <f>IF($K26="","",$K26-$L26)</f>
        <v/>
      </c>
      <c r="N26" s="80"/>
      <c r="O26" s="79"/>
    </row>
    <row r="27" spans="1:15" ht="22" customHeight="1">
      <c r="A27" s="7"/>
      <c r="B27" s="85">
        <v>20</v>
      </c>
      <c r="C27" s="86"/>
      <c r="D27" s="87"/>
      <c r="E27" s="86"/>
      <c r="F27" s="88"/>
      <c r="G27" s="87"/>
      <c r="H27" s="89"/>
      <c r="I27" s="86"/>
      <c r="J27" s="87"/>
      <c r="K27" s="90"/>
      <c r="L27" s="90"/>
      <c r="M27" s="84">
        <f>IF($K27="","",$K27-$L27)</f>
        <v/>
      </c>
      <c r="N27" s="87"/>
      <c r="O27" s="86"/>
    </row>
    <row r="28" spans="1:15" ht="22" customHeight="1">
      <c r="A28" s="7"/>
      <c r="B28" s="78">
        <v>21</v>
      </c>
      <c r="C28" s="79"/>
      <c r="D28" s="80"/>
      <c r="E28" s="79"/>
      <c r="F28" s="81"/>
      <c r="G28" s="80"/>
      <c r="H28" s="82"/>
      <c r="I28" s="79"/>
      <c r="J28" s="80"/>
      <c r="K28" s="83"/>
      <c r="L28" s="83"/>
      <c r="M28" s="84">
        <f>IF($K28="","",$K28-$L28)</f>
        <v/>
      </c>
      <c r="N28" s="80"/>
      <c r="O28" s="79"/>
    </row>
    <row r="29" spans="1:15" ht="22" customHeight="1">
      <c r="A29" s="7"/>
      <c r="B29" s="85">
        <v>22</v>
      </c>
      <c r="C29" s="86"/>
      <c r="D29" s="87"/>
      <c r="E29" s="86"/>
      <c r="F29" s="88"/>
      <c r="G29" s="87"/>
      <c r="H29" s="89"/>
      <c r="I29" s="86"/>
      <c r="J29" s="87"/>
      <c r="K29" s="90"/>
      <c r="L29" s="90"/>
      <c r="M29" s="84">
        <f>IF($K29="","",$K29-$L29)</f>
        <v/>
      </c>
      <c r="N29" s="87"/>
      <c r="O29" s="86"/>
    </row>
    <row r="30" spans="1:15" ht="22" customHeight="1">
      <c r="A30" s="7"/>
      <c r="B30" s="78">
        <v>23</v>
      </c>
      <c r="C30" s="79"/>
      <c r="D30" s="80"/>
      <c r="E30" s="79"/>
      <c r="F30" s="81"/>
      <c r="G30" s="80"/>
      <c r="H30" s="82"/>
      <c r="I30" s="79"/>
      <c r="J30" s="80"/>
      <c r="K30" s="83"/>
      <c r="L30" s="83"/>
      <c r="M30" s="84">
        <f>IF($K30="","",$K30-$L30)</f>
        <v/>
      </c>
      <c r="N30" s="80"/>
      <c r="O30" s="79"/>
    </row>
    <row r="31" spans="1:15" ht="22" customHeight="1">
      <c r="A31" s="7"/>
      <c r="B31" s="85">
        <v>24</v>
      </c>
      <c r="C31" s="86"/>
      <c r="D31" s="87"/>
      <c r="E31" s="86"/>
      <c r="F31" s="88"/>
      <c r="G31" s="87"/>
      <c r="H31" s="89"/>
      <c r="I31" s="86"/>
      <c r="J31" s="87"/>
      <c r="K31" s="90"/>
      <c r="L31" s="90"/>
      <c r="M31" s="84">
        <f>IF($K31="","",$K31-$L31)</f>
        <v/>
      </c>
      <c r="N31" s="87"/>
      <c r="O31" s="86"/>
    </row>
    <row r="32" spans="1:15" ht="22" customHeight="1">
      <c r="A32" s="7"/>
      <c r="B32" s="78">
        <v>25</v>
      </c>
      <c r="C32" s="79"/>
      <c r="D32" s="80"/>
      <c r="E32" s="79"/>
      <c r="F32" s="81"/>
      <c r="G32" s="80"/>
      <c r="H32" s="82"/>
      <c r="I32" s="79"/>
      <c r="J32" s="80"/>
      <c r="K32" s="83"/>
      <c r="L32" s="83"/>
      <c r="M32" s="84">
        <f>IF($K32="","",$K32-$L32)</f>
        <v/>
      </c>
      <c r="N32" s="80"/>
      <c r="O32" s="79"/>
    </row>
    <row r="33" spans="1:15" ht="22" customHeight="1">
      <c r="A33" s="7"/>
      <c r="B33" s="85">
        <v>26</v>
      </c>
      <c r="C33" s="86"/>
      <c r="D33" s="87"/>
      <c r="E33" s="86"/>
      <c r="F33" s="88"/>
      <c r="G33" s="87"/>
      <c r="H33" s="89"/>
      <c r="I33" s="86"/>
      <c r="J33" s="87"/>
      <c r="K33" s="90"/>
      <c r="L33" s="90"/>
      <c r="M33" s="84">
        <f>IF($K33="","",$K33-$L33)</f>
        <v/>
      </c>
      <c r="N33" s="87"/>
      <c r="O33" s="86"/>
    </row>
    <row r="34" spans="1:15" ht="22" customHeight="1">
      <c r="A34" s="7"/>
      <c r="B34" s="78">
        <v>27</v>
      </c>
      <c r="C34" s="79"/>
      <c r="D34" s="80"/>
      <c r="E34" s="79"/>
      <c r="F34" s="81"/>
      <c r="G34" s="80"/>
      <c r="H34" s="82"/>
      <c r="I34" s="79"/>
      <c r="J34" s="80"/>
      <c r="K34" s="83"/>
      <c r="L34" s="83"/>
      <c r="M34" s="84">
        <f>IF($K34="","",$K34-$L34)</f>
        <v/>
      </c>
      <c r="N34" s="80"/>
      <c r="O34" s="79"/>
    </row>
    <row r="35" spans="1:15" ht="22" customHeight="1">
      <c r="A35" s="7"/>
      <c r="B35" s="85">
        <v>28</v>
      </c>
      <c r="C35" s="86"/>
      <c r="D35" s="87"/>
      <c r="E35" s="86"/>
      <c r="F35" s="88"/>
      <c r="G35" s="87"/>
      <c r="H35" s="89"/>
      <c r="I35" s="86"/>
      <c r="J35" s="87"/>
      <c r="K35" s="90"/>
      <c r="L35" s="90"/>
      <c r="M35" s="84">
        <f>IF($K35="","",$K35-$L35)</f>
        <v/>
      </c>
      <c r="N35" s="87"/>
      <c r="O35" s="86"/>
    </row>
    <row r="36" spans="1:15" ht="22" customHeight="1">
      <c r="A36" s="7"/>
      <c r="B36" s="78">
        <v>29</v>
      </c>
      <c r="C36" s="79"/>
      <c r="D36" s="80"/>
      <c r="E36" s="79"/>
      <c r="F36" s="81"/>
      <c r="G36" s="80"/>
      <c r="H36" s="82"/>
      <c r="I36" s="79"/>
      <c r="J36" s="80"/>
      <c r="K36" s="83"/>
      <c r="L36" s="83"/>
      <c r="M36" s="84">
        <f>IF($K36="","",$K36-$L36)</f>
        <v/>
      </c>
      <c r="N36" s="80"/>
      <c r="O36" s="79"/>
    </row>
    <row r="37" spans="1:15" ht="22" customHeight="1">
      <c r="A37" s="7"/>
      <c r="B37" s="85">
        <v>30</v>
      </c>
      <c r="C37" s="86"/>
      <c r="D37" s="87"/>
      <c r="E37" s="86"/>
      <c r="F37" s="88"/>
      <c r="G37" s="87"/>
      <c r="H37" s="89"/>
      <c r="I37" s="86"/>
      <c r="J37" s="87"/>
      <c r="K37" s="90"/>
      <c r="L37" s="90"/>
      <c r="M37" s="84">
        <f>IF($K37="","",$K37-$L37)</f>
        <v/>
      </c>
      <c r="N37" s="87"/>
      <c r="O37" s="86"/>
    </row>
    <row r="38" spans="1:15" ht="22" customHeight="1">
      <c r="A38" s="7"/>
      <c r="B38" s="78">
        <v>31</v>
      </c>
      <c r="C38" s="79"/>
      <c r="D38" s="80"/>
      <c r="E38" s="79"/>
      <c r="F38" s="81"/>
      <c r="G38" s="80"/>
      <c r="H38" s="82"/>
      <c r="I38" s="79"/>
      <c r="J38" s="80"/>
      <c r="K38" s="83"/>
      <c r="L38" s="83"/>
      <c r="M38" s="84">
        <f>IF($K38="","",$K38-$L38)</f>
        <v/>
      </c>
      <c r="N38" s="80"/>
      <c r="O38" s="79"/>
    </row>
    <row r="39" spans="1:15" ht="22" customHeight="1">
      <c r="A39" s="7"/>
      <c r="B39" s="85">
        <v>32</v>
      </c>
      <c r="C39" s="86"/>
      <c r="D39" s="87"/>
      <c r="E39" s="86"/>
      <c r="F39" s="88"/>
      <c r="G39" s="87"/>
      <c r="H39" s="89"/>
      <c r="I39" s="86"/>
      <c r="J39" s="87"/>
      <c r="K39" s="90"/>
      <c r="L39" s="90"/>
      <c r="M39" s="84">
        <f>IF($K39="","",$K39-$L39)</f>
        <v/>
      </c>
      <c r="N39" s="87"/>
      <c r="O39" s="86"/>
    </row>
    <row r="40" spans="1:15" ht="22" customHeight="1">
      <c r="A40" s="7"/>
      <c r="B40" s="78">
        <v>33</v>
      </c>
      <c r="C40" s="79"/>
      <c r="D40" s="80"/>
      <c r="E40" s="79"/>
      <c r="F40" s="81"/>
      <c r="G40" s="80"/>
      <c r="H40" s="82"/>
      <c r="I40" s="79"/>
      <c r="J40" s="80"/>
      <c r="K40" s="83"/>
      <c r="L40" s="83"/>
      <c r="M40" s="84">
        <f>IF($K40="","",$K40-$L40)</f>
        <v/>
      </c>
      <c r="N40" s="80"/>
      <c r="O40" s="79"/>
    </row>
    <row r="41" spans="1:15" ht="22" customHeight="1">
      <c r="A41" s="7"/>
      <c r="B41" s="85">
        <v>34</v>
      </c>
      <c r="C41" s="86"/>
      <c r="D41" s="87"/>
      <c r="E41" s="86"/>
      <c r="F41" s="88"/>
      <c r="G41" s="87"/>
      <c r="H41" s="89"/>
      <c r="I41" s="86"/>
      <c r="J41" s="87"/>
      <c r="K41" s="90"/>
      <c r="L41" s="90"/>
      <c r="M41" s="84">
        <f>IF($K41="","",$K41-$L41)</f>
        <v/>
      </c>
      <c r="N41" s="87"/>
      <c r="O41" s="86"/>
    </row>
    <row r="42" spans="1:15" ht="22" customHeight="1">
      <c r="A42" s="7"/>
      <c r="B42" s="78">
        <v>35</v>
      </c>
      <c r="C42" s="79"/>
      <c r="D42" s="80"/>
      <c r="E42" s="79"/>
      <c r="F42" s="81"/>
      <c r="G42" s="80"/>
      <c r="H42" s="82"/>
      <c r="I42" s="79"/>
      <c r="J42" s="80"/>
      <c r="K42" s="83"/>
      <c r="L42" s="83"/>
      <c r="M42" s="84">
        <f>IF($K42="","",$K42-$L42)</f>
        <v/>
      </c>
      <c r="N42" s="80"/>
      <c r="O42" s="79"/>
    </row>
    <row r="43" spans="1:15" ht="22" customHeight="1">
      <c r="A43" s="7"/>
      <c r="B43" s="85">
        <v>36</v>
      </c>
      <c r="C43" s="86"/>
      <c r="D43" s="87"/>
      <c r="E43" s="86"/>
      <c r="F43" s="88"/>
      <c r="G43" s="87"/>
      <c r="H43" s="89"/>
      <c r="I43" s="86"/>
      <c r="J43" s="87"/>
      <c r="K43" s="90"/>
      <c r="L43" s="90"/>
      <c r="M43" s="84">
        <f>IF($K43="","",$K43-$L43)</f>
        <v/>
      </c>
      <c r="N43" s="87"/>
      <c r="O43" s="86"/>
    </row>
    <row r="44" spans="1:15" ht="22" customHeight="1">
      <c r="A44" s="7"/>
      <c r="B44" s="78">
        <v>37</v>
      </c>
      <c r="C44" s="79"/>
      <c r="D44" s="80"/>
      <c r="E44" s="79"/>
      <c r="F44" s="81"/>
      <c r="G44" s="80"/>
      <c r="H44" s="82"/>
      <c r="I44" s="79"/>
      <c r="J44" s="80"/>
      <c r="K44" s="83"/>
      <c r="L44" s="83"/>
      <c r="M44" s="84">
        <f>IF($K44="","",$K44-$L44)</f>
        <v/>
      </c>
      <c r="N44" s="80"/>
      <c r="O44" s="79"/>
    </row>
    <row r="45" spans="1:15" ht="22" customHeight="1">
      <c r="A45" s="7"/>
      <c r="B45" s="85">
        <v>38</v>
      </c>
      <c r="C45" s="86"/>
      <c r="D45" s="87"/>
      <c r="E45" s="86"/>
      <c r="F45" s="88"/>
      <c r="G45" s="87"/>
      <c r="H45" s="89"/>
      <c r="I45" s="86"/>
      <c r="J45" s="87"/>
      <c r="K45" s="90"/>
      <c r="L45" s="90"/>
      <c r="M45" s="84">
        <f>IF($K45="","",$K45-$L45)</f>
        <v/>
      </c>
      <c r="N45" s="87"/>
      <c r="O45" s="86"/>
    </row>
    <row r="46" spans="1:15" ht="22" customHeight="1">
      <c r="A46" s="7"/>
      <c r="B46" s="78">
        <v>39</v>
      </c>
      <c r="C46" s="79"/>
      <c r="D46" s="80"/>
      <c r="E46" s="79"/>
      <c r="F46" s="81"/>
      <c r="G46" s="80"/>
      <c r="H46" s="82"/>
      <c r="I46" s="79"/>
      <c r="J46" s="80"/>
      <c r="K46" s="83"/>
      <c r="L46" s="83"/>
      <c r="M46" s="84">
        <f>IF($K46="","",$K46-$L46)</f>
        <v/>
      </c>
      <c r="N46" s="80"/>
      <c r="O46" s="79"/>
    </row>
    <row r="47" spans="1:15" ht="22" customHeight="1">
      <c r="A47" s="7"/>
      <c r="B47" s="85">
        <v>40</v>
      </c>
      <c r="C47" s="86"/>
      <c r="D47" s="87"/>
      <c r="E47" s="86"/>
      <c r="F47" s="88"/>
      <c r="G47" s="87"/>
      <c r="H47" s="89"/>
      <c r="I47" s="86"/>
      <c r="J47" s="87"/>
      <c r="K47" s="90"/>
      <c r="L47" s="90"/>
      <c r="M47" s="84">
        <f>IF($K47="","",$K47-$L47)</f>
        <v/>
      </c>
      <c r="N47" s="87"/>
      <c r="O47" s="86"/>
    </row>
    <row r="48" spans="1:1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</row>
    <row r="49" spans="1:15" ht="24" customHeight="1">
      <c r="A49" s="7"/>
      <c r="B49" s="91" t="s">
        <v>214</v>
      </c>
      <c r="C49" s="91"/>
      <c r="D49" s="91"/>
      <c r="E49" s="91"/>
      <c r="F49" s="91"/>
      <c r="G49" s="91"/>
      <c r="H49" s="92">
        <f>SUM($H$8:$H$47)</f>
        <v>0</v>
      </c>
      <c r="I49" s="93"/>
      <c r="J49" s="93"/>
      <c r="K49" s="94">
        <f>SUM($K$8:$K$47)</f>
        <v>0</v>
      </c>
      <c r="L49" s="94">
        <f>SUM($L$8:$L$47)</f>
        <v>0</v>
      </c>
      <c r="M49" s="94">
        <f>SUM($M$8:$M$47)</f>
        <v>0</v>
      </c>
      <c r="N49" s="93"/>
      <c r="O49" s="93"/>
    </row>
    <row r="50" spans="1:1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</row>
    <row r="51" spans="1:15" ht="22" customHeight="1">
      <c r="A51" s="7"/>
      <c r="B51" s="66" t="s">
        <v>215</v>
      </c>
      <c r="C51" s="66"/>
      <c r="D51" s="66"/>
      <c r="E51" s="66"/>
      <c r="F51" s="66"/>
      <c r="G51" s="66"/>
      <c r="H51" s="66"/>
      <c r="I51" s="66"/>
      <c r="J51" s="66"/>
      <c r="K51" s="66"/>
      <c r="L51" s="66"/>
      <c r="M51" s="66"/>
      <c r="N51" s="66"/>
      <c r="O51" s="66"/>
    </row>
    <row r="52" spans="1:15" ht="51.8" customHeight="1">
      <c r="A52" s="7"/>
      <c r="B52" s="21" t="s">
        <v>216</v>
      </c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</row>
    <row r="53" spans="1:1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</row>
    <row r="54" spans="1:1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</row>
    <row r="55" spans="1:1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</row>
    <row r="56" spans="1:1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 spans="1:15" ht="24" customHeight="1">
      <c r="A57" s="7"/>
      <c r="B57" s="26" t="s">
        <v>199</v>
      </c>
      <c r="C57" s="26"/>
      <c r="D57" s="27" t="s">
        <v>165</v>
      </c>
      <c r="E57" s="27"/>
      <c r="F57" s="28" t="s">
        <v>217</v>
      </c>
      <c r="G57" s="28"/>
      <c r="H57" s="29" t="s">
        <v>4</v>
      </c>
      <c r="I57" s="29"/>
      <c r="J57" s="30" t="s">
        <v>167</v>
      </c>
      <c r="K57" s="30"/>
      <c r="L57" s="31" t="s">
        <v>168</v>
      </c>
      <c r="M57" s="31"/>
      <c r="N57" s="32" t="s">
        <v>169</v>
      </c>
      <c r="O57" s="32"/>
    </row>
    <row r="58" spans="1:15" ht="24" customHeight="1">
      <c r="A58" s="7"/>
      <c r="B58" s="33" t="s">
        <v>170</v>
      </c>
      <c r="C58" s="33"/>
      <c r="D58" s="27" t="s">
        <v>2</v>
      </c>
      <c r="E58" s="27"/>
      <c r="F58" s="29" t="s">
        <v>171</v>
      </c>
      <c r="G58" s="29"/>
      <c r="H58" s="26" t="s">
        <v>172</v>
      </c>
      <c r="I58" s="26"/>
      <c r="J58" s="27" t="s">
        <v>173</v>
      </c>
      <c r="K58" s="27"/>
      <c r="L58" s="28" t="s">
        <v>174</v>
      </c>
      <c r="M58" s="28"/>
      <c r="N58" s="29" t="s">
        <v>175</v>
      </c>
      <c r="O58" s="29"/>
    </row>
    <row r="59" spans="1:15" ht="24" customHeight="1">
      <c r="A59" s="7"/>
      <c r="B59" s="30" t="s">
        <v>176</v>
      </c>
      <c r="C59" s="30"/>
      <c r="D59" s="31" t="s">
        <v>177</v>
      </c>
      <c r="E59" s="31"/>
      <c r="F59" s="32" t="s">
        <v>178</v>
      </c>
      <c r="G59" s="32"/>
      <c r="H59" s="33" t="s">
        <v>56</v>
      </c>
      <c r="I59" s="33"/>
      <c r="J59" s="27" t="s">
        <v>179</v>
      </c>
      <c r="K59" s="27"/>
      <c r="L59" s="7"/>
      <c r="M59" s="7"/>
      <c r="N59" s="7"/>
      <c r="O59" s="7"/>
    </row>
    <row r="60" spans="1:1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</row>
    <row r="61" spans="1:1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</row>
    <row r="62" spans="1:1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</row>
    <row r="63" spans="1:1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</row>
    <row r="64" spans="1:1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</row>
    <row r="65" spans="1:1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</row>
    <row r="66" spans="1:1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</row>
    <row r="67" spans="1:1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</row>
    <row r="68" spans="1:1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</row>
    <row r="69" spans="1:1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</row>
    <row r="70" spans="1:1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</row>
    <row r="71" spans="1:1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</row>
    <row r="72" spans="1:1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</row>
  </sheetData>
  <autoFilter ref="B7:O47"/>
  <mergeCells count="30">
    <mergeCell ref="B2:L2"/>
    <mergeCell ref="B3:L3"/>
    <mergeCell ref="M3:O3"/>
    <mergeCell ref="B5:D5"/>
    <mergeCell ref="E5:G5"/>
    <mergeCell ref="H5:J5"/>
    <mergeCell ref="K5:M5"/>
    <mergeCell ref="N5:O5"/>
    <mergeCell ref="B49:G49"/>
    <mergeCell ref="B51:O51"/>
    <mergeCell ref="B52:O52"/>
    <mergeCell ref="B57:C57"/>
    <mergeCell ref="D57:E57"/>
    <mergeCell ref="F57:G57"/>
    <mergeCell ref="H57:I57"/>
    <mergeCell ref="J57:K57"/>
    <mergeCell ref="L57:M57"/>
    <mergeCell ref="N57:O57"/>
    <mergeCell ref="B58:C58"/>
    <mergeCell ref="D58:E58"/>
    <mergeCell ref="F58:G58"/>
    <mergeCell ref="H58:I58"/>
    <mergeCell ref="J58:K58"/>
    <mergeCell ref="L58:M58"/>
    <mergeCell ref="N58:O58"/>
    <mergeCell ref="B59:C59"/>
    <mergeCell ref="D59:E59"/>
    <mergeCell ref="F59:G59"/>
    <mergeCell ref="H59:I59"/>
    <mergeCell ref="J59:K59"/>
  </mergeCells>
  <conditionalFormatting sqref="C8:C47">
    <cfRule type="expression" dxfId="3" priority="4">
      <formula>AND($C8&lt;&gt;"",COUNTIF('📅 Events'!$D$8:$D$47,$C8)&gt;1)</formula>
    </cfRule>
  </conditionalFormatting>
  <conditionalFormatting sqref="F8:F47">
    <cfRule type="expression" dxfId="4" priority="5">
      <formula>AND($F8&lt;&gt;"",$F8&lt;TODAY())</formula>
    </cfRule>
    <cfRule type="expression" dxfId="5" priority="6">
      <formula>AND($F8&gt;=TODAY(),$F8-TODAY()&lt;=DueSoonDays)</formula>
    </cfRule>
  </conditionalFormatting>
  <conditionalFormatting sqref="N8:N47">
    <cfRule type="expression" dxfId="0" priority="1">
      <formula>$N8="🔴 Unpaid"</formula>
    </cfRule>
    <cfRule type="expression" dxfId="1" priority="2">
      <formula>$N8="🟠 Partial"</formula>
    </cfRule>
    <cfRule type="expression" dxfId="2" priority="3">
      <formula>$N8="🟢 Paid in full"</formula>
    </cfRule>
  </conditionalFormatting>
  <dataValidations count="7">
    <dataValidation type="date" errorStyle="warning" allowBlank="1" showInputMessage="1" showErrorMessage="1" errorTitle="That's not a date" error="Enter a date between 2000 and 2100." promptTitle="Date" prompt="Type a date, or pick one from the calendar picker." sqref="F8:F47">
      <formula1>36526</formula1>
      <formula2>73415</formula2>
    </dataValidation>
    <dataValidation type="list" allowBlank="1" showInputMessage="1" promptTitle="Event type" sqref="G8:G47">
      <formula1>EventTypes</formula1>
    </dataValidation>
    <dataValidation type="whole" errorStyle="warning" allowBlank="1" showInputMessage="1" showErrorMessage="1" errorTitle="Whole numbers only" error="Please enter a whole number." sqref="H8:H47">
      <formula1>0</formula1>
      <formula2>100000</formula2>
    </dataValidation>
    <dataValidation type="list" allowBlank="1" showInputMessage="1" promptTitle="Package" prompt="Your service tiers - edit the list on ⚙️ Setup if you named them differently." sqref="J8:J47">
      <formula1>"Custom,Bronze,Silver,Gold,Platinum"</formula1>
    </dataValidation>
    <dataValidation type="decimal" operator="greaterThanOrEqual" errorStyle="warning" allowBlank="1" showInputMessage="1" showErrorMessage="1" errorTitle="Enter money" error="Please enter a positive number (no currency symbol) - the symbol comes from Setup." sqref="K8:K47">
      <formula1>0</formula1>
    </dataValidation>
    <dataValidation type="decimal" operator="greaterThanOrEqual" errorStyle="warning" allowBlank="1" showInputMessage="1" showErrorMessage="1" errorTitle="Enter money" error="Please enter a positive number (no currency symbol) - the symbol comes from Setup." sqref="L8:L47">
      <formula1>0</formula1>
    </dataValidation>
    <dataValidation type="list" allowBlank="1" showInputMessage="1" showErrorMessage="1" errorTitle="Pick from the list" error="Pick one of the three payment statuses." promptTitle="Payment status" prompt="🔴 Unpaid → 🟠 Partial → 🟢 Paid in full." sqref="N8:N47">
      <formula1>PaymentStatuses</formula1>
    </dataValidation>
  </dataValidations>
  <hyperlinks>
    <hyperlink ref="M3" location="'📊 Dashboard'!A1" display="🏠  Back to Dashboard"/>
    <hyperlink ref="B57" location="'⚙️ Setup'!A1" display="Setup"/>
    <hyperlink ref="D57" location="'📊 Dashboard'!A1" display="🏠 Home"/>
    <hyperlink ref="F57" location="'👥 Clients'!A1" display="▶ Clients"/>
    <hyperlink ref="H57" location="'📅 Events'!A1" display="Events"/>
    <hyperlink ref="J57" location="'🧮 Quote Calculator'!A1" display="Quote"/>
    <hyperlink ref="L57" location="'🍽️ Menu Costing'!A1" display="Menu"/>
    <hyperlink ref="N57" location="'📦 Inventory'!A1" display="Stock"/>
    <hyperlink ref="B58" location="'🛒 Shopping List'!A1" display="Shop"/>
    <hyperlink ref="D58" location="'💸 Expenses'!A1" display="Expenses"/>
    <hyperlink ref="F58" location="'💰 Payments'!A1" display="Payments"/>
    <hyperlink ref="H58" location="'👷 Staff &amp; Labor'!A1" display="Staff"/>
    <hyperlink ref="J58" location="'🍳 Equipment'!A1" display="Equip"/>
    <hyperlink ref="L58" location="'🚚 Suppliers'!A1" display="Suppliers"/>
    <hyperlink ref="N58" location="'📆 Event Calendar'!A1" display="Calendar"/>
    <hyperlink ref="B59" location="'📈 P&amp;L &amp; Reports'!A1" display="P&amp;L"/>
    <hyperlink ref="D59" location="'🧾 Tax Tracker'!A1" display="Tax"/>
    <hyperlink ref="F59" location="'✅ Checklists'!A1" display="Checks"/>
    <hyperlink ref="H59" location="'🖨️ Invoice &amp; Proposal'!A1" display="Invoice"/>
    <hyperlink ref="J59" location="'📖 Start Here'!A1" display="Help"/>
  </hyperlinks>
  <pageMargins left="0.4" right="0.4" top="0.5" bottom="0.5" header="0.3" footer="0.3"/>
  <pageSetup paperSize="9" fitToHeight="0" orientation="landscape"/>
  <headerFooter>
    <oddHeader>&amp;L&amp;"Calibri,Bold"&amp;11Catering Business Manager&amp;R&amp;"Calibri,Italic"&amp;9Page &amp;P of &amp;N</oddHeader>
    <oddFooter>&amp;C&amp;"Calibri,Italic"&amp;8&amp;A  •  Ultimate Catering Business Spreadsheet v1.0  •  personal licence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A9822B"/>
    <pageSetUpPr fitToPage="1"/>
  </sheetPr>
  <dimension ref="A1:R74"/>
  <sheetViews>
    <sheetView showGridLines="0" zoomScale="90" zoomScaleNormal="90" workbookViewId="0">
      <pane xSplit="3" ySplit="8" topLeftCell="D9" activePane="bottomRight" state="frozen"/>
      <selection pane="topRight" activeCell="D1" sqref="D1"/>
      <selection pane="bottomLeft" activeCell="A9" sqref="A9"/>
      <selection pane="bottomRight"/>
    </sheetView>
  </sheetViews>
  <sheetFormatPr defaultRowHeight="15"/>
  <cols>
    <col min="1" max="1" width="2.85546875" customWidth="1"/>
    <col min="2" max="2" width="5.28515625" customWidth="1"/>
    <col min="3" max="3" width="10.7109375" customWidth="1"/>
    <col min="4" max="4" width="21.7109375" customWidth="1"/>
    <col min="5" max="5" width="12.7109375" customWidth="1"/>
    <col min="6" max="6" width="13.7109375" customWidth="1"/>
    <col min="7" max="7" width="8.7109375" customWidth="1"/>
    <col min="8" max="8" width="30.7109375" customWidth="1"/>
    <col min="9" max="9" width="9.7109375" customWidth="1"/>
    <col min="10" max="10" width="22.7109375" customWidth="1"/>
    <col min="11" max="11" width="11.7109375" customWidth="1"/>
    <col min="12" max="12" width="11.7109375" customWidth="1"/>
    <col min="13" max="13" width="11.7109375" customWidth="1"/>
    <col min="14" max="14" width="9.7109375" customWidth="1"/>
    <col min="15" max="15" width="11.7109375" customWidth="1"/>
    <col min="16" max="16" width="11.7109375" customWidth="1"/>
    <col min="17" max="17" width="16.7109375" customWidth="1"/>
    <col min="18" max="18" width="24.7109375" customWidth="1"/>
  </cols>
  <sheetData>
    <row r="1" spans="1:18" ht="7" customHeight="1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</row>
    <row r="2" spans="1:18" ht="30" customHeight="1">
      <c r="A2" s="7"/>
      <c r="B2" s="8" t="s">
        <v>218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7"/>
      <c r="Q2" s="7"/>
      <c r="R2" s="7"/>
    </row>
    <row r="3" spans="1:18" ht="18" customHeight="1">
      <c r="A3" s="7"/>
      <c r="B3" s="9" t="s">
        <v>219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10" t="s">
        <v>97</v>
      </c>
      <c r="Q3" s="10"/>
      <c r="R3" s="10"/>
    </row>
    <row r="4" spans="1:18" ht="7" customHeight="1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</row>
    <row r="5" spans="1:18" ht="26" customHeight="1">
      <c r="A5" s="7"/>
      <c r="B5" s="73" t="str">
        <f>"📅 Events: "&amp;'_Data'!$AF$6</f>
        <v>Events: 0</v>
      </c>
      <c r="C5" s="73"/>
      <c r="D5" s="73"/>
      <c r="E5" s="76" t="str">
        <f>"✅ Confirmed + deposit: "&amp;'_Data'!$AF$8</f>
        <v>Confirmed + deposit: 0</v>
      </c>
      <c r="F5" s="76"/>
      <c r="G5" s="76"/>
      <c r="H5" s="74" t="str">
        <f>"🎉 Completed: "&amp;'_Data'!$AF$7&amp;"  ❌ Cancelled: "&amp;'_Data'!$AF$9</f>
        <v>Completed: 0  Cancelled: 0</v>
      </c>
      <c r="I5" s="74"/>
      <c r="J5" s="74"/>
      <c r="K5" s="75" t="str">
        <f>"💰 Booked value: "&amp;Currency&amp;TEXT(SUMIF('📅 Events'!$Q$8:$Q$47,"&lt;&gt;❌ Cancelled",'📅 Events'!$L$8:$L$47),"#,##0")</f>
        <v>Booked value: $0</v>
      </c>
      <c r="L5" s="75"/>
      <c r="M5" s="75"/>
      <c r="N5" s="95" t="str">
        <f>"📈 Projected profit: "&amp;Currency&amp;TEXT(SUMIF('📅 Events'!$Q$8:$Q$47,"&lt;&gt;❌ Cancelled",'📅 Events'!$M$8:$M$47),"#,##0")</f>
        <v>Projected profit: $0</v>
      </c>
      <c r="O5" s="95"/>
      <c r="P5" s="95"/>
      <c r="Q5" s="7"/>
      <c r="R5" s="7"/>
    </row>
    <row r="6" spans="1:18" ht="7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</row>
    <row r="7" spans="1:18" ht="36" customHeight="1">
      <c r="A7" s="7"/>
      <c r="B7" s="18" t="s">
        <v>203</v>
      </c>
      <c r="C7" s="18" t="s">
        <v>220</v>
      </c>
      <c r="D7" s="18" t="s">
        <v>48</v>
      </c>
      <c r="E7" s="18" t="s">
        <v>221</v>
      </c>
      <c r="F7" s="18" t="s">
        <v>222</v>
      </c>
      <c r="G7" s="18" t="s">
        <v>208</v>
      </c>
      <c r="H7" s="18" t="s">
        <v>223</v>
      </c>
      <c r="I7" s="18" t="s">
        <v>224</v>
      </c>
      <c r="J7" s="18" t="s">
        <v>225</v>
      </c>
      <c r="K7" s="18" t="s">
        <v>226</v>
      </c>
      <c r="L7" s="18" t="s">
        <v>227</v>
      </c>
      <c r="M7" s="77" t="s">
        <v>3</v>
      </c>
      <c r="N7" s="77" t="s">
        <v>228</v>
      </c>
      <c r="O7" s="18" t="s">
        <v>212</v>
      </c>
      <c r="P7" s="77" t="s">
        <v>57</v>
      </c>
      <c r="Q7" s="18" t="s">
        <v>229</v>
      </c>
      <c r="R7" s="18" t="s">
        <v>213</v>
      </c>
    </row>
    <row r="8" spans="1:18" ht="34" customHeight="1">
      <c r="A8" s="7"/>
      <c r="B8" s="78">
        <v>1</v>
      </c>
      <c r="C8" s="79"/>
      <c r="D8" s="79"/>
      <c r="E8" s="81"/>
      <c r="F8" s="80"/>
      <c r="G8" s="82"/>
      <c r="H8" s="96"/>
      <c r="I8" s="82"/>
      <c r="J8" s="96"/>
      <c r="K8" s="83"/>
      <c r="L8" s="83"/>
      <c r="M8" s="84">
        <f>IF(OR($K8="",$L8=""),"",$L8-$K8)</f>
        <v/>
      </c>
      <c r="N8" s="97">
        <f>IF(OR($L8="",$L8=0),"",$M8/$L8)</f>
        <v/>
      </c>
      <c r="O8" s="83"/>
      <c r="P8" s="84">
        <f>IF($L8="","",$L8-$O8)</f>
        <v/>
      </c>
      <c r="Q8" s="80"/>
      <c r="R8" s="79"/>
    </row>
    <row r="9" spans="1:18" ht="34" customHeight="1">
      <c r="A9" s="7"/>
      <c r="B9" s="85">
        <v>2</v>
      </c>
      <c r="C9" s="86"/>
      <c r="D9" s="86"/>
      <c r="E9" s="88"/>
      <c r="F9" s="87"/>
      <c r="G9" s="89"/>
      <c r="H9" s="98"/>
      <c r="I9" s="89"/>
      <c r="J9" s="98"/>
      <c r="K9" s="90"/>
      <c r="L9" s="90"/>
      <c r="M9" s="84">
        <f>IF(OR($K9="",$L9=""),"",$L9-$K9)</f>
        <v/>
      </c>
      <c r="N9" s="97">
        <f>IF(OR($L9="",$L9=0),"",$M9/$L9)</f>
        <v/>
      </c>
      <c r="O9" s="90"/>
      <c r="P9" s="84">
        <f>IF($L9="","",$L9-$O9)</f>
        <v/>
      </c>
      <c r="Q9" s="87"/>
      <c r="R9" s="86"/>
    </row>
    <row r="10" spans="1:18" ht="34" customHeight="1">
      <c r="A10" s="7"/>
      <c r="B10" s="78">
        <v>3</v>
      </c>
      <c r="C10" s="79"/>
      <c r="D10" s="79"/>
      <c r="E10" s="81"/>
      <c r="F10" s="80"/>
      <c r="G10" s="82"/>
      <c r="H10" s="96"/>
      <c r="I10" s="82"/>
      <c r="J10" s="96"/>
      <c r="K10" s="83"/>
      <c r="L10" s="83"/>
      <c r="M10" s="84">
        <f>IF(OR($K10="",$L10=""),"",$L10-$K10)</f>
        <v/>
      </c>
      <c r="N10" s="97">
        <f>IF(OR($L10="",$L10=0),"",$M10/$L10)</f>
        <v/>
      </c>
      <c r="O10" s="83"/>
      <c r="P10" s="84">
        <f>IF($L10="","",$L10-$O10)</f>
        <v/>
      </c>
      <c r="Q10" s="80"/>
      <c r="R10" s="79"/>
    </row>
    <row r="11" spans="1:18" ht="34" customHeight="1">
      <c r="A11" s="7"/>
      <c r="B11" s="85">
        <v>4</v>
      </c>
      <c r="C11" s="86"/>
      <c r="D11" s="86"/>
      <c r="E11" s="88"/>
      <c r="F11" s="87"/>
      <c r="G11" s="89"/>
      <c r="H11" s="98"/>
      <c r="I11" s="89"/>
      <c r="J11" s="98"/>
      <c r="K11" s="90"/>
      <c r="L11" s="90"/>
      <c r="M11" s="84">
        <f>IF(OR($K11="",$L11=""),"",$L11-$K11)</f>
        <v/>
      </c>
      <c r="N11" s="97">
        <f>IF(OR($L11="",$L11=0),"",$M11/$L11)</f>
        <v/>
      </c>
      <c r="O11" s="90"/>
      <c r="P11" s="84">
        <f>IF($L11="","",$L11-$O11)</f>
        <v/>
      </c>
      <c r="Q11" s="87"/>
      <c r="R11" s="86"/>
    </row>
    <row r="12" spans="1:18" ht="34" customHeight="1">
      <c r="A12" s="7"/>
      <c r="B12" s="78">
        <v>5</v>
      </c>
      <c r="C12" s="79"/>
      <c r="D12" s="79"/>
      <c r="E12" s="81"/>
      <c r="F12" s="80"/>
      <c r="G12" s="82"/>
      <c r="H12" s="96"/>
      <c r="I12" s="82"/>
      <c r="J12" s="96"/>
      <c r="K12" s="83"/>
      <c r="L12" s="83"/>
      <c r="M12" s="84">
        <f>IF(OR($K12="",$L12=""),"",$L12-$K12)</f>
        <v/>
      </c>
      <c r="N12" s="97">
        <f>IF(OR($L12="",$L12=0),"",$M12/$L12)</f>
        <v/>
      </c>
      <c r="O12" s="83"/>
      <c r="P12" s="84">
        <f>IF($L12="","",$L12-$O12)</f>
        <v/>
      </c>
      <c r="Q12" s="80"/>
      <c r="R12" s="79"/>
    </row>
    <row r="13" spans="1:18" ht="34" customHeight="1">
      <c r="A13" s="7"/>
      <c r="B13" s="85">
        <v>6</v>
      </c>
      <c r="C13" s="86"/>
      <c r="D13" s="86"/>
      <c r="E13" s="88"/>
      <c r="F13" s="87"/>
      <c r="G13" s="89"/>
      <c r="H13" s="98"/>
      <c r="I13" s="89"/>
      <c r="J13" s="98"/>
      <c r="K13" s="90"/>
      <c r="L13" s="90"/>
      <c r="M13" s="84">
        <f>IF(OR($K13="",$L13=""),"",$L13-$K13)</f>
        <v/>
      </c>
      <c r="N13" s="97">
        <f>IF(OR($L13="",$L13=0),"",$M13/$L13)</f>
        <v/>
      </c>
      <c r="O13" s="90"/>
      <c r="P13" s="84">
        <f>IF($L13="","",$L13-$O13)</f>
        <v/>
      </c>
      <c r="Q13" s="87"/>
      <c r="R13" s="86"/>
    </row>
    <row r="14" spans="1:18" ht="34" customHeight="1">
      <c r="A14" s="7"/>
      <c r="B14" s="78">
        <v>7</v>
      </c>
      <c r="C14" s="79"/>
      <c r="D14" s="79"/>
      <c r="E14" s="81"/>
      <c r="F14" s="80"/>
      <c r="G14" s="82"/>
      <c r="H14" s="96"/>
      <c r="I14" s="82"/>
      <c r="J14" s="96"/>
      <c r="K14" s="83"/>
      <c r="L14" s="83"/>
      <c r="M14" s="84">
        <f>IF(OR($K14="",$L14=""),"",$L14-$K14)</f>
        <v/>
      </c>
      <c r="N14" s="97">
        <f>IF(OR($L14="",$L14=0),"",$M14/$L14)</f>
        <v/>
      </c>
      <c r="O14" s="83"/>
      <c r="P14" s="84">
        <f>IF($L14="","",$L14-$O14)</f>
        <v/>
      </c>
      <c r="Q14" s="80"/>
      <c r="R14" s="79"/>
    </row>
    <row r="15" spans="1:18" ht="34" customHeight="1">
      <c r="A15" s="7"/>
      <c r="B15" s="85">
        <v>8</v>
      </c>
      <c r="C15" s="86"/>
      <c r="D15" s="86"/>
      <c r="E15" s="88"/>
      <c r="F15" s="87"/>
      <c r="G15" s="89"/>
      <c r="H15" s="98"/>
      <c r="I15" s="89"/>
      <c r="J15" s="98"/>
      <c r="K15" s="90"/>
      <c r="L15" s="90"/>
      <c r="M15" s="84">
        <f>IF(OR($K15="",$L15=""),"",$L15-$K15)</f>
        <v/>
      </c>
      <c r="N15" s="97">
        <f>IF(OR($L15="",$L15=0),"",$M15/$L15)</f>
        <v/>
      </c>
      <c r="O15" s="90"/>
      <c r="P15" s="84">
        <f>IF($L15="","",$L15-$O15)</f>
        <v/>
      </c>
      <c r="Q15" s="87"/>
      <c r="R15" s="86"/>
    </row>
    <row r="16" spans="1:18" ht="34" customHeight="1">
      <c r="A16" s="7"/>
      <c r="B16" s="78">
        <v>9</v>
      </c>
      <c r="C16" s="79"/>
      <c r="D16" s="79"/>
      <c r="E16" s="81"/>
      <c r="F16" s="80"/>
      <c r="G16" s="82"/>
      <c r="H16" s="96"/>
      <c r="I16" s="82"/>
      <c r="J16" s="96"/>
      <c r="K16" s="83"/>
      <c r="L16" s="83"/>
      <c r="M16" s="84">
        <f>IF(OR($K16="",$L16=""),"",$L16-$K16)</f>
        <v/>
      </c>
      <c r="N16" s="97">
        <f>IF(OR($L16="",$L16=0),"",$M16/$L16)</f>
        <v/>
      </c>
      <c r="O16" s="83"/>
      <c r="P16" s="84">
        <f>IF($L16="","",$L16-$O16)</f>
        <v/>
      </c>
      <c r="Q16" s="80"/>
      <c r="R16" s="79"/>
    </row>
    <row r="17" spans="1:18" ht="34" customHeight="1">
      <c r="A17" s="7"/>
      <c r="B17" s="85">
        <v>10</v>
      </c>
      <c r="C17" s="86"/>
      <c r="D17" s="86"/>
      <c r="E17" s="88"/>
      <c r="F17" s="87"/>
      <c r="G17" s="89"/>
      <c r="H17" s="98"/>
      <c r="I17" s="89"/>
      <c r="J17" s="98"/>
      <c r="K17" s="90"/>
      <c r="L17" s="90"/>
      <c r="M17" s="84">
        <f>IF(OR($K17="",$L17=""),"",$L17-$K17)</f>
        <v/>
      </c>
      <c r="N17" s="97">
        <f>IF(OR($L17="",$L17=0),"",$M17/$L17)</f>
        <v/>
      </c>
      <c r="O17" s="90"/>
      <c r="P17" s="84">
        <f>IF($L17="","",$L17-$O17)</f>
        <v/>
      </c>
      <c r="Q17" s="87"/>
      <c r="R17" s="86"/>
    </row>
    <row r="18" spans="1:18" ht="34" customHeight="1">
      <c r="A18" s="7"/>
      <c r="B18" s="78">
        <v>11</v>
      </c>
      <c r="C18" s="79"/>
      <c r="D18" s="79"/>
      <c r="E18" s="81"/>
      <c r="F18" s="80"/>
      <c r="G18" s="82"/>
      <c r="H18" s="96"/>
      <c r="I18" s="82"/>
      <c r="J18" s="96"/>
      <c r="K18" s="83"/>
      <c r="L18" s="83"/>
      <c r="M18" s="84">
        <f>IF(OR($K18="",$L18=""),"",$L18-$K18)</f>
        <v/>
      </c>
      <c r="N18" s="97">
        <f>IF(OR($L18="",$L18=0),"",$M18/$L18)</f>
        <v/>
      </c>
      <c r="O18" s="83"/>
      <c r="P18" s="84">
        <f>IF($L18="","",$L18-$O18)</f>
        <v/>
      </c>
      <c r="Q18" s="80"/>
      <c r="R18" s="79"/>
    </row>
    <row r="19" spans="1:18" ht="34" customHeight="1">
      <c r="A19" s="7"/>
      <c r="B19" s="85">
        <v>12</v>
      </c>
      <c r="C19" s="86"/>
      <c r="D19" s="86"/>
      <c r="E19" s="88"/>
      <c r="F19" s="87"/>
      <c r="G19" s="89"/>
      <c r="H19" s="98"/>
      <c r="I19" s="89"/>
      <c r="J19" s="98"/>
      <c r="K19" s="90"/>
      <c r="L19" s="90"/>
      <c r="M19" s="84">
        <f>IF(OR($K19="",$L19=""),"",$L19-$K19)</f>
        <v/>
      </c>
      <c r="N19" s="97">
        <f>IF(OR($L19="",$L19=0),"",$M19/$L19)</f>
        <v/>
      </c>
      <c r="O19" s="90"/>
      <c r="P19" s="84">
        <f>IF($L19="","",$L19-$O19)</f>
        <v/>
      </c>
      <c r="Q19" s="87"/>
      <c r="R19" s="86"/>
    </row>
    <row r="20" spans="1:18" ht="34" customHeight="1">
      <c r="A20" s="7"/>
      <c r="B20" s="78">
        <v>13</v>
      </c>
      <c r="C20" s="79"/>
      <c r="D20" s="79"/>
      <c r="E20" s="81"/>
      <c r="F20" s="80"/>
      <c r="G20" s="82"/>
      <c r="H20" s="96"/>
      <c r="I20" s="82"/>
      <c r="J20" s="96"/>
      <c r="K20" s="83"/>
      <c r="L20" s="83"/>
      <c r="M20" s="84">
        <f>IF(OR($K20="",$L20=""),"",$L20-$K20)</f>
        <v/>
      </c>
      <c r="N20" s="97">
        <f>IF(OR($L20="",$L20=0),"",$M20/$L20)</f>
        <v/>
      </c>
      <c r="O20" s="83"/>
      <c r="P20" s="84">
        <f>IF($L20="","",$L20-$O20)</f>
        <v/>
      </c>
      <c r="Q20" s="80"/>
      <c r="R20" s="79"/>
    </row>
    <row r="21" spans="1:18" ht="34" customHeight="1">
      <c r="A21" s="7"/>
      <c r="B21" s="85">
        <v>14</v>
      </c>
      <c r="C21" s="86"/>
      <c r="D21" s="86"/>
      <c r="E21" s="88"/>
      <c r="F21" s="87"/>
      <c r="G21" s="89"/>
      <c r="H21" s="98"/>
      <c r="I21" s="89"/>
      <c r="J21" s="98"/>
      <c r="K21" s="90"/>
      <c r="L21" s="90"/>
      <c r="M21" s="84">
        <f>IF(OR($K21="",$L21=""),"",$L21-$K21)</f>
        <v/>
      </c>
      <c r="N21" s="97">
        <f>IF(OR($L21="",$L21=0),"",$M21/$L21)</f>
        <v/>
      </c>
      <c r="O21" s="90"/>
      <c r="P21" s="84">
        <f>IF($L21="","",$L21-$O21)</f>
        <v/>
      </c>
      <c r="Q21" s="87"/>
      <c r="R21" s="86"/>
    </row>
    <row r="22" spans="1:18" ht="34" customHeight="1">
      <c r="A22" s="7"/>
      <c r="B22" s="78">
        <v>15</v>
      </c>
      <c r="C22" s="79"/>
      <c r="D22" s="79"/>
      <c r="E22" s="81"/>
      <c r="F22" s="80"/>
      <c r="G22" s="82"/>
      <c r="H22" s="96"/>
      <c r="I22" s="82"/>
      <c r="J22" s="96"/>
      <c r="K22" s="83"/>
      <c r="L22" s="83"/>
      <c r="M22" s="84">
        <f>IF(OR($K22="",$L22=""),"",$L22-$K22)</f>
        <v/>
      </c>
      <c r="N22" s="97">
        <f>IF(OR($L22="",$L22=0),"",$M22/$L22)</f>
        <v/>
      </c>
      <c r="O22" s="83"/>
      <c r="P22" s="84">
        <f>IF($L22="","",$L22-$O22)</f>
        <v/>
      </c>
      <c r="Q22" s="80"/>
      <c r="R22" s="79"/>
    </row>
    <row r="23" spans="1:18" ht="34" customHeight="1">
      <c r="A23" s="7"/>
      <c r="B23" s="85">
        <v>16</v>
      </c>
      <c r="C23" s="86"/>
      <c r="D23" s="86"/>
      <c r="E23" s="88"/>
      <c r="F23" s="87"/>
      <c r="G23" s="89"/>
      <c r="H23" s="98"/>
      <c r="I23" s="89"/>
      <c r="J23" s="98"/>
      <c r="K23" s="90"/>
      <c r="L23" s="90"/>
      <c r="M23" s="84">
        <f>IF(OR($K23="",$L23=""),"",$L23-$K23)</f>
        <v/>
      </c>
      <c r="N23" s="97">
        <f>IF(OR($L23="",$L23=0),"",$M23/$L23)</f>
        <v/>
      </c>
      <c r="O23" s="90"/>
      <c r="P23" s="84">
        <f>IF($L23="","",$L23-$O23)</f>
        <v/>
      </c>
      <c r="Q23" s="87"/>
      <c r="R23" s="86"/>
    </row>
    <row r="24" spans="1:18" ht="34" customHeight="1">
      <c r="A24" s="7"/>
      <c r="B24" s="78">
        <v>17</v>
      </c>
      <c r="C24" s="79"/>
      <c r="D24" s="79"/>
      <c r="E24" s="81"/>
      <c r="F24" s="80"/>
      <c r="G24" s="82"/>
      <c r="H24" s="96"/>
      <c r="I24" s="82"/>
      <c r="J24" s="96"/>
      <c r="K24" s="83"/>
      <c r="L24" s="83"/>
      <c r="M24" s="84">
        <f>IF(OR($K24="",$L24=""),"",$L24-$K24)</f>
        <v/>
      </c>
      <c r="N24" s="97">
        <f>IF(OR($L24="",$L24=0),"",$M24/$L24)</f>
        <v/>
      </c>
      <c r="O24" s="83"/>
      <c r="P24" s="84">
        <f>IF($L24="","",$L24-$O24)</f>
        <v/>
      </c>
      <c r="Q24" s="80"/>
      <c r="R24" s="79"/>
    </row>
    <row r="25" spans="1:18" ht="34" customHeight="1">
      <c r="A25" s="7"/>
      <c r="B25" s="85">
        <v>18</v>
      </c>
      <c r="C25" s="86"/>
      <c r="D25" s="86"/>
      <c r="E25" s="88"/>
      <c r="F25" s="87"/>
      <c r="G25" s="89"/>
      <c r="H25" s="98"/>
      <c r="I25" s="89"/>
      <c r="J25" s="98"/>
      <c r="K25" s="90"/>
      <c r="L25" s="90"/>
      <c r="M25" s="84">
        <f>IF(OR($K25="",$L25=""),"",$L25-$K25)</f>
        <v/>
      </c>
      <c r="N25" s="97">
        <f>IF(OR($L25="",$L25=0),"",$M25/$L25)</f>
        <v/>
      </c>
      <c r="O25" s="90"/>
      <c r="P25" s="84">
        <f>IF($L25="","",$L25-$O25)</f>
        <v/>
      </c>
      <c r="Q25" s="87"/>
      <c r="R25" s="86"/>
    </row>
    <row r="26" spans="1:18" ht="34" customHeight="1">
      <c r="A26" s="7"/>
      <c r="B26" s="78">
        <v>19</v>
      </c>
      <c r="C26" s="79"/>
      <c r="D26" s="79"/>
      <c r="E26" s="81"/>
      <c r="F26" s="80"/>
      <c r="G26" s="82"/>
      <c r="H26" s="96"/>
      <c r="I26" s="82"/>
      <c r="J26" s="96"/>
      <c r="K26" s="83"/>
      <c r="L26" s="83"/>
      <c r="M26" s="84">
        <f>IF(OR($K26="",$L26=""),"",$L26-$K26)</f>
        <v/>
      </c>
      <c r="N26" s="97">
        <f>IF(OR($L26="",$L26=0),"",$M26/$L26)</f>
        <v/>
      </c>
      <c r="O26" s="83"/>
      <c r="P26" s="84">
        <f>IF($L26="","",$L26-$O26)</f>
        <v/>
      </c>
      <c r="Q26" s="80"/>
      <c r="R26" s="79"/>
    </row>
    <row r="27" spans="1:18" ht="34" customHeight="1">
      <c r="A27" s="7"/>
      <c r="B27" s="85">
        <v>20</v>
      </c>
      <c r="C27" s="86"/>
      <c r="D27" s="86"/>
      <c r="E27" s="88"/>
      <c r="F27" s="87"/>
      <c r="G27" s="89"/>
      <c r="H27" s="98"/>
      <c r="I27" s="89"/>
      <c r="J27" s="98"/>
      <c r="K27" s="90"/>
      <c r="L27" s="90"/>
      <c r="M27" s="84">
        <f>IF(OR($K27="",$L27=""),"",$L27-$K27)</f>
        <v/>
      </c>
      <c r="N27" s="97">
        <f>IF(OR($L27="",$L27=0),"",$M27/$L27)</f>
        <v/>
      </c>
      <c r="O27" s="90"/>
      <c r="P27" s="84">
        <f>IF($L27="","",$L27-$O27)</f>
        <v/>
      </c>
      <c r="Q27" s="87"/>
      <c r="R27" s="86"/>
    </row>
    <row r="28" spans="1:18" ht="34" customHeight="1">
      <c r="A28" s="7"/>
      <c r="B28" s="78">
        <v>21</v>
      </c>
      <c r="C28" s="79"/>
      <c r="D28" s="79"/>
      <c r="E28" s="81"/>
      <c r="F28" s="80"/>
      <c r="G28" s="82"/>
      <c r="H28" s="96"/>
      <c r="I28" s="82"/>
      <c r="J28" s="96"/>
      <c r="K28" s="83"/>
      <c r="L28" s="83"/>
      <c r="M28" s="84">
        <f>IF(OR($K28="",$L28=""),"",$L28-$K28)</f>
        <v/>
      </c>
      <c r="N28" s="97">
        <f>IF(OR($L28="",$L28=0),"",$M28/$L28)</f>
        <v/>
      </c>
      <c r="O28" s="83"/>
      <c r="P28" s="84">
        <f>IF($L28="","",$L28-$O28)</f>
        <v/>
      </c>
      <c r="Q28" s="80"/>
      <c r="R28" s="79"/>
    </row>
    <row r="29" spans="1:18" ht="34" customHeight="1">
      <c r="A29" s="7"/>
      <c r="B29" s="85">
        <v>22</v>
      </c>
      <c r="C29" s="86"/>
      <c r="D29" s="86"/>
      <c r="E29" s="88"/>
      <c r="F29" s="87"/>
      <c r="G29" s="89"/>
      <c r="H29" s="98"/>
      <c r="I29" s="89"/>
      <c r="J29" s="98"/>
      <c r="K29" s="90"/>
      <c r="L29" s="90"/>
      <c r="M29" s="84">
        <f>IF(OR($K29="",$L29=""),"",$L29-$K29)</f>
        <v/>
      </c>
      <c r="N29" s="97">
        <f>IF(OR($L29="",$L29=0),"",$M29/$L29)</f>
        <v/>
      </c>
      <c r="O29" s="90"/>
      <c r="P29" s="84">
        <f>IF($L29="","",$L29-$O29)</f>
        <v/>
      </c>
      <c r="Q29" s="87"/>
      <c r="R29" s="86"/>
    </row>
    <row r="30" spans="1:18" ht="34" customHeight="1">
      <c r="A30" s="7"/>
      <c r="B30" s="78">
        <v>23</v>
      </c>
      <c r="C30" s="79"/>
      <c r="D30" s="79"/>
      <c r="E30" s="81"/>
      <c r="F30" s="80"/>
      <c r="G30" s="82"/>
      <c r="H30" s="96"/>
      <c r="I30" s="82"/>
      <c r="J30" s="96"/>
      <c r="K30" s="83"/>
      <c r="L30" s="83"/>
      <c r="M30" s="84">
        <f>IF(OR($K30="",$L30=""),"",$L30-$K30)</f>
        <v/>
      </c>
      <c r="N30" s="97">
        <f>IF(OR($L30="",$L30=0),"",$M30/$L30)</f>
        <v/>
      </c>
      <c r="O30" s="83"/>
      <c r="P30" s="84">
        <f>IF($L30="","",$L30-$O30)</f>
        <v/>
      </c>
      <c r="Q30" s="80"/>
      <c r="R30" s="79"/>
    </row>
    <row r="31" spans="1:18" ht="34" customHeight="1">
      <c r="A31" s="7"/>
      <c r="B31" s="85">
        <v>24</v>
      </c>
      <c r="C31" s="86"/>
      <c r="D31" s="86"/>
      <c r="E31" s="88"/>
      <c r="F31" s="87"/>
      <c r="G31" s="89"/>
      <c r="H31" s="98"/>
      <c r="I31" s="89"/>
      <c r="J31" s="98"/>
      <c r="K31" s="90"/>
      <c r="L31" s="90"/>
      <c r="M31" s="84">
        <f>IF(OR($K31="",$L31=""),"",$L31-$K31)</f>
        <v/>
      </c>
      <c r="N31" s="97">
        <f>IF(OR($L31="",$L31=0),"",$M31/$L31)</f>
        <v/>
      </c>
      <c r="O31" s="90"/>
      <c r="P31" s="84">
        <f>IF($L31="","",$L31-$O31)</f>
        <v/>
      </c>
      <c r="Q31" s="87"/>
      <c r="R31" s="86"/>
    </row>
    <row r="32" spans="1:18" ht="34" customHeight="1">
      <c r="A32" s="7"/>
      <c r="B32" s="78">
        <v>25</v>
      </c>
      <c r="C32" s="79"/>
      <c r="D32" s="79"/>
      <c r="E32" s="81"/>
      <c r="F32" s="80"/>
      <c r="G32" s="82"/>
      <c r="H32" s="96"/>
      <c r="I32" s="82"/>
      <c r="J32" s="96"/>
      <c r="K32" s="83"/>
      <c r="L32" s="83"/>
      <c r="M32" s="84">
        <f>IF(OR($K32="",$L32=""),"",$L32-$K32)</f>
        <v/>
      </c>
      <c r="N32" s="97">
        <f>IF(OR($L32="",$L32=0),"",$M32/$L32)</f>
        <v/>
      </c>
      <c r="O32" s="83"/>
      <c r="P32" s="84">
        <f>IF($L32="","",$L32-$O32)</f>
        <v/>
      </c>
      <c r="Q32" s="80"/>
      <c r="R32" s="79"/>
    </row>
    <row r="33" spans="1:18" ht="34" customHeight="1">
      <c r="A33" s="7"/>
      <c r="B33" s="85">
        <v>26</v>
      </c>
      <c r="C33" s="86"/>
      <c r="D33" s="86"/>
      <c r="E33" s="88"/>
      <c r="F33" s="87"/>
      <c r="G33" s="89"/>
      <c r="H33" s="98"/>
      <c r="I33" s="89"/>
      <c r="J33" s="98"/>
      <c r="K33" s="90"/>
      <c r="L33" s="90"/>
      <c r="M33" s="84">
        <f>IF(OR($K33="",$L33=""),"",$L33-$K33)</f>
        <v/>
      </c>
      <c r="N33" s="97">
        <f>IF(OR($L33="",$L33=0),"",$M33/$L33)</f>
        <v/>
      </c>
      <c r="O33" s="90"/>
      <c r="P33" s="84">
        <f>IF($L33="","",$L33-$O33)</f>
        <v/>
      </c>
      <c r="Q33" s="87"/>
      <c r="R33" s="86"/>
    </row>
    <row r="34" spans="1:18" ht="34" customHeight="1">
      <c r="A34" s="7"/>
      <c r="B34" s="78">
        <v>27</v>
      </c>
      <c r="C34" s="79"/>
      <c r="D34" s="79"/>
      <c r="E34" s="81"/>
      <c r="F34" s="80"/>
      <c r="G34" s="82"/>
      <c r="H34" s="96"/>
      <c r="I34" s="82"/>
      <c r="J34" s="96"/>
      <c r="K34" s="83"/>
      <c r="L34" s="83"/>
      <c r="M34" s="84">
        <f>IF(OR($K34="",$L34=""),"",$L34-$K34)</f>
        <v/>
      </c>
      <c r="N34" s="97">
        <f>IF(OR($L34="",$L34=0),"",$M34/$L34)</f>
        <v/>
      </c>
      <c r="O34" s="83"/>
      <c r="P34" s="84">
        <f>IF($L34="","",$L34-$O34)</f>
        <v/>
      </c>
      <c r="Q34" s="80"/>
      <c r="R34" s="79"/>
    </row>
    <row r="35" spans="1:18" ht="34" customHeight="1">
      <c r="A35" s="7"/>
      <c r="B35" s="85">
        <v>28</v>
      </c>
      <c r="C35" s="86"/>
      <c r="D35" s="86"/>
      <c r="E35" s="88"/>
      <c r="F35" s="87"/>
      <c r="G35" s="89"/>
      <c r="H35" s="98"/>
      <c r="I35" s="89"/>
      <c r="J35" s="98"/>
      <c r="K35" s="90"/>
      <c r="L35" s="90"/>
      <c r="M35" s="84">
        <f>IF(OR($K35="",$L35=""),"",$L35-$K35)</f>
        <v/>
      </c>
      <c r="N35" s="97">
        <f>IF(OR($L35="",$L35=0),"",$M35/$L35)</f>
        <v/>
      </c>
      <c r="O35" s="90"/>
      <c r="P35" s="84">
        <f>IF($L35="","",$L35-$O35)</f>
        <v/>
      </c>
      <c r="Q35" s="87"/>
      <c r="R35" s="86"/>
    </row>
    <row r="36" spans="1:18" ht="34" customHeight="1">
      <c r="A36" s="7"/>
      <c r="B36" s="78">
        <v>29</v>
      </c>
      <c r="C36" s="79"/>
      <c r="D36" s="79"/>
      <c r="E36" s="81"/>
      <c r="F36" s="80"/>
      <c r="G36" s="82"/>
      <c r="H36" s="96"/>
      <c r="I36" s="82"/>
      <c r="J36" s="96"/>
      <c r="K36" s="83"/>
      <c r="L36" s="83"/>
      <c r="M36" s="84">
        <f>IF(OR($K36="",$L36=""),"",$L36-$K36)</f>
        <v/>
      </c>
      <c r="N36" s="97">
        <f>IF(OR($L36="",$L36=0),"",$M36/$L36)</f>
        <v/>
      </c>
      <c r="O36" s="83"/>
      <c r="P36" s="84">
        <f>IF($L36="","",$L36-$O36)</f>
        <v/>
      </c>
      <c r="Q36" s="80"/>
      <c r="R36" s="79"/>
    </row>
    <row r="37" spans="1:18" ht="34" customHeight="1">
      <c r="A37" s="7"/>
      <c r="B37" s="85">
        <v>30</v>
      </c>
      <c r="C37" s="86"/>
      <c r="D37" s="86"/>
      <c r="E37" s="88"/>
      <c r="F37" s="87"/>
      <c r="G37" s="89"/>
      <c r="H37" s="98"/>
      <c r="I37" s="89"/>
      <c r="J37" s="98"/>
      <c r="K37" s="90"/>
      <c r="L37" s="90"/>
      <c r="M37" s="84">
        <f>IF(OR($K37="",$L37=""),"",$L37-$K37)</f>
        <v/>
      </c>
      <c r="N37" s="97">
        <f>IF(OR($L37="",$L37=0),"",$M37/$L37)</f>
        <v/>
      </c>
      <c r="O37" s="90"/>
      <c r="P37" s="84">
        <f>IF($L37="","",$L37-$O37)</f>
        <v/>
      </c>
      <c r="Q37" s="87"/>
      <c r="R37" s="86"/>
    </row>
    <row r="38" spans="1:18" ht="34" customHeight="1">
      <c r="A38" s="7"/>
      <c r="B38" s="78">
        <v>31</v>
      </c>
      <c r="C38" s="79"/>
      <c r="D38" s="79"/>
      <c r="E38" s="81"/>
      <c r="F38" s="80"/>
      <c r="G38" s="82"/>
      <c r="H38" s="96"/>
      <c r="I38" s="82"/>
      <c r="J38" s="96"/>
      <c r="K38" s="83"/>
      <c r="L38" s="83"/>
      <c r="M38" s="84">
        <f>IF(OR($K38="",$L38=""),"",$L38-$K38)</f>
        <v/>
      </c>
      <c r="N38" s="97">
        <f>IF(OR($L38="",$L38=0),"",$M38/$L38)</f>
        <v/>
      </c>
      <c r="O38" s="83"/>
      <c r="P38" s="84">
        <f>IF($L38="","",$L38-$O38)</f>
        <v/>
      </c>
      <c r="Q38" s="80"/>
      <c r="R38" s="79"/>
    </row>
    <row r="39" spans="1:18" ht="34" customHeight="1">
      <c r="A39" s="7"/>
      <c r="B39" s="85">
        <v>32</v>
      </c>
      <c r="C39" s="86"/>
      <c r="D39" s="86"/>
      <c r="E39" s="88"/>
      <c r="F39" s="87"/>
      <c r="G39" s="89"/>
      <c r="H39" s="98"/>
      <c r="I39" s="89"/>
      <c r="J39" s="98"/>
      <c r="K39" s="90"/>
      <c r="L39" s="90"/>
      <c r="M39" s="84">
        <f>IF(OR($K39="",$L39=""),"",$L39-$K39)</f>
        <v/>
      </c>
      <c r="N39" s="97">
        <f>IF(OR($L39="",$L39=0),"",$M39/$L39)</f>
        <v/>
      </c>
      <c r="O39" s="90"/>
      <c r="P39" s="84">
        <f>IF($L39="","",$L39-$O39)</f>
        <v/>
      </c>
      <c r="Q39" s="87"/>
      <c r="R39" s="86"/>
    </row>
    <row r="40" spans="1:18" ht="34" customHeight="1">
      <c r="A40" s="7"/>
      <c r="B40" s="78">
        <v>33</v>
      </c>
      <c r="C40" s="79"/>
      <c r="D40" s="79"/>
      <c r="E40" s="81"/>
      <c r="F40" s="80"/>
      <c r="G40" s="82"/>
      <c r="H40" s="96"/>
      <c r="I40" s="82"/>
      <c r="J40" s="96"/>
      <c r="K40" s="83"/>
      <c r="L40" s="83"/>
      <c r="M40" s="84">
        <f>IF(OR($K40="",$L40=""),"",$L40-$K40)</f>
        <v/>
      </c>
      <c r="N40" s="97">
        <f>IF(OR($L40="",$L40=0),"",$M40/$L40)</f>
        <v/>
      </c>
      <c r="O40" s="83"/>
      <c r="P40" s="84">
        <f>IF($L40="","",$L40-$O40)</f>
        <v/>
      </c>
      <c r="Q40" s="80"/>
      <c r="R40" s="79"/>
    </row>
    <row r="41" spans="1:18" ht="34" customHeight="1">
      <c r="A41" s="7"/>
      <c r="B41" s="85">
        <v>34</v>
      </c>
      <c r="C41" s="86"/>
      <c r="D41" s="86"/>
      <c r="E41" s="88"/>
      <c r="F41" s="87"/>
      <c r="G41" s="89"/>
      <c r="H41" s="98"/>
      <c r="I41" s="89"/>
      <c r="J41" s="98"/>
      <c r="K41" s="90"/>
      <c r="L41" s="90"/>
      <c r="M41" s="84">
        <f>IF(OR($K41="",$L41=""),"",$L41-$K41)</f>
        <v/>
      </c>
      <c r="N41" s="97">
        <f>IF(OR($L41="",$L41=0),"",$M41/$L41)</f>
        <v/>
      </c>
      <c r="O41" s="90"/>
      <c r="P41" s="84">
        <f>IF($L41="","",$L41-$O41)</f>
        <v/>
      </c>
      <c r="Q41" s="87"/>
      <c r="R41" s="86"/>
    </row>
    <row r="42" spans="1:18" ht="34" customHeight="1">
      <c r="A42" s="7"/>
      <c r="B42" s="78">
        <v>35</v>
      </c>
      <c r="C42" s="79"/>
      <c r="D42" s="79"/>
      <c r="E42" s="81"/>
      <c r="F42" s="80"/>
      <c r="G42" s="82"/>
      <c r="H42" s="96"/>
      <c r="I42" s="82"/>
      <c r="J42" s="96"/>
      <c r="K42" s="83"/>
      <c r="L42" s="83"/>
      <c r="M42" s="84">
        <f>IF(OR($K42="",$L42=""),"",$L42-$K42)</f>
        <v/>
      </c>
      <c r="N42" s="97">
        <f>IF(OR($L42="",$L42=0),"",$M42/$L42)</f>
        <v/>
      </c>
      <c r="O42" s="83"/>
      <c r="P42" s="84">
        <f>IF($L42="","",$L42-$O42)</f>
        <v/>
      </c>
      <c r="Q42" s="80"/>
      <c r="R42" s="79"/>
    </row>
    <row r="43" spans="1:18" ht="34" customHeight="1">
      <c r="A43" s="7"/>
      <c r="B43" s="85">
        <v>36</v>
      </c>
      <c r="C43" s="86"/>
      <c r="D43" s="86"/>
      <c r="E43" s="88"/>
      <c r="F43" s="87"/>
      <c r="G43" s="89"/>
      <c r="H43" s="98"/>
      <c r="I43" s="89"/>
      <c r="J43" s="98"/>
      <c r="K43" s="90"/>
      <c r="L43" s="90"/>
      <c r="M43" s="84">
        <f>IF(OR($K43="",$L43=""),"",$L43-$K43)</f>
        <v/>
      </c>
      <c r="N43" s="97">
        <f>IF(OR($L43="",$L43=0),"",$M43/$L43)</f>
        <v/>
      </c>
      <c r="O43" s="90"/>
      <c r="P43" s="84">
        <f>IF($L43="","",$L43-$O43)</f>
        <v/>
      </c>
      <c r="Q43" s="87"/>
      <c r="R43" s="86"/>
    </row>
    <row r="44" spans="1:18" ht="34" customHeight="1">
      <c r="A44" s="7"/>
      <c r="B44" s="78">
        <v>37</v>
      </c>
      <c r="C44" s="79"/>
      <c r="D44" s="79"/>
      <c r="E44" s="81"/>
      <c r="F44" s="80"/>
      <c r="G44" s="82"/>
      <c r="H44" s="96"/>
      <c r="I44" s="82"/>
      <c r="J44" s="96"/>
      <c r="K44" s="83"/>
      <c r="L44" s="83"/>
      <c r="M44" s="84">
        <f>IF(OR($K44="",$L44=""),"",$L44-$K44)</f>
        <v/>
      </c>
      <c r="N44" s="97">
        <f>IF(OR($L44="",$L44=0),"",$M44/$L44)</f>
        <v/>
      </c>
      <c r="O44" s="83"/>
      <c r="P44" s="84">
        <f>IF($L44="","",$L44-$O44)</f>
        <v/>
      </c>
      <c r="Q44" s="80"/>
      <c r="R44" s="79"/>
    </row>
    <row r="45" spans="1:18" ht="34" customHeight="1">
      <c r="A45" s="7"/>
      <c r="B45" s="85">
        <v>38</v>
      </c>
      <c r="C45" s="86"/>
      <c r="D45" s="86"/>
      <c r="E45" s="88"/>
      <c r="F45" s="87"/>
      <c r="G45" s="89"/>
      <c r="H45" s="98"/>
      <c r="I45" s="89"/>
      <c r="J45" s="98"/>
      <c r="K45" s="90"/>
      <c r="L45" s="90"/>
      <c r="M45" s="84">
        <f>IF(OR($K45="",$L45=""),"",$L45-$K45)</f>
        <v/>
      </c>
      <c r="N45" s="97">
        <f>IF(OR($L45="",$L45=0),"",$M45/$L45)</f>
        <v/>
      </c>
      <c r="O45" s="90"/>
      <c r="P45" s="84">
        <f>IF($L45="","",$L45-$O45)</f>
        <v/>
      </c>
      <c r="Q45" s="87"/>
      <c r="R45" s="86"/>
    </row>
    <row r="46" spans="1:18" ht="34" customHeight="1">
      <c r="A46" s="7"/>
      <c r="B46" s="78">
        <v>39</v>
      </c>
      <c r="C46" s="79"/>
      <c r="D46" s="79"/>
      <c r="E46" s="81"/>
      <c r="F46" s="80"/>
      <c r="G46" s="82"/>
      <c r="H46" s="96"/>
      <c r="I46" s="82"/>
      <c r="J46" s="96"/>
      <c r="K46" s="83"/>
      <c r="L46" s="83"/>
      <c r="M46" s="84">
        <f>IF(OR($K46="",$L46=""),"",$L46-$K46)</f>
        <v/>
      </c>
      <c r="N46" s="97">
        <f>IF(OR($L46="",$L46=0),"",$M46/$L46)</f>
        <v/>
      </c>
      <c r="O46" s="83"/>
      <c r="P46" s="84">
        <f>IF($L46="","",$L46-$O46)</f>
        <v/>
      </c>
      <c r="Q46" s="80"/>
      <c r="R46" s="79"/>
    </row>
    <row r="47" spans="1:18" ht="34" customHeight="1">
      <c r="A47" s="7"/>
      <c r="B47" s="85">
        <v>40</v>
      </c>
      <c r="C47" s="86"/>
      <c r="D47" s="86"/>
      <c r="E47" s="88"/>
      <c r="F47" s="87"/>
      <c r="G47" s="89"/>
      <c r="H47" s="98"/>
      <c r="I47" s="89"/>
      <c r="J47" s="98"/>
      <c r="K47" s="90"/>
      <c r="L47" s="90"/>
      <c r="M47" s="84">
        <f>IF(OR($K47="",$L47=""),"",$L47-$K47)</f>
        <v/>
      </c>
      <c r="N47" s="97">
        <f>IF(OR($L47="",$L47=0),"",$M47/$L47)</f>
        <v/>
      </c>
      <c r="O47" s="90"/>
      <c r="P47" s="84">
        <f>IF($L47="","",$L47-$O47)</f>
        <v/>
      </c>
      <c r="Q47" s="87"/>
      <c r="R47" s="86"/>
    </row>
    <row r="48" spans="1:1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</row>
    <row r="49" spans="1:18" ht="24" customHeight="1">
      <c r="A49" s="7"/>
      <c r="B49" s="91" t="s">
        <v>230</v>
      </c>
      <c r="C49" s="91"/>
      <c r="D49" s="91"/>
      <c r="E49" s="91"/>
      <c r="F49" s="91"/>
      <c r="G49" s="92">
        <f>SUM($G$8:$G$47)</f>
        <v>0</v>
      </c>
      <c r="H49" s="93"/>
      <c r="I49" s="93"/>
      <c r="J49" s="93"/>
      <c r="K49" s="94">
        <f>SUM($K$8:$K$47)</f>
        <v>0</v>
      </c>
      <c r="L49" s="94">
        <f>SUM($L$8:$L$47)</f>
        <v>0</v>
      </c>
      <c r="M49" s="94">
        <f>SUM($M$8:$M$47)</f>
        <v>0</v>
      </c>
      <c r="N49" s="93"/>
      <c r="O49" s="94">
        <f>SUM($O$8:$O$47)</f>
        <v>0</v>
      </c>
      <c r="P49" s="93"/>
      <c r="Q49" s="93"/>
      <c r="R49" s="93"/>
    </row>
    <row r="50" spans="1:18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</row>
    <row r="51" spans="1:18" ht="22" customHeight="1">
      <c r="A51" s="7"/>
      <c r="B51" s="66" t="s">
        <v>215</v>
      </c>
      <c r="C51" s="66"/>
      <c r="D51" s="66"/>
      <c r="E51" s="66"/>
      <c r="F51" s="66"/>
      <c r="G51" s="66"/>
      <c r="H51" s="66"/>
      <c r="I51" s="66"/>
      <c r="J51" s="66"/>
      <c r="K51" s="66"/>
      <c r="L51" s="66"/>
      <c r="M51" s="66"/>
      <c r="N51" s="66"/>
      <c r="O51" s="66"/>
      <c r="P51" s="66"/>
      <c r="Q51" s="66"/>
      <c r="R51" s="66"/>
    </row>
    <row r="52" spans="1:18" ht="51.8" customHeight="1">
      <c r="A52" s="7"/>
      <c r="B52" s="21" t="s">
        <v>231</v>
      </c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</row>
    <row r="53" spans="1:18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</row>
    <row r="54" spans="1:18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</row>
    <row r="55" spans="1:18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</row>
    <row r="56" spans="1:18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</row>
    <row r="57" spans="1:18" ht="24" customHeight="1">
      <c r="A57" s="7"/>
      <c r="B57" s="26" t="s">
        <v>199</v>
      </c>
      <c r="C57" s="26"/>
      <c r="D57" s="27" t="s">
        <v>165</v>
      </c>
      <c r="E57" s="27"/>
      <c r="F57" s="28" t="s">
        <v>166</v>
      </c>
      <c r="G57" s="28"/>
      <c r="H57" s="29" t="s">
        <v>232</v>
      </c>
      <c r="I57" s="29"/>
      <c r="J57" s="30" t="s">
        <v>167</v>
      </c>
      <c r="K57" s="30"/>
      <c r="L57" s="31" t="s">
        <v>168</v>
      </c>
      <c r="M57" s="31"/>
      <c r="N57" s="32" t="s">
        <v>169</v>
      </c>
      <c r="O57" s="32"/>
      <c r="P57" s="33" t="s">
        <v>170</v>
      </c>
      <c r="Q57" s="33"/>
      <c r="R57" s="7"/>
    </row>
    <row r="58" spans="1:18" ht="24" customHeight="1">
      <c r="A58" s="7"/>
      <c r="B58" s="27" t="s">
        <v>2</v>
      </c>
      <c r="C58" s="27"/>
      <c r="D58" s="29" t="s">
        <v>171</v>
      </c>
      <c r="E58" s="29"/>
      <c r="F58" s="26" t="s">
        <v>172</v>
      </c>
      <c r="G58" s="26"/>
      <c r="H58" s="27" t="s">
        <v>173</v>
      </c>
      <c r="I58" s="27"/>
      <c r="J58" s="28" t="s">
        <v>174</v>
      </c>
      <c r="K58" s="28"/>
      <c r="L58" s="29" t="s">
        <v>175</v>
      </c>
      <c r="M58" s="29"/>
      <c r="N58" s="30" t="s">
        <v>176</v>
      </c>
      <c r="O58" s="30"/>
      <c r="P58" s="31" t="s">
        <v>177</v>
      </c>
      <c r="Q58" s="31"/>
      <c r="R58" s="7"/>
    </row>
    <row r="59" spans="1:18" ht="24" customHeight="1">
      <c r="A59" s="7"/>
      <c r="B59" s="32" t="s">
        <v>178</v>
      </c>
      <c r="C59" s="32"/>
      <c r="D59" s="33" t="s">
        <v>56</v>
      </c>
      <c r="E59" s="33"/>
      <c r="F59" s="27" t="s">
        <v>179</v>
      </c>
      <c r="G59" s="2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</row>
    <row r="60" spans="1:18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</row>
    <row r="61" spans="1:18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</row>
    <row r="62" spans="1:18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</row>
    <row r="63" spans="1:18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</row>
    <row r="64" spans="1:18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</row>
    <row r="65" spans="1:18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</row>
    <row r="66" spans="1:18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</row>
    <row r="67" spans="1:18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</row>
    <row r="68" spans="1:1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</row>
    <row r="69" spans="1:18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</row>
    <row r="70" spans="1:18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</row>
    <row r="71" spans="1:18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</row>
    <row r="72" spans="1:18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</row>
    <row r="73" spans="1:18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</row>
    <row r="74" spans="1:18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</row>
  </sheetData>
  <autoFilter ref="B7:R47"/>
  <mergeCells count="31">
    <mergeCell ref="B2:O2"/>
    <mergeCell ref="B3:O3"/>
    <mergeCell ref="P3:R3"/>
    <mergeCell ref="B5:D5"/>
    <mergeCell ref="E5:G5"/>
    <mergeCell ref="H5:J5"/>
    <mergeCell ref="K5:M5"/>
    <mergeCell ref="N5:P5"/>
    <mergeCell ref="Q5:R5"/>
    <mergeCell ref="B49:F49"/>
    <mergeCell ref="B51:R51"/>
    <mergeCell ref="B52:R52"/>
    <mergeCell ref="B57:C57"/>
    <mergeCell ref="D57:E57"/>
    <mergeCell ref="F57:G57"/>
    <mergeCell ref="H57:I57"/>
    <mergeCell ref="J57:K57"/>
    <mergeCell ref="L57:M57"/>
    <mergeCell ref="N57:O57"/>
    <mergeCell ref="P57:Q57"/>
    <mergeCell ref="B58:C58"/>
    <mergeCell ref="D58:E58"/>
    <mergeCell ref="F58:G58"/>
    <mergeCell ref="H58:I58"/>
    <mergeCell ref="J58:K58"/>
    <mergeCell ref="L58:M58"/>
    <mergeCell ref="N58:O58"/>
    <mergeCell ref="P58:Q58"/>
    <mergeCell ref="B59:C59"/>
    <mergeCell ref="D59:E59"/>
    <mergeCell ref="F59:G59"/>
  </mergeCells>
  <conditionalFormatting sqref="D8:D47">
    <cfRule type="expression" dxfId="10" priority="10">
      <formula>$Q8="❌ Cancelled"</formula>
    </cfRule>
  </conditionalFormatting>
  <conditionalFormatting sqref="E8:E47">
    <cfRule type="expression" dxfId="4" priority="7">
      <formula>AND($E8&lt;&gt;"",$E8&lt;TODAY())</formula>
    </cfRule>
    <cfRule type="expression" dxfId="5" priority="8">
      <formula>AND($E8&gt;=TODAY(),$E8-TODAY()&lt;=DueSoonDays)</formula>
    </cfRule>
  </conditionalFormatting>
  <conditionalFormatting sqref="L8:L47">
    <cfRule type="expression" dxfId="9" priority="9">
      <formula>$C8&lt;&gt;""</formula>
    </cfRule>
    <cfRule type="expression" dxfId="10" priority="11">
      <formula>$Q8="❌ Cancelled"</formula>
    </cfRule>
  </conditionalFormatting>
  <conditionalFormatting sqref="Q8:Q47">
    <cfRule type="expression" dxfId="6" priority="1">
      <formula>$Q8="💬 Inquiry"</formula>
    </cfRule>
    <cfRule type="expression" dxfId="7" priority="2">
      <formula>$Q8="📝 Quote Sent"</formula>
    </cfRule>
    <cfRule type="expression" dxfId="1" priority="3">
      <formula>$Q8="💰 Deposit Paid"</formula>
    </cfRule>
    <cfRule type="expression" dxfId="8" priority="4">
      <formula>$Q8="✅ Confirmed"</formula>
    </cfRule>
    <cfRule type="expression" dxfId="2" priority="5">
      <formula>$Q8="🎉 Completed"</formula>
    </cfRule>
    <cfRule type="expression" dxfId="0" priority="6">
      <formula>$Q8="❌ Cancelled"</formula>
    </cfRule>
  </conditionalFormatting>
  <dataValidations count="9">
    <dataValidation type="list" allowBlank="1" showInputMessage="1" promptTitle="Client" prompt="Pick a client from the 👥 Clients tab, or type a new name." sqref="D8:D47">
      <formula1>ClientsList</formula1>
    </dataValidation>
    <dataValidation type="date" errorStyle="warning" allowBlank="1" showInputMessage="1" showErrorMessage="1" errorTitle="That's not a date" error="Enter a date between 2000 and 2100." promptTitle="Date" prompt="When is the event? Type a date or pick from the calendar." sqref="E8:E47">
      <formula1>36526</formula1>
      <formula2>73415</formula2>
    </dataValidation>
    <dataValidation type="list" allowBlank="1" showInputMessage="1" promptTitle="Event type" prompt="Wedding, corporate, birthday… editable on ⚙️ Setup." sqref="F8:F47">
      <formula1>EventTypes</formula1>
    </dataValidation>
    <dataValidation type="whole" errorStyle="warning" allowBlank="1" showInputMessage="1" showErrorMessage="1" errorTitle="Whole numbers only" error="Please enter a whole number." sqref="G8:G47">
      <formula1>0</formula1>
      <formula2>100000</formula2>
    </dataValidation>
    <dataValidation type="whole" errorStyle="warning" allowBlank="1" showInputMessage="1" showErrorMessage="1" errorTitle="Whole numbers only" error="Please enter a whole number." sqref="I8:I47">
      <formula1>0</formula1>
      <formula2>500</formula2>
    </dataValidation>
    <dataValidation type="decimal" operator="greaterThanOrEqual" errorStyle="warning" allowBlank="1" showInputMessage="1" showErrorMessage="1" errorTitle="Enter money" error="Please enter a positive number (no currency symbol) - the symbol comes from Setup." sqref="K8:K47">
      <formula1>0</formula1>
    </dataValidation>
    <dataValidation type="decimal" operator="greaterThanOrEqual" errorStyle="warning" allowBlank="1" showInputMessage="1" showErrorMessage="1" errorTitle="Enter money" error="Please enter a positive number (no currency symbol) - the symbol comes from Setup." sqref="L8:L47">
      <formula1>0</formula1>
    </dataValidation>
    <dataValidation type="decimal" operator="greaterThanOrEqual" errorStyle="warning" allowBlank="1" showInputMessage="1" showErrorMessage="1" errorTitle="Enter money" error="Please enter a positive number (no currency symbol) - the symbol comes from Setup." sqref="O8:O47">
      <formula1>0</formula1>
    </dataValidation>
    <dataValidation type="list" allowBlank="1" showInputMessage="1" showErrorMessage="1" errorTitle="Pick from the list" error="Pick one of the six pipeline statuses — the colours and the dashboard depend on them." promptTitle="Pipeline status" prompt="💬 Inquiry → 📝 Quote Sent → 💰 Deposit Paid → ✅ Confirmed → 🎉 Completed." sqref="Q8:Q47">
      <formula1>EventStatuses</formula1>
    </dataValidation>
  </dataValidations>
  <hyperlinks>
    <hyperlink ref="P3" location="'📊 Dashboard'!A1" display="🏠  Back to Dashboard"/>
    <hyperlink ref="B57" location="'⚙️ Setup'!A1" display="Setup"/>
    <hyperlink ref="D57" location="'📊 Dashboard'!A1" display="🏠 Home"/>
    <hyperlink ref="F57" location="'👥 Clients'!A1" display="Clients"/>
    <hyperlink ref="H57" location="'📅 Events'!A1" display="▶ Events"/>
    <hyperlink ref="J57" location="'🧮 Quote Calculator'!A1" display="Quote"/>
    <hyperlink ref="L57" location="'🍽️ Menu Costing'!A1" display="Menu"/>
    <hyperlink ref="N57" location="'📦 Inventory'!A1" display="Stock"/>
    <hyperlink ref="P57" location="'🛒 Shopping List'!A1" display="Shop"/>
    <hyperlink ref="B58" location="'💸 Expenses'!A1" display="Expenses"/>
    <hyperlink ref="D58" location="'💰 Payments'!A1" display="Payments"/>
    <hyperlink ref="F58" location="'👷 Staff &amp; Labor'!A1" display="Staff"/>
    <hyperlink ref="H58" location="'🍳 Equipment'!A1" display="Equip"/>
    <hyperlink ref="J58" location="'🚚 Suppliers'!A1" display="Suppliers"/>
    <hyperlink ref="L58" location="'📆 Event Calendar'!A1" display="Calendar"/>
    <hyperlink ref="N58" location="'📈 P&amp;L &amp; Reports'!A1" display="P&amp;L"/>
    <hyperlink ref="P58" location="'🧾 Tax Tracker'!A1" display="Tax"/>
    <hyperlink ref="B59" location="'✅ Checklists'!A1" display="Checks"/>
    <hyperlink ref="D59" location="'🖨️ Invoice &amp; Proposal'!A1" display="Invoice"/>
    <hyperlink ref="F59" location="'📖 Start Here'!A1" display="Help"/>
  </hyperlinks>
  <pageMargins left="0.4" right="0.4" top="0.5" bottom="0.5" header="0.3" footer="0.3"/>
  <pageSetup paperSize="9" fitToHeight="0" orientation="landscape"/>
  <headerFooter>
    <oddHeader>&amp;L&amp;"Calibri,Bold"&amp;11Catering Business Manager&amp;R&amp;"Calibri,Italic"&amp;9Page &amp;P of &amp;N</oddHeader>
    <oddFooter>&amp;C&amp;"Calibri,Italic"&amp;8&amp;A  •  Ultimate Catering Business Spreadsheet v1.0  •  personal licence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3F6E8C"/>
    <pageSetUpPr fitToPage="1"/>
  </sheetPr>
  <dimension ref="A1:J35"/>
  <sheetViews>
    <sheetView showGridLines="0" workbookViewId="0"/>
  </sheetViews>
  <sheetFormatPr defaultRowHeight="15"/>
  <cols>
    <col min="1" max="1" width="2.85546875" customWidth="1"/>
    <col min="2" max="2" width="17.7109375" customWidth="1"/>
    <col min="3" max="3" width="17.7109375" customWidth="1"/>
    <col min="4" max="4" width="17.7109375" customWidth="1"/>
    <col min="5" max="5" width="16.7109375" customWidth="1"/>
    <col min="6" max="6" width="3.7109375" customWidth="1"/>
    <col min="7" max="7" width="17.7109375" customWidth="1"/>
    <col min="8" max="8" width="15.7109375" customWidth="1"/>
    <col min="9" max="9" width="15.7109375" customWidth="1"/>
    <col min="10" max="10" width="17.7109375" customWidth="1"/>
  </cols>
  <sheetData>
    <row r="1" spans="1:10" ht="7" customHeight="1">
      <c r="A1" s="7"/>
      <c r="B1" s="7"/>
      <c r="C1" s="7"/>
      <c r="D1" s="7"/>
      <c r="E1" s="7"/>
      <c r="F1" s="7"/>
      <c r="G1" s="7"/>
      <c r="H1" s="7"/>
      <c r="I1" s="7"/>
      <c r="J1" s="7"/>
    </row>
    <row r="2" spans="1:10" ht="30" customHeight="1">
      <c r="A2" s="7"/>
      <c r="B2" s="8" t="s">
        <v>233</v>
      </c>
      <c r="C2" s="8"/>
      <c r="D2" s="8"/>
      <c r="E2" s="8"/>
      <c r="F2" s="8"/>
      <c r="G2" s="8"/>
      <c r="H2" s="7"/>
      <c r="I2" s="7"/>
      <c r="J2" s="7"/>
    </row>
    <row r="3" spans="1:10" ht="18" customHeight="1">
      <c r="A3" s="7"/>
      <c r="B3" s="9" t="s">
        <v>234</v>
      </c>
      <c r="C3" s="9"/>
      <c r="D3" s="9"/>
      <c r="E3" s="9"/>
      <c r="F3" s="9"/>
      <c r="G3" s="9"/>
      <c r="H3" s="10" t="s">
        <v>97</v>
      </c>
      <c r="I3" s="10"/>
      <c r="J3" s="10"/>
    </row>
    <row r="4" spans="1:10" ht="7" customHeight="1">
      <c r="A4" s="7"/>
      <c r="B4" s="7"/>
      <c r="C4" s="7"/>
      <c r="D4" s="7"/>
      <c r="E4" s="7"/>
      <c r="F4" s="7"/>
      <c r="G4" s="7"/>
      <c r="H4" s="7"/>
      <c r="I4" s="7"/>
      <c r="J4" s="7"/>
    </row>
    <row r="5" spans="1:10" ht="26" customHeight="1">
      <c r="A5" s="7"/>
      <c r="B5" s="7"/>
      <c r="C5" s="7"/>
      <c r="D5" s="7"/>
      <c r="E5" s="7"/>
      <c r="F5" s="7"/>
      <c r="G5" s="7"/>
      <c r="H5" s="7"/>
      <c r="I5" s="7"/>
      <c r="J5" s="7"/>
    </row>
    <row r="6" spans="1:10" ht="7" customHeight="1">
      <c r="A6" s="7"/>
      <c r="B6" s="7"/>
      <c r="C6" s="7"/>
      <c r="D6" s="7"/>
      <c r="E6" s="7"/>
      <c r="F6" s="7"/>
      <c r="G6" s="7"/>
      <c r="H6" s="7"/>
      <c r="I6" s="7"/>
      <c r="J6" s="7"/>
    </row>
    <row r="7" spans="1:10">
      <c r="A7" s="7"/>
      <c r="B7" s="7"/>
      <c r="C7" s="7"/>
      <c r="D7" s="7"/>
      <c r="E7" s="7"/>
      <c r="F7" s="7"/>
      <c r="G7" s="7"/>
      <c r="H7" s="7"/>
      <c r="I7" s="7"/>
      <c r="J7" s="7"/>
    </row>
    <row r="8" spans="1:10" ht="8" customHeight="1">
      <c r="A8" s="7"/>
      <c r="B8" s="7"/>
      <c r="C8" s="7"/>
      <c r="D8" s="7"/>
      <c r="E8" s="7"/>
      <c r="F8" s="7"/>
      <c r="G8" s="7"/>
      <c r="H8" s="7"/>
      <c r="I8" s="7"/>
      <c r="J8" s="7"/>
    </row>
    <row r="9" spans="1:10" ht="24" customHeight="1">
      <c r="A9" s="7"/>
      <c r="B9" s="66" t="s">
        <v>235</v>
      </c>
      <c r="C9" s="66"/>
      <c r="D9" s="66"/>
      <c r="E9" s="66"/>
      <c r="F9" s="7"/>
      <c r="G9" s="7"/>
      <c r="H9" s="7"/>
      <c r="I9" s="7"/>
      <c r="J9" s="7"/>
    </row>
    <row r="10" spans="1:10" ht="26" customHeight="1">
      <c r="A10" s="7"/>
      <c r="B10" s="12" t="s">
        <v>236</v>
      </c>
      <c r="C10" s="12"/>
      <c r="D10" s="12"/>
      <c r="E10" s="99"/>
      <c r="F10" s="7"/>
      <c r="G10" s="7"/>
      <c r="H10" s="7"/>
      <c r="I10" s="7"/>
      <c r="J10" s="7"/>
    </row>
    <row r="11" spans="1:10" ht="26" customHeight="1">
      <c r="A11" s="7"/>
      <c r="B11" s="12" t="s">
        <v>221</v>
      </c>
      <c r="C11" s="12"/>
      <c r="D11" s="12"/>
      <c r="E11" s="100"/>
      <c r="F11" s="7"/>
      <c r="G11" s="7"/>
      <c r="H11" s="7"/>
      <c r="I11" s="7"/>
      <c r="J11" s="7"/>
    </row>
    <row r="12" spans="1:10" ht="26" customHeight="1">
      <c r="A12" s="7"/>
      <c r="B12" s="12" t="s">
        <v>237</v>
      </c>
      <c r="C12" s="12"/>
      <c r="D12" s="12"/>
      <c r="E12" s="101"/>
      <c r="F12" s="7"/>
      <c r="G12" s="7"/>
      <c r="H12" s="7"/>
      <c r="I12" s="7"/>
      <c r="J12" s="7"/>
    </row>
    <row r="13" spans="1:10" ht="24" customHeight="1">
      <c r="A13" s="7"/>
      <c r="B13" s="66" t="s">
        <v>238</v>
      </c>
      <c r="C13" s="66"/>
      <c r="D13" s="66"/>
      <c r="E13" s="66"/>
      <c r="F13" s="7"/>
      <c r="G13" s="7"/>
      <c r="H13" s="7"/>
      <c r="I13" s="7"/>
      <c r="J13" s="7"/>
    </row>
    <row r="14" spans="1:10" ht="26" customHeight="1">
      <c r="A14" s="7"/>
      <c r="B14" s="12" t="s">
        <v>239</v>
      </c>
      <c r="C14" s="12"/>
      <c r="D14" s="12"/>
      <c r="E14" s="102"/>
      <c r="F14" s="7"/>
      <c r="G14" s="12" t="s">
        <v>247</v>
      </c>
      <c r="H14" s="12"/>
      <c r="I14" s="12"/>
      <c r="J14" s="103">
        <f>IF(OR($E$12="",$E$14=""),"",$E$12*$E$14)</f>
        <v/>
      </c>
    </row>
    <row r="15" spans="1:10" ht="26" customHeight="1">
      <c r="A15" s="7"/>
      <c r="B15" s="12" t="s">
        <v>240</v>
      </c>
      <c r="C15" s="12"/>
      <c r="D15" s="12"/>
      <c r="E15" s="102"/>
      <c r="F15" s="7"/>
      <c r="G15" s="12" t="s">
        <v>248</v>
      </c>
      <c r="H15" s="12"/>
      <c r="I15" s="12"/>
      <c r="J15" s="103">
        <f>IF($J$14="","",SUM($E$15:$E$18)+$J$14)</f>
        <v/>
      </c>
    </row>
    <row r="16" spans="1:10" ht="34" customHeight="1">
      <c r="A16" s="7"/>
      <c r="B16" s="12" t="s">
        <v>241</v>
      </c>
      <c r="C16" s="12"/>
      <c r="D16" s="12"/>
      <c r="E16" s="102"/>
      <c r="F16" s="7"/>
      <c r="G16" s="104" t="s">
        <v>249</v>
      </c>
      <c r="H16" s="104"/>
      <c r="I16" s="104"/>
      <c r="J16" s="105">
        <f>IF(OR($J$15="",$E$12="",1-$E$20&lt;=0),"",ROUND($J$15/(1-$E$20),2))</f>
        <v/>
      </c>
    </row>
    <row r="17" spans="1:10" ht="26" customHeight="1">
      <c r="A17" s="7"/>
      <c r="B17" s="12" t="s">
        <v>242</v>
      </c>
      <c r="C17" s="12"/>
      <c r="D17" s="12"/>
      <c r="E17" s="102"/>
      <c r="F17" s="7"/>
      <c r="G17" s="12" t="s">
        <v>250</v>
      </c>
      <c r="H17" s="12"/>
      <c r="I17" s="12"/>
      <c r="J17" s="103">
        <f>IF(OR($J$16="",$E$12=""),"",$J$16/$E$12)</f>
        <v/>
      </c>
    </row>
    <row r="18" spans="1:10" ht="26" customHeight="1">
      <c r="A18" s="7"/>
      <c r="B18" s="12" t="s">
        <v>243</v>
      </c>
      <c r="C18" s="12"/>
      <c r="D18" s="12"/>
      <c r="E18" s="102"/>
      <c r="F18" s="7"/>
      <c r="G18" s="12" t="s">
        <v>251</v>
      </c>
      <c r="H18" s="12"/>
      <c r="I18" s="12"/>
      <c r="J18" s="103">
        <f>IF($J$16="","",$J$16-$J$15)</f>
        <v/>
      </c>
    </row>
    <row r="19" spans="1:10" ht="26" customHeight="1">
      <c r="A19" s="7"/>
      <c r="B19" s="66" t="s">
        <v>244</v>
      </c>
      <c r="C19" s="66"/>
      <c r="D19" s="66"/>
      <c r="E19" s="66"/>
      <c r="F19" s="7"/>
      <c r="G19" s="12" t="s">
        <v>252</v>
      </c>
      <c r="H19" s="12"/>
      <c r="I19" s="12"/>
      <c r="J19" s="106">
        <f>IF($J$16="","",$J$18/$J$16)</f>
        <v/>
      </c>
    </row>
    <row r="20" spans="1:10" ht="26" customHeight="1">
      <c r="A20" s="7"/>
      <c r="B20" s="12" t="s">
        <v>245</v>
      </c>
      <c r="C20" s="12"/>
      <c r="D20" s="12"/>
      <c r="E20" s="107">
        <f>DefaultMargin</f>
        <v>0.35</v>
      </c>
      <c r="F20" s="7"/>
      <c r="G20" s="12" t="s">
        <v>253</v>
      </c>
      <c r="H20" s="12"/>
      <c r="I20" s="12"/>
      <c r="J20" s="103">
        <f>IF($J$16="","",ROUND($J$16*$E$21,2))</f>
        <v/>
      </c>
    </row>
    <row r="21" spans="1:10" ht="26" customHeight="1">
      <c r="A21" s="7"/>
      <c r="B21" s="12" t="s">
        <v>246</v>
      </c>
      <c r="C21" s="12"/>
      <c r="D21" s="12"/>
      <c r="E21" s="107">
        <f>DepositPct</f>
        <v>0.4</v>
      </c>
      <c r="F21" s="7"/>
      <c r="G21" s="12" t="s">
        <v>254</v>
      </c>
      <c r="H21" s="12"/>
      <c r="I21" s="12"/>
      <c r="J21" s="103">
        <f>IF($J$16="","",$J$16-$J$20)</f>
        <v/>
      </c>
    </row>
    <row r="22" spans="1:10" ht="26" customHeight="1">
      <c r="A22" s="7"/>
      <c r="B22" s="7"/>
      <c r="C22" s="7"/>
      <c r="D22" s="7"/>
      <c r="E22" s="7"/>
      <c r="F22" s="7"/>
      <c r="G22" s="12" t="s">
        <v>255</v>
      </c>
      <c r="H22" s="12"/>
      <c r="I22" s="12"/>
      <c r="J22" s="103">
        <f>IF(OR($J$15="",$E$12=""),"",$J$15/$E$12)</f>
        <v/>
      </c>
    </row>
    <row r="23" spans="1:10">
      <c r="A23" s="7"/>
      <c r="B23" s="7"/>
      <c r="C23" s="7"/>
      <c r="D23" s="7"/>
      <c r="E23" s="7"/>
      <c r="F23" s="7"/>
      <c r="G23" s="7"/>
      <c r="H23" s="7"/>
      <c r="I23" s="7"/>
      <c r="J23" s="7"/>
    </row>
    <row r="24" spans="1:10">
      <c r="A24" s="7"/>
      <c r="B24" s="7"/>
      <c r="C24" s="7"/>
      <c r="D24" s="7"/>
      <c r="E24" s="7"/>
      <c r="F24" s="7"/>
      <c r="G24" s="7"/>
      <c r="H24" s="7"/>
      <c r="I24" s="7"/>
      <c r="J24" s="7"/>
    </row>
    <row r="25" spans="1:10" ht="22" customHeight="1">
      <c r="A25" s="7"/>
      <c r="B25" s="21" t="s">
        <v>256</v>
      </c>
      <c r="C25" s="21"/>
      <c r="D25" s="21"/>
      <c r="E25" s="21"/>
      <c r="F25" s="21"/>
      <c r="G25" s="21"/>
      <c r="H25" s="21"/>
      <c r="I25" s="21"/>
      <c r="J25" s="21"/>
    </row>
    <row r="26" spans="1:10" ht="22" customHeight="1">
      <c r="A26" s="7"/>
      <c r="B26" s="21"/>
      <c r="C26" s="21"/>
      <c r="D26" s="21"/>
      <c r="E26" s="21"/>
      <c r="F26" s="21"/>
      <c r="G26" s="21"/>
      <c r="H26" s="21"/>
      <c r="I26" s="21"/>
      <c r="J26" s="21"/>
    </row>
    <row r="27" spans="1:10" ht="22" customHeight="1">
      <c r="A27" s="7"/>
      <c r="B27" s="21"/>
      <c r="C27" s="21"/>
      <c r="D27" s="21"/>
      <c r="E27" s="21"/>
      <c r="F27" s="21"/>
      <c r="G27" s="21"/>
      <c r="H27" s="21"/>
      <c r="I27" s="21"/>
      <c r="J27" s="21"/>
    </row>
    <row r="28" spans="1:10">
      <c r="A28" s="7"/>
      <c r="B28" s="7"/>
      <c r="C28" s="7"/>
      <c r="D28" s="7"/>
      <c r="E28" s="7"/>
      <c r="F28" s="7"/>
      <c r="G28" s="7"/>
      <c r="H28" s="7"/>
      <c r="I28" s="7"/>
      <c r="J28" s="7"/>
    </row>
    <row r="29" spans="1:10" ht="24" customHeight="1">
      <c r="A29" s="7"/>
      <c r="B29" s="26" t="s">
        <v>199</v>
      </c>
      <c r="C29" s="26"/>
      <c r="D29" s="27" t="s">
        <v>165</v>
      </c>
      <c r="E29" s="27"/>
      <c r="F29" s="28" t="s">
        <v>166</v>
      </c>
      <c r="G29" s="28"/>
      <c r="H29" s="29" t="s">
        <v>4</v>
      </c>
      <c r="I29" s="29"/>
      <c r="J29" s="7"/>
    </row>
    <row r="30" spans="1:10" ht="24" customHeight="1">
      <c r="A30" s="7"/>
      <c r="B30" s="30" t="s">
        <v>257</v>
      </c>
      <c r="C30" s="30"/>
      <c r="D30" s="31" t="s">
        <v>168</v>
      </c>
      <c r="E30" s="31"/>
      <c r="F30" s="32" t="s">
        <v>169</v>
      </c>
      <c r="G30" s="32"/>
      <c r="H30" s="33" t="s">
        <v>170</v>
      </c>
      <c r="I30" s="33"/>
      <c r="J30" s="7"/>
    </row>
    <row r="31" spans="1:10" ht="24" customHeight="1">
      <c r="A31" s="7"/>
      <c r="B31" s="27" t="s">
        <v>2</v>
      </c>
      <c r="C31" s="27"/>
      <c r="D31" s="29" t="s">
        <v>171</v>
      </c>
      <c r="E31" s="29"/>
      <c r="F31" s="26" t="s">
        <v>172</v>
      </c>
      <c r="G31" s="26"/>
      <c r="H31" s="27" t="s">
        <v>173</v>
      </c>
      <c r="I31" s="27"/>
      <c r="J31" s="7"/>
    </row>
    <row r="32" spans="1:10" ht="24" customHeight="1">
      <c r="A32" s="7"/>
      <c r="B32" s="28" t="s">
        <v>174</v>
      </c>
      <c r="C32" s="28"/>
      <c r="D32" s="29" t="s">
        <v>175</v>
      </c>
      <c r="E32" s="29"/>
      <c r="F32" s="30" t="s">
        <v>176</v>
      </c>
      <c r="G32" s="30"/>
      <c r="H32" s="31" t="s">
        <v>177</v>
      </c>
      <c r="I32" s="31"/>
      <c r="J32" s="7"/>
    </row>
    <row r="33" spans="1:10" ht="24" customHeight="1">
      <c r="A33" s="7"/>
      <c r="B33" s="32" t="s">
        <v>178</v>
      </c>
      <c r="C33" s="32"/>
      <c r="D33" s="33" t="s">
        <v>56</v>
      </c>
      <c r="E33" s="33"/>
      <c r="F33" s="27" t="s">
        <v>179</v>
      </c>
      <c r="G33" s="27"/>
      <c r="H33" s="7"/>
      <c r="I33" s="7"/>
      <c r="J33" s="7"/>
    </row>
    <row r="34" spans="1:10">
      <c r="A34" s="7"/>
      <c r="B34" s="7"/>
      <c r="C34" s="7"/>
      <c r="D34" s="7"/>
      <c r="E34" s="7"/>
      <c r="F34" s="7"/>
      <c r="G34" s="7"/>
      <c r="H34" s="7"/>
      <c r="I34" s="7"/>
      <c r="J34" s="7"/>
    </row>
    <row r="35" spans="1:10">
      <c r="A35" s="7"/>
      <c r="B35" s="7"/>
      <c r="C35" s="7"/>
      <c r="D35" s="7"/>
      <c r="E35" s="7"/>
      <c r="F35" s="7"/>
      <c r="G35" s="7"/>
      <c r="H35" s="7"/>
      <c r="I35" s="7"/>
      <c r="J35" s="7"/>
    </row>
  </sheetData>
  <mergeCells count="49">
    <mergeCell ref="B2:G2"/>
    <mergeCell ref="B3:G3"/>
    <mergeCell ref="H3:J3"/>
    <mergeCell ref="B5:J5"/>
    <mergeCell ref="B9:E9"/>
    <mergeCell ref="G9:J9"/>
    <mergeCell ref="B10:D10"/>
    <mergeCell ref="B11:D11"/>
    <mergeCell ref="B12:D12"/>
    <mergeCell ref="B13:E13"/>
    <mergeCell ref="G13:J13"/>
    <mergeCell ref="B14:D14"/>
    <mergeCell ref="B15:D15"/>
    <mergeCell ref="B16:D16"/>
    <mergeCell ref="B17:D17"/>
    <mergeCell ref="B18:D18"/>
    <mergeCell ref="B19:E19"/>
    <mergeCell ref="B20:D20"/>
    <mergeCell ref="B21:D21"/>
    <mergeCell ref="G9:J12"/>
    <mergeCell ref="G14:I14"/>
    <mergeCell ref="G15:I15"/>
    <mergeCell ref="G16:I16"/>
    <mergeCell ref="G17:I17"/>
    <mergeCell ref="G18:I18"/>
    <mergeCell ref="G19:I19"/>
    <mergeCell ref="G20:I20"/>
    <mergeCell ref="G21:I21"/>
    <mergeCell ref="G22:I22"/>
    <mergeCell ref="B25:J27"/>
    <mergeCell ref="B29:C29"/>
    <mergeCell ref="D29:E29"/>
    <mergeCell ref="F29:G29"/>
    <mergeCell ref="H29:I29"/>
    <mergeCell ref="B30:C30"/>
    <mergeCell ref="D30:E30"/>
    <mergeCell ref="F30:G30"/>
    <mergeCell ref="H30:I30"/>
    <mergeCell ref="B31:C31"/>
    <mergeCell ref="D31:E31"/>
    <mergeCell ref="F31:G31"/>
    <mergeCell ref="H31:I31"/>
    <mergeCell ref="B32:C32"/>
    <mergeCell ref="D32:E32"/>
    <mergeCell ref="F32:G32"/>
    <mergeCell ref="H32:I32"/>
    <mergeCell ref="B33:C33"/>
    <mergeCell ref="D33:E33"/>
    <mergeCell ref="F33:G33"/>
  </mergeCells>
  <conditionalFormatting sqref="J16">
    <cfRule type="expression" dxfId="11" priority="1">
      <formula>$J$16&lt;&gt;""</formula>
    </cfRule>
  </conditionalFormatting>
  <dataValidations count="10">
    <dataValidation type="list" allowBlank="1" showInputMessage="1" promptTitle="Client" prompt="Who is this quote for?" sqref="E10">
      <formula1>ClientsList</formula1>
    </dataValidation>
    <dataValidation type="date" operator="greaterThanOrEqual" allowBlank="1" showInputMessage="1" showErrorMessage="1" promptTitle="Event date" prompt="Type a date or pick from the calendar." sqref="E11">
      <formula1>DATE(2000,1,1)</formula1>
    </dataValidation>
    <dataValidation type="whole" allowBlank="1" showInputMessage="1" showErrorMessage="1" promptTitle="Guests" prompt="How many are you feeding?" sqref="E12">
      <formula1>1</formula1>
      <formula2>100000</formula2>
    </dataValidation>
    <dataValidation type="decimal" operator="greaterThanOrEqual" allowBlank="1" showInputMessage="1" showErrorMessage="1" promptTitle="Cost" sqref="E14">
      <formula1>0</formula1>
    </dataValidation>
    <dataValidation type="decimal" operator="greaterThanOrEqual" allowBlank="1" showInputMessage="1" showErrorMessage="1" promptTitle="Cost" sqref="E15">
      <formula1>0</formula1>
    </dataValidation>
    <dataValidation type="decimal" operator="greaterThanOrEqual" allowBlank="1" showInputMessage="1" showErrorMessage="1" promptTitle="Cost" sqref="E16">
      <formula1>0</formula1>
    </dataValidation>
    <dataValidation type="decimal" operator="greaterThanOrEqual" allowBlank="1" showInputMessage="1" showErrorMessage="1" promptTitle="Cost" sqref="E17">
      <formula1>0</formula1>
    </dataValidation>
    <dataValidation type="decimal" operator="greaterThanOrEqual" allowBlank="1" showInputMessage="1" showErrorMessage="1" promptTitle="Cost" sqref="E18">
      <formula1>0</formula1>
    </dataValidation>
    <dataValidation type="decimal" allowBlank="1" showInputMessage="1" showErrorMessage="1" sqref="E20">
      <formula1>0</formula1>
      <formula2>0.95</formula2>
    </dataValidation>
    <dataValidation type="decimal" allowBlank="1" showInputMessage="1" showErrorMessage="1" sqref="E21">
      <formula1>0</formula1>
      <formula2>1</formula2>
    </dataValidation>
  </dataValidations>
  <hyperlinks>
    <hyperlink ref="H3" location="'📊 Dashboard'!A1" display="🏠  Back to Dashboard"/>
    <hyperlink ref="B29" location="'⚙️ Setup'!A1" display="Setup"/>
    <hyperlink ref="D29" location="'📊 Dashboard'!A1" display="🏠 Home"/>
    <hyperlink ref="F29" location="'👥 Clients'!A1" display="Clients"/>
    <hyperlink ref="H29" location="'📅 Events'!A1" display="Events"/>
    <hyperlink ref="B30" location="'🧮 Quote Calculator'!A1" display="▶ Quote"/>
    <hyperlink ref="D30" location="'🍽️ Menu Costing'!A1" display="Menu"/>
    <hyperlink ref="F30" location="'📦 Inventory'!A1" display="Stock"/>
    <hyperlink ref="H30" location="'🛒 Shopping List'!A1" display="Shop"/>
    <hyperlink ref="B31" location="'💸 Expenses'!A1" display="Expenses"/>
    <hyperlink ref="D31" location="'💰 Payments'!A1" display="Payments"/>
    <hyperlink ref="F31" location="'👷 Staff &amp; Labor'!A1" display="Staff"/>
    <hyperlink ref="H31" location="'🍳 Equipment'!A1" display="Equip"/>
    <hyperlink ref="B32" location="'🚚 Suppliers'!A1" display="Suppliers"/>
    <hyperlink ref="D32" location="'📆 Event Calendar'!A1" display="Calendar"/>
    <hyperlink ref="F32" location="'📈 P&amp;L &amp; Reports'!A1" display="P&amp;L"/>
    <hyperlink ref="H32" location="'🧾 Tax Tracker'!A1" display="Tax"/>
    <hyperlink ref="B33" location="'✅ Checklists'!A1" display="Checks"/>
    <hyperlink ref="D33" location="'🖨️ Invoice &amp; Proposal'!A1" display="Invoice"/>
    <hyperlink ref="F33" location="'📖 Start Here'!A1" display="Help"/>
  </hyperlinks>
  <pageMargins left="0.4" right="0.4" top="0.5" bottom="0.5" header="0.3" footer="0.3"/>
  <pageSetup paperSize="9" fitToHeight="0" orientation="portrait"/>
  <headerFooter>
    <oddHeader>&amp;L&amp;"Calibri,Bold"&amp;11Catering Business Manager&amp;R&amp;"Calibri,Italic"&amp;9Page &amp;P of &amp;N</oddHeader>
    <oddFooter>&amp;C&amp;"Calibri,Italic"&amp;8&amp;A  •  Ultimate Catering Business Spreadsheet v1.0  •  personal licence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AC2F2F"/>
    <pageSetUpPr fitToPage="1"/>
  </sheetPr>
  <dimension ref="A1:K77"/>
  <sheetViews>
    <sheetView showGridLines="0" zoomScale="90" zoomScaleNormal="90" workbookViewId="0">
      <pane xSplit="2" ySplit="8" topLeftCell="C9" activePane="bottomRight" state="frozen"/>
      <selection pane="topRight" activeCell="C1" sqref="C1"/>
      <selection pane="bottomLeft" activeCell="A9" sqref="A9"/>
      <selection pane="bottomRight"/>
    </sheetView>
  </sheetViews>
  <sheetFormatPr defaultRowHeight="15" x14ac:dyDescent="0.25"/>
  <cols>
    <col min="1" max="1" width="2.85546875" customWidth="1"/>
    <col min="2" max="2" width="5.28515625" customWidth="1"/>
    <col min="3" max="3" width="24.7109375" customWidth="1"/>
    <col min="4" max="4" width="12.7109375" customWidth="1"/>
    <col min="5" max="5" width="34.7109375" customWidth="1"/>
    <col min="6" max="6" width="12.7109375" customWidth="1"/>
    <col min="7" max="7" width="12.7109375" customWidth="1"/>
    <col min="8" max="8" width="11.7109375" customWidth="1"/>
    <col min="9" max="9" width="11.7109375" customWidth="1"/>
    <col min="10" max="10" width="9.7109375" customWidth="1"/>
    <col min="11" max="11" width="24.7109375" customWidth="1"/>
  </cols>
  <sheetData>
    <row r="1" spans="1:11" ht="7" customHeight="1" x14ac:dyDescent="0.25">
      <c r="A1" s="7"/>
      <c r="B1" s="7"/>
      <c r="C1" s="7"/>
      <c r="D1" s="7"/>
      <c r="E1" s="7"/>
      <c r="F1" s="7"/>
      <c r="G1" s="7"/>
      <c r="H1" s="7"/>
      <c r="I1" s="7"/>
      <c r="J1" s="7"/>
      <c r="K1" s="7"/>
    </row>
    <row r="2" spans="1:11" ht="30" customHeight="1" x14ac:dyDescent="0.25">
      <c r="A2" s="7"/>
      <c r="B2" s="8" t="s">
        <v>258</v>
      </c>
      <c r="C2" s="8"/>
      <c r="D2" s="8"/>
      <c r="E2" s="8"/>
      <c r="F2" s="8"/>
      <c r="G2" s="8"/>
      <c r="H2" s="8"/>
      <c r="I2" s="7"/>
      <c r="J2" s="7"/>
      <c r="K2" s="7"/>
    </row>
    <row r="3" spans="1:11" ht="18" customHeight="1" x14ac:dyDescent="0.25">
      <c r="A3" s="7"/>
      <c r="B3" s="9" t="s">
        <v>259</v>
      </c>
      <c r="C3" s="9"/>
      <c r="D3" s="9"/>
      <c r="E3" s="9"/>
      <c r="F3" s="9"/>
      <c r="G3" s="9"/>
      <c r="H3" s="9"/>
      <c r="I3" s="10" t="s">
        <v>97</v>
      </c>
      <c r="J3" s="10"/>
      <c r="K3" s="10"/>
    </row>
    <row r="4" spans="1:11" ht="7" customHeight="1" x14ac:dyDescent="0.25">
      <c r="A4" s="7"/>
      <c r="B4" s="7"/>
      <c r="C4" s="7"/>
      <c r="D4" s="7"/>
      <c r="E4" s="7"/>
      <c r="F4" s="7"/>
      <c r="G4" s="7"/>
      <c r="H4" s="7"/>
      <c r="I4" s="7"/>
      <c r="J4" s="7"/>
      <c r="K4" s="7"/>
    </row>
    <row r="5" spans="1:11" ht="26" customHeight="1" x14ac:dyDescent="0.25">
      <c r="A5" s="7"/>
      <c r="B5" s="73" t="str">
        <f>"🍽️ Items priced: "&amp;'_Data'!$AF$33</f>
        <v>Items priced: 0</v>
      </c>
      <c r="C5" s="73"/>
      <c r="D5" s="73"/>
      <c r="E5" s="76" t="str">
        <f>"📈 Average margin: "&amp;TEXT('_Data'!$AF$34,"0%")</f>
        <v>Average margin: 0%</v>
      </c>
      <c r="F5" s="76"/>
      <c r="G5" s="76"/>
      <c r="H5" s="108" t="str">
        <f>"⚠️ Under 30% margin: "&amp;TEXT(COUNTIF('🍽️ Menu Costing'!$J$8:$J$37,"&gt;0")-COUNTIF('🍽️ Menu Costing'!$J$8:$J$37,"&gt;=0.3"),"0")</f>
        <v>Under 30% margin: 0</v>
      </c>
      <c r="I5" s="108"/>
      <c r="J5" s="108"/>
      <c r="K5" s="7"/>
    </row>
    <row r="6" spans="1:11" ht="7" customHeight="1" x14ac:dyDescent="0.25">
      <c r="A6" s="7"/>
      <c r="B6" s="7"/>
      <c r="C6" s="7"/>
      <c r="D6" s="7"/>
      <c r="E6" s="7"/>
      <c r="F6" s="7"/>
      <c r="G6" s="7"/>
      <c r="H6" s="7"/>
      <c r="I6" s="7"/>
      <c r="J6" s="7"/>
      <c r="K6" s="7"/>
    </row>
    <row r="7" spans="1:11" ht="36" customHeight="1" x14ac:dyDescent="0.25">
      <c r="A7" s="7"/>
      <c r="B7" s="18" t="s">
        <v>203</v>
      </c>
      <c r="C7" s="18" t="s">
        <v>50</v>
      </c>
      <c r="D7" s="18" t="s">
        <v>260</v>
      </c>
      <c r="E7" s="18" t="s">
        <v>261</v>
      </c>
      <c r="F7" s="18" t="s">
        <v>262</v>
      </c>
      <c r="G7" s="18" t="s">
        <v>263</v>
      </c>
      <c r="H7" s="18" t="s">
        <v>264</v>
      </c>
      <c r="I7" s="77" t="s">
        <v>3</v>
      </c>
      <c r="J7" s="77" t="s">
        <v>228</v>
      </c>
      <c r="K7" s="18" t="s">
        <v>213</v>
      </c>
    </row>
    <row r="8" spans="1:11" ht="34" customHeight="1" x14ac:dyDescent="0.25">
      <c r="A8" s="7"/>
      <c r="B8" s="78">
        <v>1</v>
      </c>
      <c r="C8" s="79"/>
      <c r="D8" s="80"/>
      <c r="E8" s="96"/>
      <c r="F8" s="80"/>
      <c r="G8" s="83"/>
      <c r="H8" s="83"/>
      <c r="I8" s="84">
        <f>IF(OR($C8="",$H8=""),"",$H8-$G8)</f>
        <v/>
      </c>
      <c r="J8" s="97">
        <f>IF(OR($C8="",$H8="",$H8=0),"",$I8/$H8)</f>
        <v/>
      </c>
      <c r="K8" s="79"/>
    </row>
    <row r="9" spans="1:11" ht="34" customHeight="1" x14ac:dyDescent="0.25">
      <c r="A9" s="7"/>
      <c r="B9" s="85">
        <v>2</v>
      </c>
      <c r="C9" s="86"/>
      <c r="D9" s="87"/>
      <c r="E9" s="98"/>
      <c r="F9" s="87"/>
      <c r="G9" s="90"/>
      <c r="H9" s="90"/>
      <c r="I9" s="84">
        <f>IF(OR($C9="",$H9=""),"",$H9-$G9)</f>
        <v/>
      </c>
      <c r="J9" s="97">
        <f>IF(OR($C9="",$H9="",$H9=0),"",$I9/$H9)</f>
        <v/>
      </c>
      <c r="K9" s="86"/>
    </row>
    <row r="10" spans="1:11" ht="34" customHeight="1" x14ac:dyDescent="0.25">
      <c r="A10" s="7"/>
      <c r="B10" s="78">
        <v>3</v>
      </c>
      <c r="C10" s="79"/>
      <c r="D10" s="80"/>
      <c r="E10" s="96"/>
      <c r="F10" s="80"/>
      <c r="G10" s="83"/>
      <c r="H10" s="83"/>
      <c r="I10" s="84">
        <f>IF(OR($C10="",$H10=""),"",$H10-$G10)</f>
        <v/>
      </c>
      <c r="J10" s="97">
        <f>IF(OR($C10="",$H10="",$H10=0),"",$I10/$H10)</f>
        <v/>
      </c>
      <c r="K10" s="79"/>
    </row>
    <row r="11" spans="1:11" ht="34" customHeight="1" x14ac:dyDescent="0.25">
      <c r="A11" s="7"/>
      <c r="B11" s="85">
        <v>4</v>
      </c>
      <c r="C11" s="86"/>
      <c r="D11" s="87"/>
      <c r="E11" s="98"/>
      <c r="F11" s="87"/>
      <c r="G11" s="90"/>
      <c r="H11" s="90"/>
      <c r="I11" s="84">
        <f>IF(OR($C11="",$H11=""),"",$H11-$G11)</f>
        <v/>
      </c>
      <c r="J11" s="97">
        <f>IF(OR($C11="",$H11="",$H11=0),"",$I11/$H11)</f>
        <v/>
      </c>
      <c r="K11" s="86"/>
    </row>
    <row r="12" spans="1:11" ht="34" customHeight="1" x14ac:dyDescent="0.25">
      <c r="A12" s="7"/>
      <c r="B12" s="78">
        <v>5</v>
      </c>
      <c r="C12" s="79"/>
      <c r="D12" s="80"/>
      <c r="E12" s="96"/>
      <c r="F12" s="80"/>
      <c r="G12" s="83"/>
      <c r="H12" s="83"/>
      <c r="I12" s="84">
        <f>IF(OR($C12="",$H12=""),"",$H12-$G12)</f>
        <v/>
      </c>
      <c r="J12" s="97">
        <f>IF(OR($C12="",$H12="",$H12=0),"",$I12/$H12)</f>
        <v/>
      </c>
      <c r="K12" s="79"/>
    </row>
    <row r="13" spans="1:11" ht="34" customHeight="1" x14ac:dyDescent="0.25">
      <c r="A13" s="7"/>
      <c r="B13" s="85">
        <v>6</v>
      </c>
      <c r="C13" s="86"/>
      <c r="D13" s="87"/>
      <c r="E13" s="98"/>
      <c r="F13" s="87"/>
      <c r="G13" s="90"/>
      <c r="H13" s="90"/>
      <c r="I13" s="84">
        <f>IF(OR($C13="",$H13=""),"",$H13-$G13)</f>
        <v/>
      </c>
      <c r="J13" s="97">
        <f>IF(OR($C13="",$H13="",$H13=0),"",$I13/$H13)</f>
        <v/>
      </c>
      <c r="K13" s="86"/>
    </row>
    <row r="14" spans="1:11" ht="34" customHeight="1" x14ac:dyDescent="0.25">
      <c r="A14" s="7"/>
      <c r="B14" s="78">
        <v>7</v>
      </c>
      <c r="C14" s="79"/>
      <c r="D14" s="80"/>
      <c r="E14" s="96"/>
      <c r="F14" s="80"/>
      <c r="G14" s="83"/>
      <c r="H14" s="83"/>
      <c r="I14" s="84">
        <f>IF(OR($C14="",$H14=""),"",$H14-$G14)</f>
        <v/>
      </c>
      <c r="J14" s="97">
        <f>IF(OR($C14="",$H14="",$H14=0),"",$I14/$H14)</f>
        <v/>
      </c>
      <c r="K14" s="79"/>
    </row>
    <row r="15" spans="1:11" ht="34" customHeight="1" x14ac:dyDescent="0.25">
      <c r="A15" s="7"/>
      <c r="B15" s="85">
        <v>8</v>
      </c>
      <c r="C15" s="86"/>
      <c r="D15" s="87"/>
      <c r="E15" s="98"/>
      <c r="F15" s="87"/>
      <c r="G15" s="90"/>
      <c r="H15" s="90"/>
      <c r="I15" s="84">
        <f>IF(OR($C15="",$H15=""),"",$H15-$G15)</f>
        <v/>
      </c>
      <c r="J15" s="97">
        <f>IF(OR($C15="",$H15="",$H15=0),"",$I15/$H15)</f>
        <v/>
      </c>
      <c r="K15" s="86"/>
    </row>
    <row r="16" spans="1:11" ht="34" customHeight="1" x14ac:dyDescent="0.25">
      <c r="A16" s="7"/>
      <c r="B16" s="78">
        <v>9</v>
      </c>
      <c r="C16" s="79"/>
      <c r="D16" s="80"/>
      <c r="E16" s="96"/>
      <c r="F16" s="80"/>
      <c r="G16" s="83"/>
      <c r="H16" s="83"/>
      <c r="I16" s="84">
        <f>IF(OR($C16="",$H16=""),"",$H16-$G16)</f>
        <v/>
      </c>
      <c r="J16" s="97">
        <f>IF(OR($C16="",$H16="",$H16=0),"",$I16/$H16)</f>
        <v/>
      </c>
      <c r="K16" s="79"/>
    </row>
    <row r="17" spans="1:11" ht="34" customHeight="1" x14ac:dyDescent="0.25">
      <c r="A17" s="7"/>
      <c r="B17" s="85">
        <v>10</v>
      </c>
      <c r="C17" s="86"/>
      <c r="D17" s="87"/>
      <c r="E17" s="98"/>
      <c r="F17" s="87"/>
      <c r="G17" s="90"/>
      <c r="H17" s="90"/>
      <c r="I17" s="84">
        <f>IF(OR($C17="",$H17=""),"",$H17-$G17)</f>
        <v/>
      </c>
      <c r="J17" s="97">
        <f>IF(OR($C17="",$H17="",$H17=0),"",$I17/$H17)</f>
        <v/>
      </c>
      <c r="K17" s="86"/>
    </row>
    <row r="18" spans="1:11" ht="34" customHeight="1" x14ac:dyDescent="0.25">
      <c r="A18" s="7"/>
      <c r="B18" s="78">
        <v>11</v>
      </c>
      <c r="C18" s="79"/>
      <c r="D18" s="80"/>
      <c r="E18" s="96"/>
      <c r="F18" s="80"/>
      <c r="G18" s="83"/>
      <c r="H18" s="83"/>
      <c r="I18" s="84">
        <f>IF(OR($C18="",$H18=""),"",$H18-$G18)</f>
        <v/>
      </c>
      <c r="J18" s="97">
        <f>IF(OR($C18="",$H18="",$H18=0),"",$I18/$H18)</f>
        <v/>
      </c>
      <c r="K18" s="79"/>
    </row>
    <row r="19" spans="1:11" ht="34" customHeight="1" x14ac:dyDescent="0.25">
      <c r="A19" s="7"/>
      <c r="B19" s="85">
        <v>12</v>
      </c>
      <c r="C19" s="86"/>
      <c r="D19" s="87"/>
      <c r="E19" s="98"/>
      <c r="F19" s="87"/>
      <c r="G19" s="90"/>
      <c r="H19" s="90"/>
      <c r="I19" s="84">
        <f>IF(OR($C19="",$H19=""),"",$H19-$G19)</f>
        <v/>
      </c>
      <c r="J19" s="97">
        <f>IF(OR($C19="",$H19="",$H19=0),"",$I19/$H19)</f>
        <v/>
      </c>
      <c r="K19" s="86"/>
    </row>
    <row r="20" spans="1:11" ht="34" customHeight="1" x14ac:dyDescent="0.25">
      <c r="A20" s="7"/>
      <c r="B20" s="78">
        <v>13</v>
      </c>
      <c r="C20" s="79"/>
      <c r="D20" s="80"/>
      <c r="E20" s="96"/>
      <c r="F20" s="80"/>
      <c r="G20" s="83"/>
      <c r="H20" s="83"/>
      <c r="I20" s="84">
        <f>IF(OR($C20="",$H20=""),"",$H20-$G20)</f>
        <v/>
      </c>
      <c r="J20" s="97">
        <f>IF(OR($C20="",$H20="",$H20=0),"",$I20/$H20)</f>
        <v/>
      </c>
      <c r="K20" s="79"/>
    </row>
    <row r="21" spans="1:11" ht="34" customHeight="1" x14ac:dyDescent="0.25">
      <c r="A21" s="7"/>
      <c r="B21" s="85">
        <v>14</v>
      </c>
      <c r="C21" s="86"/>
      <c r="D21" s="87"/>
      <c r="E21" s="98"/>
      <c r="F21" s="87"/>
      <c r="G21" s="90"/>
      <c r="H21" s="90"/>
      <c r="I21" s="84">
        <f>IF(OR($C21="",$H21=""),"",$H21-$G21)</f>
        <v/>
      </c>
      <c r="J21" s="97">
        <f>IF(OR($C21="",$H21="",$H21=0),"",$I21/$H21)</f>
        <v/>
      </c>
      <c r="K21" s="86"/>
    </row>
    <row r="22" spans="1:11" ht="34" customHeight="1" x14ac:dyDescent="0.25">
      <c r="A22" s="7"/>
      <c r="B22" s="78">
        <v>15</v>
      </c>
      <c r="C22" s="79"/>
      <c r="D22" s="80"/>
      <c r="E22" s="96"/>
      <c r="F22" s="80"/>
      <c r="G22" s="83"/>
      <c r="H22" s="83"/>
      <c r="I22" s="84">
        <f>IF(OR($C22="",$H22=""),"",$H22-$G22)</f>
        <v/>
      </c>
      <c r="J22" s="97">
        <f>IF(OR($C22="",$H22="",$H22=0),"",$I22/$H22)</f>
        <v/>
      </c>
      <c r="K22" s="79"/>
    </row>
    <row r="23" spans="1:11" ht="34" customHeight="1" x14ac:dyDescent="0.25">
      <c r="A23" s="7"/>
      <c r="B23" s="85">
        <v>16</v>
      </c>
      <c r="C23" s="86"/>
      <c r="D23" s="87"/>
      <c r="E23" s="98"/>
      <c r="F23" s="87"/>
      <c r="G23" s="90"/>
      <c r="H23" s="90"/>
      <c r="I23" s="84">
        <f>IF(OR($C23="",$H23=""),"",$H23-$G23)</f>
        <v/>
      </c>
      <c r="J23" s="97">
        <f>IF(OR($C23="",$H23="",$H23=0),"",$I23/$H23)</f>
        <v/>
      </c>
      <c r="K23" s="86"/>
    </row>
    <row r="24" spans="1:11" ht="34" customHeight="1" x14ac:dyDescent="0.25">
      <c r="A24" s="7"/>
      <c r="B24" s="78">
        <v>17</v>
      </c>
      <c r="C24" s="79"/>
      <c r="D24" s="80"/>
      <c r="E24" s="96"/>
      <c r="F24" s="80"/>
      <c r="G24" s="83"/>
      <c r="H24" s="83"/>
      <c r="I24" s="84">
        <f>IF(OR($C24="",$H24=""),"",$H24-$G24)</f>
        <v/>
      </c>
      <c r="J24" s="97">
        <f>IF(OR($C24="",$H24="",$H24=0),"",$I24/$H24)</f>
        <v/>
      </c>
      <c r="K24" s="79"/>
    </row>
    <row r="25" spans="1:11" ht="34" customHeight="1" x14ac:dyDescent="0.25">
      <c r="A25" s="7"/>
      <c r="B25" s="85">
        <v>18</v>
      </c>
      <c r="C25" s="86"/>
      <c r="D25" s="87"/>
      <c r="E25" s="98"/>
      <c r="F25" s="87"/>
      <c r="G25" s="90"/>
      <c r="H25" s="90"/>
      <c r="I25" s="84">
        <f>IF(OR($C25="",$H25=""),"",$H25-$G25)</f>
        <v/>
      </c>
      <c r="J25" s="97">
        <f>IF(OR($C25="",$H25="",$H25=0),"",$I25/$H25)</f>
        <v/>
      </c>
      <c r="K25" s="86"/>
    </row>
    <row r="26" spans="1:11" ht="34" customHeight="1" x14ac:dyDescent="0.25">
      <c r="A26" s="7"/>
      <c r="B26" s="78">
        <v>19</v>
      </c>
      <c r="C26" s="79"/>
      <c r="D26" s="80"/>
      <c r="E26" s="96"/>
      <c r="F26" s="80"/>
      <c r="G26" s="83"/>
      <c r="H26" s="83"/>
      <c r="I26" s="84">
        <f>IF(OR($C26="",$H26=""),"",$H26-$G26)</f>
        <v/>
      </c>
      <c r="J26" s="97">
        <f>IF(OR($C26="",$H26="",$H26=0),"",$I26/$H26)</f>
        <v/>
      </c>
      <c r="K26" s="79"/>
    </row>
    <row r="27" spans="1:11" ht="34" customHeight="1" x14ac:dyDescent="0.25">
      <c r="A27" s="7"/>
      <c r="B27" s="85">
        <v>20</v>
      </c>
      <c r="C27" s="86"/>
      <c r="D27" s="87"/>
      <c r="E27" s="98"/>
      <c r="F27" s="87"/>
      <c r="G27" s="90"/>
      <c r="H27" s="90"/>
      <c r="I27" s="84">
        <f>IF(OR($C27="",$H27=""),"",$H27-$G27)</f>
        <v/>
      </c>
      <c r="J27" s="97">
        <f>IF(OR($C27="",$H27="",$H27=0),"",$I27/$H27)</f>
        <v/>
      </c>
      <c r="K27" s="86"/>
    </row>
    <row r="28" spans="1:11" ht="34" customHeight="1" x14ac:dyDescent="0.25">
      <c r="A28" s="7"/>
      <c r="B28" s="78">
        <v>21</v>
      </c>
      <c r="C28" s="79"/>
      <c r="D28" s="80"/>
      <c r="E28" s="96"/>
      <c r="F28" s="80"/>
      <c r="G28" s="83"/>
      <c r="H28" s="83"/>
      <c r="I28" s="84">
        <f>IF(OR($C28="",$H28=""),"",$H28-$G28)</f>
        <v/>
      </c>
      <c r="J28" s="97">
        <f>IF(OR($C28="",$H28="",$H28=0),"",$I28/$H28)</f>
        <v/>
      </c>
      <c r="K28" s="79"/>
    </row>
    <row r="29" spans="1:11" ht="34" customHeight="1" x14ac:dyDescent="0.25">
      <c r="A29" s="7"/>
      <c r="B29" s="85">
        <v>22</v>
      </c>
      <c r="C29" s="86"/>
      <c r="D29" s="87"/>
      <c r="E29" s="98"/>
      <c r="F29" s="87"/>
      <c r="G29" s="90"/>
      <c r="H29" s="90"/>
      <c r="I29" s="84">
        <f>IF(OR($C29="",$H29=""),"",$H29-$G29)</f>
        <v/>
      </c>
      <c r="J29" s="97">
        <f>IF(OR($C29="",$H29="",$H29=0),"",$I29/$H29)</f>
        <v/>
      </c>
      <c r="K29" s="86"/>
    </row>
    <row r="30" spans="1:11" ht="34" customHeight="1" x14ac:dyDescent="0.25">
      <c r="A30" s="7"/>
      <c r="B30" s="78">
        <v>23</v>
      </c>
      <c r="C30" s="79"/>
      <c r="D30" s="80"/>
      <c r="E30" s="96"/>
      <c r="F30" s="80"/>
      <c r="G30" s="83"/>
      <c r="H30" s="83"/>
      <c r="I30" s="84">
        <f>IF(OR($C30="",$H30=""),"",$H30-$G30)</f>
        <v/>
      </c>
      <c r="J30" s="97">
        <f>IF(OR($C30="",$H30="",$H30=0),"",$I30/$H30)</f>
        <v/>
      </c>
      <c r="K30" s="79"/>
    </row>
    <row r="31" spans="1:11" ht="34" customHeight="1" x14ac:dyDescent="0.25">
      <c r="A31" s="7"/>
      <c r="B31" s="85">
        <v>24</v>
      </c>
      <c r="C31" s="86"/>
      <c r="D31" s="87"/>
      <c r="E31" s="98"/>
      <c r="F31" s="87"/>
      <c r="G31" s="90"/>
      <c r="H31" s="90"/>
      <c r="I31" s="84">
        <f>IF(OR($C31="",$H31=""),"",$H31-$G31)</f>
        <v/>
      </c>
      <c r="J31" s="97">
        <f>IF(OR($C31="",$H31="",$H31=0),"",$I31/$H31)</f>
        <v/>
      </c>
      <c r="K31" s="86"/>
    </row>
    <row r="32" spans="1:11" ht="34" customHeight="1" x14ac:dyDescent="0.25">
      <c r="A32" s="7"/>
      <c r="B32" s="78">
        <v>25</v>
      </c>
      <c r="C32" s="79"/>
      <c r="D32" s="80"/>
      <c r="E32" s="96"/>
      <c r="F32" s="80"/>
      <c r="G32" s="83"/>
      <c r="H32" s="83"/>
      <c r="I32" s="84">
        <f>IF(OR($C32="",$H32=""),"",$H32-$G32)</f>
        <v/>
      </c>
      <c r="J32" s="97">
        <f>IF(OR($C32="",$H32="",$H32=0),"",$I32/$H32)</f>
        <v/>
      </c>
      <c r="K32" s="79"/>
    </row>
    <row r="33" spans="1:11" ht="34" customHeight="1" x14ac:dyDescent="0.25">
      <c r="A33" s="7"/>
      <c r="B33" s="85">
        <v>26</v>
      </c>
      <c r="C33" s="86"/>
      <c r="D33" s="87"/>
      <c r="E33" s="98"/>
      <c r="F33" s="87"/>
      <c r="G33" s="90"/>
      <c r="H33" s="90"/>
      <c r="I33" s="84">
        <f>IF(OR($C33="",$H33=""),"",$H33-$G33)</f>
        <v/>
      </c>
      <c r="J33" s="97">
        <f>IF(OR($C33="",$H33="",$H33=0),"",$I33/$H33)</f>
        <v/>
      </c>
      <c r="K33" s="86"/>
    </row>
    <row r="34" spans="1:11" ht="34" customHeight="1" x14ac:dyDescent="0.25">
      <c r="A34" s="7"/>
      <c r="B34" s="78">
        <v>27</v>
      </c>
      <c r="C34" s="79"/>
      <c r="D34" s="80"/>
      <c r="E34" s="96"/>
      <c r="F34" s="80"/>
      <c r="G34" s="83"/>
      <c r="H34" s="83"/>
      <c r="I34" s="84">
        <f>IF(OR($C34="",$H34=""),"",$H34-$G34)</f>
        <v/>
      </c>
      <c r="J34" s="97">
        <f>IF(OR($C34="",$H34="",$H34=0),"",$I34/$H34)</f>
        <v/>
      </c>
      <c r="K34" s="79"/>
    </row>
    <row r="35" spans="1:11" ht="34" customHeight="1" x14ac:dyDescent="0.25">
      <c r="A35" s="7"/>
      <c r="B35" s="85">
        <v>28</v>
      </c>
      <c r="C35" s="86"/>
      <c r="D35" s="87"/>
      <c r="E35" s="98"/>
      <c r="F35" s="87"/>
      <c r="G35" s="90"/>
      <c r="H35" s="90"/>
      <c r="I35" s="84">
        <f>IF(OR($C35="",$H35=""),"",$H35-$G35)</f>
        <v/>
      </c>
      <c r="J35" s="97">
        <f>IF(OR($C35="",$H35="",$H35=0),"",$I35/$H35)</f>
        <v/>
      </c>
      <c r="K35" s="86"/>
    </row>
    <row r="36" spans="1:11" ht="34" customHeight="1" x14ac:dyDescent="0.25">
      <c r="A36" s="7"/>
      <c r="B36" s="78">
        <v>29</v>
      </c>
      <c r="C36" s="79"/>
      <c r="D36" s="80"/>
      <c r="E36" s="96"/>
      <c r="F36" s="80"/>
      <c r="G36" s="83"/>
      <c r="H36" s="83"/>
      <c r="I36" s="84">
        <f>IF(OR($C36="",$H36=""),"",$H36-$G36)</f>
        <v/>
      </c>
      <c r="J36" s="97">
        <f>IF(OR($C36="",$H36="",$H36=0),"",$I36/$H36)</f>
        <v/>
      </c>
      <c r="K36" s="79"/>
    </row>
    <row r="37" spans="1:11" ht="34" customHeight="1" x14ac:dyDescent="0.25">
      <c r="A37" s="7"/>
      <c r="B37" s="85">
        <v>30</v>
      </c>
      <c r="C37" s="86"/>
      <c r="D37" s="87"/>
      <c r="E37" s="98"/>
      <c r="F37" s="87"/>
      <c r="G37" s="90"/>
      <c r="H37" s="90"/>
      <c r="I37" s="84">
        <f>IF(OR($C37="",$H37=""),"",$H37-$G37)</f>
        <v/>
      </c>
      <c r="J37" s="97">
        <f>IF(OR($C37="",$H37="",$H37=0),"",$I37/$H37)</f>
        <v/>
      </c>
      <c r="K37" s="86"/>
    </row>
    <row r="38" spans="1:11" x14ac:dyDescent="0.2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</row>
    <row r="39" spans="1:11" ht="24" customHeight="1" x14ac:dyDescent="0.25">
      <c r="A39" s="7"/>
      <c r="B39" s="91" t="s">
        <v>265</v>
      </c>
      <c r="C39" s="91"/>
      <c r="D39" s="91"/>
      <c r="E39" s="91"/>
      <c r="F39" s="91"/>
      <c r="G39" s="94">
        <f>IFERROR(AVERAGE($G$8:$G$37),0)</f>
        <v>0</v>
      </c>
      <c r="H39" s="94">
        <f>IFERROR(AVERAGE($H$8:$H$37),0)</f>
        <v>0</v>
      </c>
      <c r="I39" s="93"/>
      <c r="J39" s="109">
        <f>IFERROR(AVERAGE($J$8:$J$37),0)</f>
        <v>0</v>
      </c>
      <c r="K39" s="93"/>
    </row>
    <row r="40" spans="1:11" x14ac:dyDescent="0.2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</row>
    <row r="41" spans="1:11" x14ac:dyDescent="0.2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</row>
    <row r="42" spans="1:11" x14ac:dyDescent="0.2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</row>
    <row r="43" spans="1:11" x14ac:dyDescent="0.2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</row>
    <row r="44" spans="1:11" x14ac:dyDescent="0.2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</row>
    <row r="45" spans="1:11" x14ac:dyDescent="0.2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</row>
    <row r="46" spans="1:11" x14ac:dyDescent="0.2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</row>
    <row r="47" spans="1:11" x14ac:dyDescent="0.2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</row>
    <row r="48" spans="1:11" ht="26" customHeight="1" x14ac:dyDescent="0.25">
      <c r="A48" s="7"/>
      <c r="B48" s="22" t="s">
        <v>266</v>
      </c>
      <c r="C48" s="22"/>
      <c r="D48" s="22"/>
      <c r="E48" s="22"/>
      <c r="F48" s="22"/>
      <c r="G48" s="22"/>
      <c r="H48" s="22"/>
      <c r="I48" s="22"/>
      <c r="J48" s="22"/>
      <c r="K48" s="22"/>
    </row>
    <row r="49" spans="1:11" ht="32" customHeight="1" x14ac:dyDescent="0.25">
      <c r="A49" s="7"/>
      <c r="B49" s="12" t="s">
        <v>267</v>
      </c>
      <c r="C49" s="12"/>
      <c r="D49" s="110"/>
      <c r="E49" s="110"/>
      <c r="F49" s="110"/>
      <c r="G49" s="110"/>
      <c r="H49" s="111" t="s">
        <v>268</v>
      </c>
      <c r="I49" s="111"/>
      <c r="J49" s="111"/>
      <c r="K49" s="111"/>
    </row>
    <row r="50" spans="1:11" ht="20" customHeight="1" x14ac:dyDescent="0.25">
      <c r="A50" s="7"/>
      <c r="B50" s="77" t="s">
        <v>203</v>
      </c>
      <c r="C50" s="77" t="s">
        <v>269</v>
      </c>
      <c r="D50" s="77"/>
      <c r="E50" s="77" t="s">
        <v>270</v>
      </c>
      <c r="F50" s="77"/>
      <c r="G50" s="77" t="s">
        <v>271</v>
      </c>
      <c r="H50" s="77"/>
      <c r="I50" s="77" t="s">
        <v>272</v>
      </c>
      <c r="J50" s="77"/>
      <c r="K50" s="77" t="s">
        <v>273</v>
      </c>
    </row>
    <row r="51" spans="1:11" ht="20" customHeight="1" x14ac:dyDescent="0.25">
      <c r="A51" s="7"/>
      <c r="B51" s="85">
        <v>1</v>
      </c>
      <c r="C51" s="86"/>
      <c r="D51" s="86"/>
      <c r="E51" s="112"/>
      <c r="F51" s="112"/>
      <c r="G51" s="87"/>
      <c r="H51" s="87"/>
      <c r="I51" s="84">
        <f>IF($C51="","",IFERROR(SUMIF('📦 Inventory'!$C$8:$C$47,$C51,'📦 Inventory'!$H$8:$H$47),0))</f>
        <v/>
      </c>
      <c r="J51" s="84"/>
      <c r="K51" s="84">
        <f>IF(OR($C51="",$E51=""),"",$E51*$I51)</f>
        <v/>
      </c>
    </row>
    <row r="52" spans="1:11" ht="20" customHeight="1" x14ac:dyDescent="0.25">
      <c r="A52" s="7"/>
      <c r="B52" s="78">
        <v>2</v>
      </c>
      <c r="C52" s="79"/>
      <c r="D52" s="79"/>
      <c r="E52" s="113"/>
      <c r="F52" s="113"/>
      <c r="G52" s="80"/>
      <c r="H52" s="80"/>
      <c r="I52" s="84">
        <f>IF($C52="","",IFERROR(SUMIF('📦 Inventory'!$C$8:$C$47,$C52,'📦 Inventory'!$H$8:$H$47),0))</f>
        <v/>
      </c>
      <c r="J52" s="84"/>
      <c r="K52" s="84">
        <f>IF(OR($C52="",$E52=""),"",$E52*$I52)</f>
        <v/>
      </c>
    </row>
    <row r="53" spans="1:11" ht="20" customHeight="1" x14ac:dyDescent="0.25">
      <c r="A53" s="7"/>
      <c r="B53" s="85">
        <v>3</v>
      </c>
      <c r="C53" s="86"/>
      <c r="D53" s="86"/>
      <c r="E53" s="112"/>
      <c r="F53" s="112"/>
      <c r="G53" s="87"/>
      <c r="H53" s="87"/>
      <c r="I53" s="84">
        <f>IF($C53="","",IFERROR(SUMIF('📦 Inventory'!$C$8:$C$47,$C53,'📦 Inventory'!$H$8:$H$47),0))</f>
        <v/>
      </c>
      <c r="J53" s="84"/>
      <c r="K53" s="84">
        <f>IF(OR($C53="",$E53=""),"",$E53*$I53)</f>
        <v/>
      </c>
    </row>
    <row r="54" spans="1:11" ht="20" customHeight="1" x14ac:dyDescent="0.25">
      <c r="A54" s="7"/>
      <c r="B54" s="78">
        <v>4</v>
      </c>
      <c r="C54" s="79"/>
      <c r="D54" s="79"/>
      <c r="E54" s="113"/>
      <c r="F54" s="113"/>
      <c r="G54" s="80"/>
      <c r="H54" s="80"/>
      <c r="I54" s="84">
        <f>IF($C54="","",IFERROR(SUMIF('📦 Inventory'!$C$8:$C$47,$C54,'📦 Inventory'!$H$8:$H$47),0))</f>
        <v/>
      </c>
      <c r="J54" s="84"/>
      <c r="K54" s="84">
        <f>IF(OR($C54="",$E54=""),"",$E54*$I54)</f>
        <v/>
      </c>
    </row>
    <row r="55" spans="1:11" ht="20" customHeight="1" x14ac:dyDescent="0.25">
      <c r="A55" s="7"/>
      <c r="B55" s="85">
        <v>5</v>
      </c>
      <c r="C55" s="86"/>
      <c r="D55" s="86"/>
      <c r="E55" s="112"/>
      <c r="F55" s="112"/>
      <c r="G55" s="87"/>
      <c r="H55" s="87"/>
      <c r="I55" s="84">
        <f>IF($C55="","",IFERROR(SUMIF('📦 Inventory'!$C$8:$C$47,$C55,'📦 Inventory'!$H$8:$H$47),0))</f>
        <v/>
      </c>
      <c r="J55" s="84"/>
      <c r="K55" s="84">
        <f>IF(OR($C55="",$E55=""),"",$E55*$I55)</f>
        <v/>
      </c>
    </row>
    <row r="56" spans="1:11" ht="20" customHeight="1" x14ac:dyDescent="0.25">
      <c r="A56" s="7"/>
      <c r="B56" s="78">
        <v>6</v>
      </c>
      <c r="C56" s="79"/>
      <c r="D56" s="79"/>
      <c r="E56" s="113"/>
      <c r="F56" s="113"/>
      <c r="G56" s="80"/>
      <c r="H56" s="80"/>
      <c r="I56" s="84">
        <f>IF($C56="","",IFERROR(SUMIF('📦 Inventory'!$C$8:$C$47,$C56,'📦 Inventory'!$H$8:$H$47),0))</f>
        <v/>
      </c>
      <c r="J56" s="84"/>
      <c r="K56" s="84">
        <f>IF(OR($C56="",$E56=""),"",$E56*$I56)</f>
        <v/>
      </c>
    </row>
    <row r="57" spans="1:11" ht="24" customHeight="1" x14ac:dyDescent="0.25">
      <c r="A57" s="7"/>
      <c r="B57" s="12" t="s">
        <v>274</v>
      </c>
      <c r="C57" s="12"/>
      <c r="D57" s="114">
        <f>SUM($K$51:$K$56)</f>
        <v>0</v>
      </c>
      <c r="E57" s="114"/>
      <c r="F57" s="111" t="s">
        <v>275</v>
      </c>
      <c r="G57" s="111"/>
      <c r="H57" s="111"/>
      <c r="I57" s="111"/>
      <c r="J57" s="111"/>
      <c r="K57" s="111"/>
    </row>
    <row r="58" spans="1:11" ht="24" customHeight="1" x14ac:dyDescent="0.25">
      <c r="A58" s="7"/>
      <c r="B58" s="12" t="s">
        <v>276</v>
      </c>
      <c r="C58" s="12"/>
      <c r="D58" s="114">
        <f>IFERROR($D$57/(1-DefaultMargin),"")</f>
        <v>0</v>
      </c>
      <c r="E58" s="114"/>
      <c r="F58" s="111" t="s">
        <v>277</v>
      </c>
      <c r="G58" s="111"/>
      <c r="H58" s="111"/>
      <c r="I58" s="111"/>
      <c r="J58" s="111"/>
      <c r="K58" s="111"/>
    </row>
    <row r="59" spans="1:11" ht="24" customHeight="1" x14ac:dyDescent="0.25">
      <c r="A59" s="7"/>
      <c r="B59" s="12" t="s">
        <v>278</v>
      </c>
      <c r="C59" s="12"/>
      <c r="D59" s="114">
        <f>IFERROR($D$58-$D$57,"")</f>
        <v>0</v>
      </c>
      <c r="E59" s="114"/>
      <c r="F59" s="111" t="s">
        <v>279</v>
      </c>
      <c r="G59" s="111"/>
      <c r="H59" s="111"/>
      <c r="I59" s="111"/>
      <c r="J59" s="111"/>
      <c r="K59" s="111"/>
    </row>
    <row r="60" spans="1:11" x14ac:dyDescent="0.2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</row>
    <row r="61" spans="1:11" ht="24" customHeight="1" x14ac:dyDescent="0.25">
      <c r="A61" s="7"/>
      <c r="B61" s="26" t="s">
        <v>199</v>
      </c>
      <c r="C61" s="26"/>
      <c r="D61" s="27" t="s">
        <v>165</v>
      </c>
      <c r="E61" s="27"/>
      <c r="F61" s="28" t="s">
        <v>166</v>
      </c>
      <c r="G61" s="28"/>
      <c r="H61" s="29" t="s">
        <v>4</v>
      </c>
      <c r="I61" s="29"/>
      <c r="J61" s="30" t="s">
        <v>167</v>
      </c>
      <c r="K61" s="30"/>
    </row>
    <row r="62" spans="1:11" ht="24" customHeight="1" x14ac:dyDescent="0.25">
      <c r="A62" s="7"/>
      <c r="B62" s="31" t="s">
        <v>280</v>
      </c>
      <c r="C62" s="31"/>
      <c r="D62" s="32" t="s">
        <v>169</v>
      </c>
      <c r="E62" s="32"/>
      <c r="F62" s="33" t="s">
        <v>170</v>
      </c>
      <c r="G62" s="33"/>
      <c r="H62" s="27" t="s">
        <v>2</v>
      </c>
      <c r="I62" s="27"/>
      <c r="J62" s="29" t="s">
        <v>171</v>
      </c>
      <c r="K62" s="29"/>
    </row>
    <row r="63" spans="1:11" ht="24" customHeight="1" x14ac:dyDescent="0.25">
      <c r="A63" s="7"/>
      <c r="B63" s="26" t="s">
        <v>172</v>
      </c>
      <c r="C63" s="26"/>
      <c r="D63" s="27" t="s">
        <v>173</v>
      </c>
      <c r="E63" s="27"/>
      <c r="F63" s="28" t="s">
        <v>174</v>
      </c>
      <c r="G63" s="28"/>
      <c r="H63" s="29" t="s">
        <v>175</v>
      </c>
      <c r="I63" s="29"/>
      <c r="J63" s="30" t="s">
        <v>176</v>
      </c>
      <c r="K63" s="30"/>
    </row>
    <row r="64" spans="1:11" ht="24" customHeight="1" x14ac:dyDescent="0.25">
      <c r="A64" s="7"/>
      <c r="B64" s="31" t="s">
        <v>177</v>
      </c>
      <c r="C64" s="31"/>
      <c r="D64" s="32" t="s">
        <v>178</v>
      </c>
      <c r="E64" s="32"/>
      <c r="F64" s="33" t="s">
        <v>56</v>
      </c>
      <c r="G64" s="33"/>
      <c r="H64" s="27" t="s">
        <v>179</v>
      </c>
      <c r="I64" s="27"/>
      <c r="J64" s="7"/>
      <c r="K64" s="7"/>
    </row>
    <row r="65" spans="1:11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</row>
    <row r="66" spans="1:11" x14ac:dyDescent="0.2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</row>
    <row r="67" spans="1:11" x14ac:dyDescent="0.2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</row>
    <row r="68" spans="1:11" x14ac:dyDescent="0.2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</row>
    <row r="69" spans="1:11" x14ac:dyDescent="0.2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</row>
    <row r="70" spans="1:11" x14ac:dyDescent="0.2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</row>
    <row r="71" spans="1:11" x14ac:dyDescent="0.2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</row>
    <row r="72" spans="1:11" x14ac:dyDescent="0.2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</row>
    <row r="73" spans="1:11" x14ac:dyDescent="0.2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</row>
    <row r="74" spans="1:11" x14ac:dyDescent="0.2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</row>
    <row r="75" spans="1:11" x14ac:dyDescent="0.2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</row>
    <row r="76" spans="1:11" x14ac:dyDescent="0.2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</row>
    <row r="77" spans="1:11" x14ac:dyDescent="0.2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</row>
  </sheetData>
  <autoFilter ref="B7:K37"/>
  <mergeCells count="67">
    <mergeCell ref="B2:H2"/>
    <mergeCell ref="B3:H3"/>
    <mergeCell ref="I3:K3"/>
    <mergeCell ref="B5:D5"/>
    <mergeCell ref="E5:G5"/>
    <mergeCell ref="H5:J5"/>
    <mergeCell ref="B39:F39"/>
    <mergeCell ref="B48:K48"/>
    <mergeCell ref="B49:C49"/>
    <mergeCell ref="D49:G49"/>
    <mergeCell ref="H49:K49"/>
    <mergeCell ref="C50:D50"/>
    <mergeCell ref="E50:F50"/>
    <mergeCell ref="G50:H50"/>
    <mergeCell ref="I50:J50"/>
    <mergeCell ref="C51:D51"/>
    <mergeCell ref="E51:F51"/>
    <mergeCell ref="G51:H51"/>
    <mergeCell ref="I51:J51"/>
    <mergeCell ref="C52:D52"/>
    <mergeCell ref="E52:F52"/>
    <mergeCell ref="G52:H52"/>
    <mergeCell ref="I52:J52"/>
    <mergeCell ref="C53:D53"/>
    <mergeCell ref="E53:F53"/>
    <mergeCell ref="G53:H53"/>
    <mergeCell ref="I53:J53"/>
    <mergeCell ref="C54:D54"/>
    <mergeCell ref="E54:F54"/>
    <mergeCell ref="G54:H54"/>
    <mergeCell ref="I54:J54"/>
    <mergeCell ref="C55:D55"/>
    <mergeCell ref="E55:F55"/>
    <mergeCell ref="G55:H55"/>
    <mergeCell ref="I55:J55"/>
    <mergeCell ref="C56:D56"/>
    <mergeCell ref="E56:F56"/>
    <mergeCell ref="G56:H56"/>
    <mergeCell ref="I56:J56"/>
    <mergeCell ref="B57:C57"/>
    <mergeCell ref="D57:E57"/>
    <mergeCell ref="F57:K57"/>
    <mergeCell ref="B58:C58"/>
    <mergeCell ref="D58:E58"/>
    <mergeCell ref="F58:K58"/>
    <mergeCell ref="B59:C59"/>
    <mergeCell ref="D59:E59"/>
    <mergeCell ref="F59:K59"/>
    <mergeCell ref="B61:C61"/>
    <mergeCell ref="D61:E61"/>
    <mergeCell ref="F61:G61"/>
    <mergeCell ref="H61:I61"/>
    <mergeCell ref="J61:K61"/>
    <mergeCell ref="B62:C62"/>
    <mergeCell ref="D62:E62"/>
    <mergeCell ref="F62:G62"/>
    <mergeCell ref="H62:I62"/>
    <mergeCell ref="J62:K62"/>
    <mergeCell ref="B63:C63"/>
    <mergeCell ref="D63:E63"/>
    <mergeCell ref="F63:G63"/>
    <mergeCell ref="H63:I63"/>
    <mergeCell ref="J63:K63"/>
    <mergeCell ref="B64:C64"/>
    <mergeCell ref="D64:E64"/>
    <mergeCell ref="F64:G64"/>
    <mergeCell ref="H64:I64"/>
  </mergeCells>
  <conditionalFormatting sqref="H8:H37">
    <cfRule type="dataBar" priority="3">
      <dataBar>
        <cfvo type="num" val="0"/>
        <cfvo type="num" val="1"/>
        <color rgb="FFA9822B"/>
      </dataBar>
      <extLst>
        <ext xmlns:x14="http://schemas.microsoft.com/office/spreadsheetml/2009/9/main" uri="{B025F937-C7B1-47D3-B67F-A62EFF666E3E}">
          <x14:id>{DA7ABA51-AAAA-BBBB-0007-000000000001}</x14:id>
        </ext>
      </extLst>
    </cfRule>
  </conditionalFormatting>
  <conditionalFormatting sqref="J8:J37">
    <cfRule type="expression" dxfId="4" priority="1">
      <formula>AND($C8&lt;&gt;"",$J8&lt;0.3)</formula>
    </cfRule>
    <cfRule type="expression" dxfId="12" priority="2">
      <formula>AND($C8&lt;&gt;"",$J8&gt;=0.6)</formula>
    </cfRule>
  </conditionalFormatting>
  <dataValidations count="3">
    <dataValidation type="list" allowBlank="1" showInputMessage="1" promptTitle="Menu category" sqref="D8:D37">
      <formula1>MenuCategories</formula1>
    </dataValidation>
    <dataValidation type="decimal" operator="greaterThanOrEqual" errorStyle="warning" allowBlank="1" showInputMessage="1" showErrorMessage="1" errorTitle="Enter money" error="Please enter a positive number (no currency symbol) - the symbol comes from Setup." sqref="G8:G37">
      <formula1>0</formula1>
    </dataValidation>
    <dataValidation type="decimal" operator="greaterThanOrEqual" errorStyle="warning" allowBlank="1" showInputMessage="1" showErrorMessage="1" errorTitle="Enter money" error="Please enter a positive number (no currency symbol) - the symbol comes from Setup." sqref="H8:H37">
      <formula1>0</formula1>
    </dataValidation>
  </dataValidations>
  <hyperlinks>
    <hyperlink ref="I3" location="'📊 Dashboard'!A1" display="🏠  Back to Dashboard"/>
    <hyperlink ref="B61" location="'⚙️ Setup'!A1" display="Setup"/>
    <hyperlink ref="D61" location="'📊 Dashboard'!A1" display="🏠 Home"/>
    <hyperlink ref="F61" location="'👥 Clients'!A1" display="Clients"/>
    <hyperlink ref="H61" location="'📅 Events'!A1" display="Events"/>
    <hyperlink ref="J61" location="'🧮 Quote Calculator'!A1" display="Quote"/>
    <hyperlink ref="B62" location="'🍽️ Menu Costing'!A1" display="▶ Menu"/>
    <hyperlink ref="D62" location="'📦 Inventory'!A1" display="Stock"/>
    <hyperlink ref="F62" location="'🛒 Shopping List'!A1" display="Shop"/>
    <hyperlink ref="H62" location="'💸 Expenses'!A1" display="Expenses"/>
    <hyperlink ref="J62" location="'💰 Payments'!A1" display="Payments"/>
    <hyperlink ref="B63" location="'👷 Staff &amp; Labor'!A1" display="Staff"/>
    <hyperlink ref="D63" location="'🍳 Equipment'!A1" display="Equip"/>
    <hyperlink ref="F63" location="'🚚 Suppliers'!A1" display="Suppliers"/>
    <hyperlink ref="H63" location="'📆 Event Calendar'!A1" display="Calendar"/>
    <hyperlink ref="J63" location="'📈 P&amp;L &amp; Reports'!A1" display="P&amp;L"/>
    <hyperlink ref="B64" location="'🧾 Tax Tracker'!A1" display="Tax"/>
    <hyperlink ref="D64" location="'✅ Checklists'!A1" display="Checks"/>
    <hyperlink ref="F64" location="'🖨️ Invoice &amp; Proposal'!A1" display="Invoice"/>
    <hyperlink ref="H64" location="'📖 Start Here'!A1" display="Help"/>
  </hyperlinks>
  <pageMargins left="0.4" right="0.4" top="0.5" bottom="0.5" header="0.3" footer="0.3"/>
  <pageSetup paperSize="9" fitToHeight="0" orientation="landscape"/>
  <headerFooter>
    <oddHeader>&amp;L&amp;"Calibri,Bold"&amp;11Catering Business Manager&amp;R&amp;"Calibri,Italic"&amp;9Page &amp;P of &amp;N</oddHeader>
    <oddFooter>&amp;C&amp;"Calibri,Italic"&amp;8&amp;A  •  Ultimate Catering Business Spreadsheet v1.0  •  personal licence</oddFoot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7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A9822B"/>
              <x14:negativeFillColor rgb="FFFF0000"/>
              <x14:negativeBorderColor rgb="FFFF0000"/>
              <x14:axisColor rgb="FF000000"/>
            </x14:dataBar>
          </x14:cfRule>
          <xm:sqref>H8:H37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C7A4C"/>
    <pageSetUpPr fitToPage="1"/>
  </sheetPr>
  <dimension ref="A1:L72"/>
  <sheetViews>
    <sheetView showGridLines="0" zoomScale="90" zoomScaleNormal="90" workbookViewId="0">
      <pane xSplit="2" ySplit="8" topLeftCell="C9" activePane="bottomRight" state="frozen"/>
      <selection pane="topRight" activeCell="C1" sqref="C1"/>
      <selection pane="bottomLeft" activeCell="A9" sqref="A9"/>
      <selection pane="bottomRight"/>
    </sheetView>
  </sheetViews>
  <sheetFormatPr defaultRowHeight="15" x14ac:dyDescent="0.25"/>
  <cols>
    <col min="1" max="1" width="2.85546875" customWidth="1"/>
    <col min="2" max="2" width="5.28515625" customWidth="1"/>
    <col min="3" max="3" width="22.7109375" customWidth="1"/>
    <col min="4" max="4" width="14.7109375" customWidth="1"/>
    <col min="5" max="5" width="8.7109375" customWidth="1"/>
    <col min="6" max="6" width="10.7109375" customWidth="1"/>
    <col min="7" max="7" width="10.7109375" customWidth="1"/>
    <col min="8" max="8" width="10.7109375" customWidth="1"/>
    <col min="9" max="9" width="12.7109375" customWidth="1"/>
    <col min="10" max="10" width="18.7109375" customWidth="1"/>
    <col min="11" max="11" width="14.7109375" customWidth="1"/>
    <col min="12" max="12" width="22.7109375" customWidth="1"/>
  </cols>
  <sheetData>
    <row r="1" spans="1:12" ht="7" customHeight="1" x14ac:dyDescent="0.25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pans="1:12" ht="30" customHeight="1" x14ac:dyDescent="0.25">
      <c r="A2" s="7"/>
      <c r="B2" s="8" t="s">
        <v>281</v>
      </c>
      <c r="C2" s="8"/>
      <c r="D2" s="8"/>
      <c r="E2" s="8"/>
      <c r="F2" s="8"/>
      <c r="G2" s="8"/>
      <c r="H2" s="8"/>
      <c r="I2" s="8"/>
      <c r="J2" s="7"/>
      <c r="K2" s="7"/>
      <c r="L2" s="7"/>
    </row>
    <row r="3" spans="1:12" ht="18" customHeight="1" x14ac:dyDescent="0.25">
      <c r="A3" s="7"/>
      <c r="B3" s="9" t="s">
        <v>282</v>
      </c>
      <c r="C3" s="9"/>
      <c r="D3" s="9"/>
      <c r="E3" s="9"/>
      <c r="F3" s="9"/>
      <c r="G3" s="9"/>
      <c r="H3" s="9"/>
      <c r="I3" s="9"/>
      <c r="J3" s="10" t="s">
        <v>97</v>
      </c>
      <c r="K3" s="10"/>
      <c r="L3" s="10"/>
    </row>
    <row r="4" spans="1:12" ht="7" customHeight="1" x14ac:dyDescent="0.2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</row>
    <row r="5" spans="1:12" ht="26" customHeight="1" x14ac:dyDescent="0.25">
      <c r="A5" s="7"/>
      <c r="B5" s="73" t="str">
        <f>"📦 Ingredients: "&amp;COUNTIF('📦 Inventory'!$C$8:$C$47,"?*")</f>
        <v>Ingredients: 0</v>
      </c>
      <c r="C5" s="73"/>
      <c r="D5" s="75" t="str">
        <f>"💰 Stock value: "&amp;Currency&amp;TEXT('_Data'!$AF$22,"#,##0.00")</f>
        <v>Stock value: $0.00</v>
      </c>
      <c r="E5" s="75"/>
      <c r="F5" s="108" t="str">
        <f>"🔴 Reorder now: "&amp;COUNTIF('📦 Inventory'!$K$8:$K$47,"🔴 Reorder")</f>
        <v>Reorder now: 0</v>
      </c>
      <c r="G5" s="108"/>
      <c r="H5" s="115" t="str">
        <f>"🟡 Running low: "&amp;COUNTIF('📦 Inventory'!$K$8:$K$47,"🟡 Low")</f>
        <v>Running low: 0</v>
      </c>
      <c r="I5" s="115"/>
      <c r="J5" s="76" t="str">
        <f>"🟢 Well stocked: "&amp;COUNTIF('📦 Inventory'!$K$8:$K$47,"🟢 OK")</f>
        <v>Well stocked: 0</v>
      </c>
      <c r="K5" s="76"/>
      <c r="L5" s="7"/>
    </row>
    <row r="6" spans="1:12" ht="7" customHeight="1" x14ac:dyDescent="0.2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spans="1:12" ht="36" customHeight="1" x14ac:dyDescent="0.25">
      <c r="A7" s="7"/>
      <c r="B7" s="18" t="s">
        <v>203</v>
      </c>
      <c r="C7" s="18" t="s">
        <v>269</v>
      </c>
      <c r="D7" s="18" t="s">
        <v>260</v>
      </c>
      <c r="E7" s="18" t="s">
        <v>271</v>
      </c>
      <c r="F7" s="18" t="s">
        <v>283</v>
      </c>
      <c r="G7" s="18" t="s">
        <v>284</v>
      </c>
      <c r="H7" s="18" t="s">
        <v>285</v>
      </c>
      <c r="I7" s="77" t="s">
        <v>286</v>
      </c>
      <c r="J7" s="18" t="s">
        <v>287</v>
      </c>
      <c r="K7" s="77" t="s">
        <v>288</v>
      </c>
      <c r="L7" s="18" t="s">
        <v>213</v>
      </c>
    </row>
    <row r="8" spans="1:12" ht="20" customHeight="1" x14ac:dyDescent="0.25">
      <c r="A8" s="7"/>
      <c r="B8" s="78">
        <v>1</v>
      </c>
      <c r="C8" s="79"/>
      <c r="D8" s="80"/>
      <c r="E8" s="80"/>
      <c r="F8" s="113"/>
      <c r="G8" s="113"/>
      <c r="H8" s="83"/>
      <c r="I8" s="84">
        <f>IF(OR($C8="",$F8=""),"",$F8*$H8)</f>
        <v/>
      </c>
      <c r="J8" s="79"/>
      <c r="K8" s="116">
        <f>IF($C8="","",IF($F8&lt;$G8,"🔴 Reorder",IF($F8&lt;$G8*1.5,"🟡 Low","🟢 OK")))</f>
        <v/>
      </c>
      <c r="L8" s="79"/>
    </row>
    <row r="9" spans="1:12" ht="20" customHeight="1" x14ac:dyDescent="0.25">
      <c r="A9" s="7"/>
      <c r="B9" s="85">
        <v>2</v>
      </c>
      <c r="C9" s="86"/>
      <c r="D9" s="87"/>
      <c r="E9" s="87"/>
      <c r="F9" s="112"/>
      <c r="G9" s="112"/>
      <c r="H9" s="90"/>
      <c r="I9" s="84">
        <f>IF(OR($C9="",$F9=""),"",$F9*$H9)</f>
        <v/>
      </c>
      <c r="J9" s="86"/>
      <c r="K9" s="116">
        <f>IF($C9="","",IF($F9&lt;$G9,"🔴 Reorder",IF($F9&lt;$G9*1.5,"🟡 Low","🟢 OK")))</f>
        <v/>
      </c>
      <c r="L9" s="86"/>
    </row>
    <row r="10" spans="1:12" ht="20" customHeight="1" x14ac:dyDescent="0.25">
      <c r="A10" s="7"/>
      <c r="B10" s="78">
        <v>3</v>
      </c>
      <c r="C10" s="79"/>
      <c r="D10" s="80"/>
      <c r="E10" s="80"/>
      <c r="F10" s="113"/>
      <c r="G10" s="113"/>
      <c r="H10" s="83"/>
      <c r="I10" s="84">
        <f>IF(OR($C10="",$F10=""),"",$F10*$H10)</f>
        <v/>
      </c>
      <c r="J10" s="79"/>
      <c r="K10" s="116">
        <f>IF($C10="","",IF($F10&lt;$G10,"🔴 Reorder",IF($F10&lt;$G10*1.5,"🟡 Low","🟢 OK")))</f>
        <v/>
      </c>
      <c r="L10" s="79"/>
    </row>
    <row r="11" spans="1:12" ht="20" customHeight="1" x14ac:dyDescent="0.25">
      <c r="A11" s="7"/>
      <c r="B11" s="85">
        <v>4</v>
      </c>
      <c r="C11" s="86"/>
      <c r="D11" s="87"/>
      <c r="E11" s="87"/>
      <c r="F11" s="112"/>
      <c r="G11" s="112"/>
      <c r="H11" s="90"/>
      <c r="I11" s="84">
        <f>IF(OR($C11="",$F11=""),"",$F11*$H11)</f>
        <v/>
      </c>
      <c r="J11" s="86"/>
      <c r="K11" s="116">
        <f>IF($C11="","",IF($F11&lt;$G11,"🔴 Reorder",IF($F11&lt;$G11*1.5,"🟡 Low","🟢 OK")))</f>
        <v/>
      </c>
      <c r="L11" s="86"/>
    </row>
    <row r="12" spans="1:12" ht="20" customHeight="1" x14ac:dyDescent="0.25">
      <c r="A12" s="7"/>
      <c r="B12" s="78">
        <v>5</v>
      </c>
      <c r="C12" s="79"/>
      <c r="D12" s="80"/>
      <c r="E12" s="80"/>
      <c r="F12" s="113"/>
      <c r="G12" s="113"/>
      <c r="H12" s="83"/>
      <c r="I12" s="84">
        <f>IF(OR($C12="",$F12=""),"",$F12*$H12)</f>
        <v/>
      </c>
      <c r="J12" s="79"/>
      <c r="K12" s="116">
        <f>IF($C12="","",IF($F12&lt;$G12,"🔴 Reorder",IF($F12&lt;$G12*1.5,"🟡 Low","🟢 OK")))</f>
        <v/>
      </c>
      <c r="L12" s="79"/>
    </row>
    <row r="13" spans="1:12" ht="20" customHeight="1" x14ac:dyDescent="0.25">
      <c r="A13" s="7"/>
      <c r="B13" s="85">
        <v>6</v>
      </c>
      <c r="C13" s="86"/>
      <c r="D13" s="87"/>
      <c r="E13" s="87"/>
      <c r="F13" s="112"/>
      <c r="G13" s="112"/>
      <c r="H13" s="90"/>
      <c r="I13" s="84">
        <f>IF(OR($C13="",$F13=""),"",$F13*$H13)</f>
        <v/>
      </c>
      <c r="J13" s="86"/>
      <c r="K13" s="116">
        <f>IF($C13="","",IF($F13&lt;$G13,"🔴 Reorder",IF($F13&lt;$G13*1.5,"🟡 Low","🟢 OK")))</f>
        <v/>
      </c>
      <c r="L13" s="86"/>
    </row>
    <row r="14" spans="1:12" ht="20" customHeight="1" x14ac:dyDescent="0.25">
      <c r="A14" s="7"/>
      <c r="B14" s="78">
        <v>7</v>
      </c>
      <c r="C14" s="79"/>
      <c r="D14" s="80"/>
      <c r="E14" s="80"/>
      <c r="F14" s="113"/>
      <c r="G14" s="113"/>
      <c r="H14" s="83"/>
      <c r="I14" s="84">
        <f>IF(OR($C14="",$F14=""),"",$F14*$H14)</f>
        <v/>
      </c>
      <c r="J14" s="79"/>
      <c r="K14" s="116">
        <f>IF($C14="","",IF($F14&lt;$G14,"🔴 Reorder",IF($F14&lt;$G14*1.5,"🟡 Low","🟢 OK")))</f>
        <v/>
      </c>
      <c r="L14" s="79"/>
    </row>
    <row r="15" spans="1:12" ht="20" customHeight="1" x14ac:dyDescent="0.25">
      <c r="A15" s="7"/>
      <c r="B15" s="85">
        <v>8</v>
      </c>
      <c r="C15" s="86"/>
      <c r="D15" s="87"/>
      <c r="E15" s="87"/>
      <c r="F15" s="112"/>
      <c r="G15" s="112"/>
      <c r="H15" s="90"/>
      <c r="I15" s="84">
        <f>IF(OR($C15="",$F15=""),"",$F15*$H15)</f>
        <v/>
      </c>
      <c r="J15" s="86"/>
      <c r="K15" s="116">
        <f>IF($C15="","",IF($F15&lt;$G15,"🔴 Reorder",IF($F15&lt;$G15*1.5,"🟡 Low","🟢 OK")))</f>
        <v/>
      </c>
      <c r="L15" s="86"/>
    </row>
    <row r="16" spans="1:12" ht="20" customHeight="1" x14ac:dyDescent="0.25">
      <c r="A16" s="7"/>
      <c r="B16" s="78">
        <v>9</v>
      </c>
      <c r="C16" s="79"/>
      <c r="D16" s="80"/>
      <c r="E16" s="80"/>
      <c r="F16" s="113"/>
      <c r="G16" s="113"/>
      <c r="H16" s="83"/>
      <c r="I16" s="84">
        <f>IF(OR($C16="",$F16=""),"",$F16*$H16)</f>
        <v/>
      </c>
      <c r="J16" s="79"/>
      <c r="K16" s="116">
        <f>IF($C16="","",IF($F16&lt;$G16,"🔴 Reorder",IF($F16&lt;$G16*1.5,"🟡 Low","🟢 OK")))</f>
        <v/>
      </c>
      <c r="L16" s="79"/>
    </row>
    <row r="17" spans="1:12" ht="20" customHeight="1" x14ac:dyDescent="0.25">
      <c r="A17" s="7"/>
      <c r="B17" s="85">
        <v>10</v>
      </c>
      <c r="C17" s="86"/>
      <c r="D17" s="87"/>
      <c r="E17" s="87"/>
      <c r="F17" s="112"/>
      <c r="G17" s="112"/>
      <c r="H17" s="90"/>
      <c r="I17" s="84">
        <f>IF(OR($C17="",$F17=""),"",$F17*$H17)</f>
        <v/>
      </c>
      <c r="J17" s="86"/>
      <c r="K17" s="116">
        <f>IF($C17="","",IF($F17&lt;$G17,"🔴 Reorder",IF($F17&lt;$G17*1.5,"🟡 Low","🟢 OK")))</f>
        <v/>
      </c>
      <c r="L17" s="86"/>
    </row>
    <row r="18" spans="1:12" ht="20" customHeight="1" x14ac:dyDescent="0.25">
      <c r="A18" s="7"/>
      <c r="B18" s="78">
        <v>11</v>
      </c>
      <c r="C18" s="79"/>
      <c r="D18" s="80"/>
      <c r="E18" s="80"/>
      <c r="F18" s="113"/>
      <c r="G18" s="113"/>
      <c r="H18" s="83"/>
      <c r="I18" s="84">
        <f>IF(OR($C18="",$F18=""),"",$F18*$H18)</f>
        <v/>
      </c>
      <c r="J18" s="79"/>
      <c r="K18" s="116">
        <f>IF($C18="","",IF($F18&lt;$G18,"🔴 Reorder",IF($F18&lt;$G18*1.5,"🟡 Low","🟢 OK")))</f>
        <v/>
      </c>
      <c r="L18" s="79"/>
    </row>
    <row r="19" spans="1:12" ht="20" customHeight="1" x14ac:dyDescent="0.25">
      <c r="A19" s="7"/>
      <c r="B19" s="85">
        <v>12</v>
      </c>
      <c r="C19" s="86"/>
      <c r="D19" s="87"/>
      <c r="E19" s="87"/>
      <c r="F19" s="112"/>
      <c r="G19" s="112"/>
      <c r="H19" s="90"/>
      <c r="I19" s="84">
        <f>IF(OR($C19="",$F19=""),"",$F19*$H19)</f>
        <v/>
      </c>
      <c r="J19" s="86"/>
      <c r="K19" s="116">
        <f>IF($C19="","",IF($F19&lt;$G19,"🔴 Reorder",IF($F19&lt;$G19*1.5,"🟡 Low","🟢 OK")))</f>
        <v/>
      </c>
      <c r="L19" s="86"/>
    </row>
    <row r="20" spans="1:12" ht="20" customHeight="1" x14ac:dyDescent="0.25">
      <c r="A20" s="7"/>
      <c r="B20" s="78">
        <v>13</v>
      </c>
      <c r="C20" s="79"/>
      <c r="D20" s="80"/>
      <c r="E20" s="80"/>
      <c r="F20" s="113"/>
      <c r="G20" s="113"/>
      <c r="H20" s="83"/>
      <c r="I20" s="84">
        <f>IF(OR($C20="",$F20=""),"",$F20*$H20)</f>
        <v/>
      </c>
      <c r="J20" s="79"/>
      <c r="K20" s="116">
        <f>IF($C20="","",IF($F20&lt;$G20,"🔴 Reorder",IF($F20&lt;$G20*1.5,"🟡 Low","🟢 OK")))</f>
        <v/>
      </c>
      <c r="L20" s="79"/>
    </row>
    <row r="21" spans="1:12" ht="20" customHeight="1" x14ac:dyDescent="0.25">
      <c r="A21" s="7"/>
      <c r="B21" s="85">
        <v>14</v>
      </c>
      <c r="C21" s="86"/>
      <c r="D21" s="87"/>
      <c r="E21" s="87"/>
      <c r="F21" s="112"/>
      <c r="G21" s="112"/>
      <c r="H21" s="90"/>
      <c r="I21" s="84">
        <f>IF(OR($C21="",$F21=""),"",$F21*$H21)</f>
        <v/>
      </c>
      <c r="J21" s="86"/>
      <c r="K21" s="116">
        <f>IF($C21="","",IF($F21&lt;$G21,"🔴 Reorder",IF($F21&lt;$G21*1.5,"🟡 Low","🟢 OK")))</f>
        <v/>
      </c>
      <c r="L21" s="86"/>
    </row>
    <row r="22" spans="1:12" ht="20" customHeight="1" x14ac:dyDescent="0.25">
      <c r="A22" s="7"/>
      <c r="B22" s="78">
        <v>15</v>
      </c>
      <c r="C22" s="79"/>
      <c r="D22" s="80"/>
      <c r="E22" s="80"/>
      <c r="F22" s="113"/>
      <c r="G22" s="113"/>
      <c r="H22" s="83"/>
      <c r="I22" s="84">
        <f>IF(OR($C22="",$F22=""),"",$F22*$H22)</f>
        <v/>
      </c>
      <c r="J22" s="79"/>
      <c r="K22" s="116">
        <f>IF($C22="","",IF($F22&lt;$G22,"🔴 Reorder",IF($F22&lt;$G22*1.5,"🟡 Low","🟢 OK")))</f>
        <v/>
      </c>
      <c r="L22" s="79"/>
    </row>
    <row r="23" spans="1:12" ht="20" customHeight="1" x14ac:dyDescent="0.25">
      <c r="A23" s="7"/>
      <c r="B23" s="85">
        <v>16</v>
      </c>
      <c r="C23" s="86"/>
      <c r="D23" s="87"/>
      <c r="E23" s="87"/>
      <c r="F23" s="112"/>
      <c r="G23" s="112"/>
      <c r="H23" s="90"/>
      <c r="I23" s="84">
        <f>IF(OR($C23="",$F23=""),"",$F23*$H23)</f>
        <v/>
      </c>
      <c r="J23" s="86"/>
      <c r="K23" s="116">
        <f>IF($C23="","",IF($F23&lt;$G23,"🔴 Reorder",IF($F23&lt;$G23*1.5,"🟡 Low","🟢 OK")))</f>
        <v/>
      </c>
      <c r="L23" s="86"/>
    </row>
    <row r="24" spans="1:12" ht="20" customHeight="1" x14ac:dyDescent="0.25">
      <c r="A24" s="7"/>
      <c r="B24" s="78">
        <v>17</v>
      </c>
      <c r="C24" s="79"/>
      <c r="D24" s="80"/>
      <c r="E24" s="80"/>
      <c r="F24" s="113"/>
      <c r="G24" s="113"/>
      <c r="H24" s="83"/>
      <c r="I24" s="84">
        <f>IF(OR($C24="",$F24=""),"",$F24*$H24)</f>
        <v/>
      </c>
      <c r="J24" s="79"/>
      <c r="K24" s="116">
        <f>IF($C24="","",IF($F24&lt;$G24,"🔴 Reorder",IF($F24&lt;$G24*1.5,"🟡 Low","🟢 OK")))</f>
        <v/>
      </c>
      <c r="L24" s="79"/>
    </row>
    <row r="25" spans="1:12" ht="20" customHeight="1" x14ac:dyDescent="0.25">
      <c r="A25" s="7"/>
      <c r="B25" s="85">
        <v>18</v>
      </c>
      <c r="C25" s="86"/>
      <c r="D25" s="87"/>
      <c r="E25" s="87"/>
      <c r="F25" s="112"/>
      <c r="G25" s="112"/>
      <c r="H25" s="90"/>
      <c r="I25" s="84">
        <f>IF(OR($C25="",$F25=""),"",$F25*$H25)</f>
        <v/>
      </c>
      <c r="J25" s="86"/>
      <c r="K25" s="116">
        <f>IF($C25="","",IF($F25&lt;$G25,"🔴 Reorder",IF($F25&lt;$G25*1.5,"🟡 Low","🟢 OK")))</f>
        <v/>
      </c>
      <c r="L25" s="86"/>
    </row>
    <row r="26" spans="1:12" ht="20" customHeight="1" x14ac:dyDescent="0.25">
      <c r="A26" s="7"/>
      <c r="B26" s="78">
        <v>19</v>
      </c>
      <c r="C26" s="79"/>
      <c r="D26" s="80"/>
      <c r="E26" s="80"/>
      <c r="F26" s="113"/>
      <c r="G26" s="113"/>
      <c r="H26" s="83"/>
      <c r="I26" s="84">
        <f>IF(OR($C26="",$F26=""),"",$F26*$H26)</f>
        <v/>
      </c>
      <c r="J26" s="79"/>
      <c r="K26" s="116">
        <f>IF($C26="","",IF($F26&lt;$G26,"🔴 Reorder",IF($F26&lt;$G26*1.5,"🟡 Low","🟢 OK")))</f>
        <v/>
      </c>
      <c r="L26" s="79"/>
    </row>
    <row r="27" spans="1:12" ht="20" customHeight="1" x14ac:dyDescent="0.25">
      <c r="A27" s="7"/>
      <c r="B27" s="85">
        <v>20</v>
      </c>
      <c r="C27" s="86"/>
      <c r="D27" s="87"/>
      <c r="E27" s="87"/>
      <c r="F27" s="112"/>
      <c r="G27" s="112"/>
      <c r="H27" s="90"/>
      <c r="I27" s="84">
        <f>IF(OR($C27="",$F27=""),"",$F27*$H27)</f>
        <v/>
      </c>
      <c r="J27" s="86"/>
      <c r="K27" s="116">
        <f>IF($C27="","",IF($F27&lt;$G27,"🔴 Reorder",IF($F27&lt;$G27*1.5,"🟡 Low","🟢 OK")))</f>
        <v/>
      </c>
      <c r="L27" s="86"/>
    </row>
    <row r="28" spans="1:12" ht="20" customHeight="1" x14ac:dyDescent="0.25">
      <c r="A28" s="7"/>
      <c r="B28" s="78">
        <v>21</v>
      </c>
      <c r="C28" s="79"/>
      <c r="D28" s="80"/>
      <c r="E28" s="80"/>
      <c r="F28" s="113"/>
      <c r="G28" s="113"/>
      <c r="H28" s="83"/>
      <c r="I28" s="84">
        <f>IF(OR($C28="",$F28=""),"",$F28*$H28)</f>
        <v/>
      </c>
      <c r="J28" s="79"/>
      <c r="K28" s="116">
        <f>IF($C28="","",IF($F28&lt;$G28,"🔴 Reorder",IF($F28&lt;$G28*1.5,"🟡 Low","🟢 OK")))</f>
        <v/>
      </c>
      <c r="L28" s="79"/>
    </row>
    <row r="29" spans="1:12" ht="20" customHeight="1" x14ac:dyDescent="0.25">
      <c r="A29" s="7"/>
      <c r="B29" s="85">
        <v>22</v>
      </c>
      <c r="C29" s="86"/>
      <c r="D29" s="87"/>
      <c r="E29" s="87"/>
      <c r="F29" s="112"/>
      <c r="G29" s="112"/>
      <c r="H29" s="90"/>
      <c r="I29" s="84">
        <f>IF(OR($C29="",$F29=""),"",$F29*$H29)</f>
        <v/>
      </c>
      <c r="J29" s="86"/>
      <c r="K29" s="116">
        <f>IF($C29="","",IF($F29&lt;$G29,"🔴 Reorder",IF($F29&lt;$G29*1.5,"🟡 Low","🟢 OK")))</f>
        <v/>
      </c>
      <c r="L29" s="86"/>
    </row>
    <row r="30" spans="1:12" ht="20" customHeight="1" x14ac:dyDescent="0.25">
      <c r="A30" s="7"/>
      <c r="B30" s="78">
        <v>23</v>
      </c>
      <c r="C30" s="79"/>
      <c r="D30" s="80"/>
      <c r="E30" s="80"/>
      <c r="F30" s="113"/>
      <c r="G30" s="113"/>
      <c r="H30" s="83"/>
      <c r="I30" s="84">
        <f>IF(OR($C30="",$F30=""),"",$F30*$H30)</f>
        <v/>
      </c>
      <c r="J30" s="79"/>
      <c r="K30" s="116">
        <f>IF($C30="","",IF($F30&lt;$G30,"🔴 Reorder",IF($F30&lt;$G30*1.5,"🟡 Low","🟢 OK")))</f>
        <v/>
      </c>
      <c r="L30" s="79"/>
    </row>
    <row r="31" spans="1:12" ht="20" customHeight="1" x14ac:dyDescent="0.25">
      <c r="A31" s="7"/>
      <c r="B31" s="85">
        <v>24</v>
      </c>
      <c r="C31" s="86"/>
      <c r="D31" s="87"/>
      <c r="E31" s="87"/>
      <c r="F31" s="112"/>
      <c r="G31" s="112"/>
      <c r="H31" s="90"/>
      <c r="I31" s="84">
        <f>IF(OR($C31="",$F31=""),"",$F31*$H31)</f>
        <v/>
      </c>
      <c r="J31" s="86"/>
      <c r="K31" s="116">
        <f>IF($C31="","",IF($F31&lt;$G31,"🔴 Reorder",IF($F31&lt;$G31*1.5,"🟡 Low","🟢 OK")))</f>
        <v/>
      </c>
      <c r="L31" s="86"/>
    </row>
    <row r="32" spans="1:12" ht="20" customHeight="1" x14ac:dyDescent="0.25">
      <c r="A32" s="7"/>
      <c r="B32" s="78">
        <v>25</v>
      </c>
      <c r="C32" s="79"/>
      <c r="D32" s="80"/>
      <c r="E32" s="80"/>
      <c r="F32" s="113"/>
      <c r="G32" s="113"/>
      <c r="H32" s="83"/>
      <c r="I32" s="84">
        <f>IF(OR($C32="",$F32=""),"",$F32*$H32)</f>
        <v/>
      </c>
      <c r="J32" s="79"/>
      <c r="K32" s="116">
        <f>IF($C32="","",IF($F32&lt;$G32,"🔴 Reorder",IF($F32&lt;$G32*1.5,"🟡 Low","🟢 OK")))</f>
        <v/>
      </c>
      <c r="L32" s="79"/>
    </row>
    <row r="33" spans="1:12" ht="20" customHeight="1" x14ac:dyDescent="0.25">
      <c r="A33" s="7"/>
      <c r="B33" s="85">
        <v>26</v>
      </c>
      <c r="C33" s="86"/>
      <c r="D33" s="87"/>
      <c r="E33" s="87"/>
      <c r="F33" s="112"/>
      <c r="G33" s="112"/>
      <c r="H33" s="90"/>
      <c r="I33" s="84">
        <f>IF(OR($C33="",$F33=""),"",$F33*$H33)</f>
        <v/>
      </c>
      <c r="J33" s="86"/>
      <c r="K33" s="116">
        <f>IF($C33="","",IF($F33&lt;$G33,"🔴 Reorder",IF($F33&lt;$G33*1.5,"🟡 Low","🟢 OK")))</f>
        <v/>
      </c>
      <c r="L33" s="86"/>
    </row>
    <row r="34" spans="1:12" ht="20" customHeight="1" x14ac:dyDescent="0.25">
      <c r="A34" s="7"/>
      <c r="B34" s="78">
        <v>27</v>
      </c>
      <c r="C34" s="79"/>
      <c r="D34" s="80"/>
      <c r="E34" s="80"/>
      <c r="F34" s="113"/>
      <c r="G34" s="113"/>
      <c r="H34" s="83"/>
      <c r="I34" s="84">
        <f>IF(OR($C34="",$F34=""),"",$F34*$H34)</f>
        <v/>
      </c>
      <c r="J34" s="79"/>
      <c r="K34" s="116">
        <f>IF($C34="","",IF($F34&lt;$G34,"🔴 Reorder",IF($F34&lt;$G34*1.5,"🟡 Low","🟢 OK")))</f>
        <v/>
      </c>
      <c r="L34" s="79"/>
    </row>
    <row r="35" spans="1:12" ht="20" customHeight="1" x14ac:dyDescent="0.25">
      <c r="A35" s="7"/>
      <c r="B35" s="85">
        <v>28</v>
      </c>
      <c r="C35" s="86"/>
      <c r="D35" s="87"/>
      <c r="E35" s="87"/>
      <c r="F35" s="112"/>
      <c r="G35" s="112"/>
      <c r="H35" s="90"/>
      <c r="I35" s="84">
        <f>IF(OR($C35="",$F35=""),"",$F35*$H35)</f>
        <v/>
      </c>
      <c r="J35" s="86"/>
      <c r="K35" s="116">
        <f>IF($C35="","",IF($F35&lt;$G35,"🔴 Reorder",IF($F35&lt;$G35*1.5,"🟡 Low","🟢 OK")))</f>
        <v/>
      </c>
      <c r="L35" s="86"/>
    </row>
    <row r="36" spans="1:12" ht="20" customHeight="1" x14ac:dyDescent="0.25">
      <c r="A36" s="7"/>
      <c r="B36" s="78">
        <v>29</v>
      </c>
      <c r="C36" s="79"/>
      <c r="D36" s="80"/>
      <c r="E36" s="80"/>
      <c r="F36" s="113"/>
      <c r="G36" s="113"/>
      <c r="H36" s="83"/>
      <c r="I36" s="84">
        <f>IF(OR($C36="",$F36=""),"",$F36*$H36)</f>
        <v/>
      </c>
      <c r="J36" s="79"/>
      <c r="K36" s="116">
        <f>IF($C36="","",IF($F36&lt;$G36,"🔴 Reorder",IF($F36&lt;$G36*1.5,"🟡 Low","🟢 OK")))</f>
        <v/>
      </c>
      <c r="L36" s="79"/>
    </row>
    <row r="37" spans="1:12" ht="20" customHeight="1" x14ac:dyDescent="0.25">
      <c r="A37" s="7"/>
      <c r="B37" s="85">
        <v>30</v>
      </c>
      <c r="C37" s="86"/>
      <c r="D37" s="87"/>
      <c r="E37" s="87"/>
      <c r="F37" s="112"/>
      <c r="G37" s="112"/>
      <c r="H37" s="90"/>
      <c r="I37" s="84">
        <f>IF(OR($C37="",$F37=""),"",$F37*$H37)</f>
        <v/>
      </c>
      <c r="J37" s="86"/>
      <c r="K37" s="116">
        <f>IF($C37="","",IF($F37&lt;$G37,"🔴 Reorder",IF($F37&lt;$G37*1.5,"🟡 Low","🟢 OK")))</f>
        <v/>
      </c>
      <c r="L37" s="86"/>
    </row>
    <row r="38" spans="1:12" ht="20" customHeight="1" x14ac:dyDescent="0.25">
      <c r="A38" s="7"/>
      <c r="B38" s="78">
        <v>31</v>
      </c>
      <c r="C38" s="79"/>
      <c r="D38" s="80"/>
      <c r="E38" s="80"/>
      <c r="F38" s="113"/>
      <c r="G38" s="113"/>
      <c r="H38" s="83"/>
      <c r="I38" s="84">
        <f>IF(OR($C38="",$F38=""),"",$F38*$H38)</f>
        <v/>
      </c>
      <c r="J38" s="79"/>
      <c r="K38" s="116">
        <f>IF($C38="","",IF($F38&lt;$G38,"🔴 Reorder",IF($F38&lt;$G38*1.5,"🟡 Low","🟢 OK")))</f>
        <v/>
      </c>
      <c r="L38" s="79"/>
    </row>
    <row r="39" spans="1:12" ht="20" customHeight="1" x14ac:dyDescent="0.25">
      <c r="A39" s="7"/>
      <c r="B39" s="85">
        <v>32</v>
      </c>
      <c r="C39" s="86"/>
      <c r="D39" s="87"/>
      <c r="E39" s="87"/>
      <c r="F39" s="112"/>
      <c r="G39" s="112"/>
      <c r="H39" s="90"/>
      <c r="I39" s="84">
        <f>IF(OR($C39="",$F39=""),"",$F39*$H39)</f>
        <v/>
      </c>
      <c r="J39" s="86"/>
      <c r="K39" s="116">
        <f>IF($C39="","",IF($F39&lt;$G39,"🔴 Reorder",IF($F39&lt;$G39*1.5,"🟡 Low","🟢 OK")))</f>
        <v/>
      </c>
      <c r="L39" s="86"/>
    </row>
    <row r="40" spans="1:12" ht="20" customHeight="1" x14ac:dyDescent="0.25">
      <c r="A40" s="7"/>
      <c r="B40" s="78">
        <v>33</v>
      </c>
      <c r="C40" s="79"/>
      <c r="D40" s="80"/>
      <c r="E40" s="80"/>
      <c r="F40" s="113"/>
      <c r="G40" s="113"/>
      <c r="H40" s="83"/>
      <c r="I40" s="84">
        <f>IF(OR($C40="",$F40=""),"",$F40*$H40)</f>
        <v/>
      </c>
      <c r="J40" s="79"/>
      <c r="K40" s="116">
        <f>IF($C40="","",IF($F40&lt;$G40,"🔴 Reorder",IF($F40&lt;$G40*1.5,"🟡 Low","🟢 OK")))</f>
        <v/>
      </c>
      <c r="L40" s="79"/>
    </row>
    <row r="41" spans="1:12" ht="20" customHeight="1" x14ac:dyDescent="0.25">
      <c r="A41" s="7"/>
      <c r="B41" s="85">
        <v>34</v>
      </c>
      <c r="C41" s="86"/>
      <c r="D41" s="87"/>
      <c r="E41" s="87"/>
      <c r="F41" s="112"/>
      <c r="G41" s="112"/>
      <c r="H41" s="90"/>
      <c r="I41" s="84">
        <f>IF(OR($C41="",$F41=""),"",$F41*$H41)</f>
        <v/>
      </c>
      <c r="J41" s="86"/>
      <c r="K41" s="116">
        <f>IF($C41="","",IF($F41&lt;$G41,"🔴 Reorder",IF($F41&lt;$G41*1.5,"🟡 Low","🟢 OK")))</f>
        <v/>
      </c>
      <c r="L41" s="86"/>
    </row>
    <row r="42" spans="1:12" ht="20" customHeight="1" x14ac:dyDescent="0.25">
      <c r="A42" s="7"/>
      <c r="B42" s="78">
        <v>35</v>
      </c>
      <c r="C42" s="79"/>
      <c r="D42" s="80"/>
      <c r="E42" s="80"/>
      <c r="F42" s="113"/>
      <c r="G42" s="113"/>
      <c r="H42" s="83"/>
      <c r="I42" s="84">
        <f>IF(OR($C42="",$F42=""),"",$F42*$H42)</f>
        <v/>
      </c>
      <c r="J42" s="79"/>
      <c r="K42" s="116">
        <f>IF($C42="","",IF($F42&lt;$G42,"🔴 Reorder",IF($F42&lt;$G42*1.5,"🟡 Low","🟢 OK")))</f>
        <v/>
      </c>
      <c r="L42" s="79"/>
    </row>
    <row r="43" spans="1:12" ht="20" customHeight="1" x14ac:dyDescent="0.25">
      <c r="A43" s="7"/>
      <c r="B43" s="85">
        <v>36</v>
      </c>
      <c r="C43" s="86"/>
      <c r="D43" s="87"/>
      <c r="E43" s="87"/>
      <c r="F43" s="112"/>
      <c r="G43" s="112"/>
      <c r="H43" s="90"/>
      <c r="I43" s="84">
        <f>IF(OR($C43="",$F43=""),"",$F43*$H43)</f>
        <v/>
      </c>
      <c r="J43" s="86"/>
      <c r="K43" s="116">
        <f>IF($C43="","",IF($F43&lt;$G43,"🔴 Reorder",IF($F43&lt;$G43*1.5,"🟡 Low","🟢 OK")))</f>
        <v/>
      </c>
      <c r="L43" s="86"/>
    </row>
    <row r="44" spans="1:12" ht="20" customHeight="1" x14ac:dyDescent="0.25">
      <c r="A44" s="7"/>
      <c r="B44" s="78">
        <v>37</v>
      </c>
      <c r="C44" s="79"/>
      <c r="D44" s="80"/>
      <c r="E44" s="80"/>
      <c r="F44" s="113"/>
      <c r="G44" s="113"/>
      <c r="H44" s="83"/>
      <c r="I44" s="84">
        <f>IF(OR($C44="",$F44=""),"",$F44*$H44)</f>
        <v/>
      </c>
      <c r="J44" s="79"/>
      <c r="K44" s="116">
        <f>IF($C44="","",IF($F44&lt;$G44,"🔴 Reorder",IF($F44&lt;$G44*1.5,"🟡 Low","🟢 OK")))</f>
        <v/>
      </c>
      <c r="L44" s="79"/>
    </row>
    <row r="45" spans="1:12" ht="20" customHeight="1" x14ac:dyDescent="0.25">
      <c r="A45" s="7"/>
      <c r="B45" s="85">
        <v>38</v>
      </c>
      <c r="C45" s="86"/>
      <c r="D45" s="87"/>
      <c r="E45" s="87"/>
      <c r="F45" s="112"/>
      <c r="G45" s="112"/>
      <c r="H45" s="90"/>
      <c r="I45" s="84">
        <f>IF(OR($C45="",$F45=""),"",$F45*$H45)</f>
        <v/>
      </c>
      <c r="J45" s="86"/>
      <c r="K45" s="116">
        <f>IF($C45="","",IF($F45&lt;$G45,"🔴 Reorder",IF($F45&lt;$G45*1.5,"🟡 Low","🟢 OK")))</f>
        <v/>
      </c>
      <c r="L45" s="86"/>
    </row>
    <row r="46" spans="1:12" ht="20" customHeight="1" x14ac:dyDescent="0.25">
      <c r="A46" s="7"/>
      <c r="B46" s="78">
        <v>39</v>
      </c>
      <c r="C46" s="79"/>
      <c r="D46" s="80"/>
      <c r="E46" s="80"/>
      <c r="F46" s="113"/>
      <c r="G46" s="113"/>
      <c r="H46" s="83"/>
      <c r="I46" s="84">
        <f>IF(OR($C46="",$F46=""),"",$F46*$H46)</f>
        <v/>
      </c>
      <c r="J46" s="79"/>
      <c r="K46" s="116">
        <f>IF($C46="","",IF($F46&lt;$G46,"🔴 Reorder",IF($F46&lt;$G46*1.5,"🟡 Low","🟢 OK")))</f>
        <v/>
      </c>
      <c r="L46" s="79"/>
    </row>
    <row r="47" spans="1:12" ht="20" customHeight="1" x14ac:dyDescent="0.25">
      <c r="A47" s="7"/>
      <c r="B47" s="85">
        <v>40</v>
      </c>
      <c r="C47" s="86"/>
      <c r="D47" s="87"/>
      <c r="E47" s="87"/>
      <c r="F47" s="112"/>
      <c r="G47" s="112"/>
      <c r="H47" s="90"/>
      <c r="I47" s="84">
        <f>IF(OR($C47="",$F47=""),"",$F47*$H47)</f>
        <v/>
      </c>
      <c r="J47" s="86"/>
      <c r="K47" s="116">
        <f>IF($C47="","",IF($F47&lt;$G47,"🔴 Reorder",IF($F47&lt;$G47*1.5,"🟡 Low","🟢 OK")))</f>
        <v/>
      </c>
      <c r="L47" s="86"/>
    </row>
    <row r="48" spans="1:12" x14ac:dyDescent="0.2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</row>
    <row r="49" spans="1:12" ht="24" customHeight="1" x14ac:dyDescent="0.25">
      <c r="A49" s="7"/>
      <c r="B49" s="91" t="s">
        <v>289</v>
      </c>
      <c r="C49" s="91"/>
      <c r="D49" s="91"/>
      <c r="E49" s="91"/>
      <c r="F49" s="91"/>
      <c r="G49" s="91"/>
      <c r="H49" s="91"/>
      <c r="I49" s="94">
        <f>SUM($I$8:$I$47)</f>
        <v>0</v>
      </c>
      <c r="J49" s="93"/>
      <c r="K49" s="93"/>
      <c r="L49" s="93"/>
    </row>
    <row r="50" spans="1:12" x14ac:dyDescent="0.2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</row>
    <row r="51" spans="1:12" ht="22" customHeight="1" x14ac:dyDescent="0.25">
      <c r="A51" s="7"/>
      <c r="B51" s="66" t="s">
        <v>215</v>
      </c>
      <c r="C51" s="66"/>
      <c r="D51" s="66"/>
      <c r="E51" s="66"/>
      <c r="F51" s="66"/>
      <c r="G51" s="66"/>
      <c r="H51" s="66"/>
      <c r="I51" s="66"/>
      <c r="J51" s="66"/>
      <c r="K51" s="66"/>
      <c r="L51" s="66"/>
    </row>
    <row r="52" spans="1:12" ht="51.8" customHeight="1" x14ac:dyDescent="0.25">
      <c r="A52" s="7"/>
      <c r="B52" s="21" t="s">
        <v>290</v>
      </c>
      <c r="C52" s="21"/>
      <c r="D52" s="21"/>
      <c r="E52" s="21"/>
      <c r="F52" s="21"/>
      <c r="G52" s="21"/>
      <c r="H52" s="21"/>
      <c r="I52" s="21"/>
      <c r="J52" s="21"/>
      <c r="K52" s="21"/>
      <c r="L52" s="21"/>
    </row>
    <row r="53" spans="1:12" x14ac:dyDescent="0.2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</row>
    <row r="54" spans="1:12" x14ac:dyDescent="0.2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</row>
    <row r="55" spans="1:12" x14ac:dyDescent="0.2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</row>
    <row r="56" spans="1:12" x14ac:dyDescent="0.2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</row>
    <row r="57" spans="1:12" ht="24" customHeight="1" x14ac:dyDescent="0.25">
      <c r="A57" s="7"/>
      <c r="B57" s="26" t="s">
        <v>199</v>
      </c>
      <c r="C57" s="26"/>
      <c r="D57" s="27" t="s">
        <v>165</v>
      </c>
      <c r="E57" s="27"/>
      <c r="F57" s="28" t="s">
        <v>166</v>
      </c>
      <c r="G57" s="28"/>
      <c r="H57" s="29" t="s">
        <v>4</v>
      </c>
      <c r="I57" s="29"/>
      <c r="J57" s="30" t="s">
        <v>167</v>
      </c>
      <c r="K57" s="30"/>
      <c r="L57" s="7"/>
    </row>
    <row r="58" spans="1:12" ht="24" customHeight="1" x14ac:dyDescent="0.25">
      <c r="A58" s="7"/>
      <c r="B58" s="31" t="s">
        <v>168</v>
      </c>
      <c r="C58" s="31"/>
      <c r="D58" s="32" t="s">
        <v>291</v>
      </c>
      <c r="E58" s="32"/>
      <c r="F58" s="33" t="s">
        <v>170</v>
      </c>
      <c r="G58" s="33"/>
      <c r="H58" s="27" t="s">
        <v>2</v>
      </c>
      <c r="I58" s="27"/>
      <c r="J58" s="29" t="s">
        <v>171</v>
      </c>
      <c r="K58" s="29"/>
      <c r="L58" s="7"/>
    </row>
    <row r="59" spans="1:12" ht="24" customHeight="1" x14ac:dyDescent="0.25">
      <c r="A59" s="7"/>
      <c r="B59" s="26" t="s">
        <v>172</v>
      </c>
      <c r="C59" s="26"/>
      <c r="D59" s="27" t="s">
        <v>173</v>
      </c>
      <c r="E59" s="27"/>
      <c r="F59" s="28" t="s">
        <v>174</v>
      </c>
      <c r="G59" s="28"/>
      <c r="H59" s="29" t="s">
        <v>175</v>
      </c>
      <c r="I59" s="29"/>
      <c r="J59" s="30" t="s">
        <v>176</v>
      </c>
      <c r="K59" s="30"/>
      <c r="L59" s="7"/>
    </row>
    <row r="60" spans="1:12" ht="24" customHeight="1" x14ac:dyDescent="0.25">
      <c r="A60" s="7"/>
      <c r="B60" s="31" t="s">
        <v>177</v>
      </c>
      <c r="C60" s="31"/>
      <c r="D60" s="32" t="s">
        <v>178</v>
      </c>
      <c r="E60" s="32"/>
      <c r="F60" s="33" t="s">
        <v>56</v>
      </c>
      <c r="G60" s="33"/>
      <c r="H60" s="27" t="s">
        <v>179</v>
      </c>
      <c r="I60" s="27"/>
      <c r="J60" s="7"/>
      <c r="K60" s="7"/>
      <c r="L60" s="7"/>
    </row>
    <row r="61" spans="1:12" x14ac:dyDescent="0.2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</row>
    <row r="62" spans="1:12" x14ac:dyDescent="0.2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</row>
    <row r="63" spans="1:12" x14ac:dyDescent="0.2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</row>
    <row r="64" spans="1:12" x14ac:dyDescent="0.2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</row>
    <row r="65" spans="1:12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</row>
    <row r="66" spans="1:12" x14ac:dyDescent="0.2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</row>
    <row r="67" spans="1:12" x14ac:dyDescent="0.2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</row>
    <row r="68" spans="1:12" x14ac:dyDescent="0.2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</row>
    <row r="69" spans="1:12" x14ac:dyDescent="0.2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</row>
    <row r="70" spans="1:12" x14ac:dyDescent="0.2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</row>
    <row r="71" spans="1:12" x14ac:dyDescent="0.2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</row>
    <row r="72" spans="1:12" x14ac:dyDescent="0.2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</row>
  </sheetData>
  <autoFilter ref="B7:L47"/>
  <mergeCells count="30">
    <mergeCell ref="B2:I2"/>
    <mergeCell ref="B3:I3"/>
    <mergeCell ref="J3:L3"/>
    <mergeCell ref="B5:C5"/>
    <mergeCell ref="D5:E5"/>
    <mergeCell ref="F5:G5"/>
    <mergeCell ref="H5:I5"/>
    <mergeCell ref="J5:K5"/>
    <mergeCell ref="B49:H49"/>
    <mergeCell ref="B51:L51"/>
    <mergeCell ref="B52:L52"/>
    <mergeCell ref="B57:C57"/>
    <mergeCell ref="D57:E57"/>
    <mergeCell ref="F57:G57"/>
    <mergeCell ref="H57:I57"/>
    <mergeCell ref="J57:K57"/>
    <mergeCell ref="B58:C58"/>
    <mergeCell ref="D58:E58"/>
    <mergeCell ref="F58:G58"/>
    <mergeCell ref="H58:I58"/>
    <mergeCell ref="J58:K58"/>
    <mergeCell ref="B59:C59"/>
    <mergeCell ref="D59:E59"/>
    <mergeCell ref="F59:G59"/>
    <mergeCell ref="H59:I59"/>
    <mergeCell ref="J59:K59"/>
    <mergeCell ref="B60:C60"/>
    <mergeCell ref="D60:E60"/>
    <mergeCell ref="F60:G60"/>
    <mergeCell ref="H60:I60"/>
  </mergeCells>
  <conditionalFormatting sqref="F8:F47">
    <cfRule type="expression" dxfId="4" priority="4">
      <formula>AND($C8&lt;&gt;"",$F8&lt;$G8)</formula>
    </cfRule>
  </conditionalFormatting>
  <conditionalFormatting sqref="I8:I47">
    <cfRule type="dataBar" priority="5">
      <dataBar>
        <cfvo type="num" val="0"/>
        <cfvo type="num" val="1"/>
        <color rgb="FF7A5C43"/>
      </dataBar>
      <extLst>
        <ext xmlns:x14="http://schemas.microsoft.com/office/spreadsheetml/2009/9/main" uri="{B025F937-C7B1-47D3-B67F-A62EFF666E3E}">
          <x14:id>{DA7ABA51-AAAA-BBBB-0008-000000000001}</x14:id>
        </ext>
      </extLst>
    </cfRule>
  </conditionalFormatting>
  <conditionalFormatting sqref="K8:K47">
    <cfRule type="expression" dxfId="0" priority="1">
      <formula>$K8="🔴 Reorder"</formula>
    </cfRule>
    <cfRule type="expression" dxfId="1" priority="2">
      <formula>$K8="🟡 Low"</formula>
    </cfRule>
    <cfRule type="expression" dxfId="2" priority="3">
      <formula>$K8="🟢 OK"</formula>
    </cfRule>
  </conditionalFormatting>
  <dataValidations count="5">
    <dataValidation type="list" allowBlank="1" showInputMessage="1" promptTitle="Ingredient category" sqref="D8:D47">
      <formula1>IngredientCategories</formula1>
    </dataValidation>
    <dataValidation type="list" allowBlank="1" showInputMessage="1" promptTitle="Unit" prompt="kg, L, tray… or type your own." sqref="E8:E47">
      <formula1>"kg,g,L,mL,pc,tray,box,bag,bottle"</formula1>
    </dataValidation>
    <dataValidation type="list" allowBlank="1" showInputMessage="1" promptTitle="Supplier" prompt="Pick from the 🚚 Suppliers tab, or type a new one." sqref="J8:J47">
      <formula1>SuppliersList</formula1>
    </dataValidation>
    <dataValidation type="decimal" operator="greaterThanOrEqual" allowBlank="1" showInputMessage="1" showErrorMessage="1" promptTitle="Quantity" prompt="Zero or more (decimals are fine)." sqref="F8:G47">
      <formula1>0</formula1>
    </dataValidation>
    <dataValidation type="decimal" operator="greaterThanOrEqual" errorStyle="warning" allowBlank="1" showInputMessage="1" showErrorMessage="1" errorTitle="Enter money" error="Please enter a positive number (no currency symbol) - the symbol comes from Setup." sqref="H8:H47">
      <formula1>0</formula1>
    </dataValidation>
  </dataValidations>
  <hyperlinks>
    <hyperlink ref="J3" location="'📊 Dashboard'!A1" display="🏠  Back to Dashboard"/>
    <hyperlink ref="B57" location="'⚙️ Setup'!A1" display="Setup"/>
    <hyperlink ref="D57" location="'📊 Dashboard'!A1" display="🏠 Home"/>
    <hyperlink ref="F57" location="'👥 Clients'!A1" display="Clients"/>
    <hyperlink ref="H57" location="'📅 Events'!A1" display="Events"/>
    <hyperlink ref="J57" location="'🧮 Quote Calculator'!A1" display="Quote"/>
    <hyperlink ref="B58" location="'🍽️ Menu Costing'!A1" display="Menu"/>
    <hyperlink ref="D58" location="'📦 Inventory'!A1" display="▶ Stock"/>
    <hyperlink ref="F58" location="'🛒 Shopping List'!A1" display="Shop"/>
    <hyperlink ref="H58" location="'💸 Expenses'!A1" display="Expenses"/>
    <hyperlink ref="J58" location="'💰 Payments'!A1" display="Payments"/>
    <hyperlink ref="B59" location="'👷 Staff &amp; Labor'!A1" display="Staff"/>
    <hyperlink ref="D59" location="'🍳 Equipment'!A1" display="Equip"/>
    <hyperlink ref="F59" location="'🚚 Suppliers'!A1" display="Suppliers"/>
    <hyperlink ref="H59" location="'📆 Event Calendar'!A1" display="Calendar"/>
    <hyperlink ref="J59" location="'📈 P&amp;L &amp; Reports'!A1" display="P&amp;L"/>
    <hyperlink ref="B60" location="'🧾 Tax Tracker'!A1" display="Tax"/>
    <hyperlink ref="D60" location="'✅ Checklists'!A1" display="Checks"/>
    <hyperlink ref="F60" location="'🖨️ Invoice &amp; Proposal'!A1" display="Invoice"/>
    <hyperlink ref="H60" location="'📖 Start Here'!A1" display="Help"/>
  </hyperlinks>
  <pageMargins left="0.4" right="0.4" top="0.5" bottom="0.5" header="0.3" footer="0.3"/>
  <pageSetup paperSize="9" fitToHeight="0" orientation="landscape"/>
  <headerFooter>
    <oddHeader>&amp;L&amp;"Calibri,Bold"&amp;11Catering Business Manager&amp;R&amp;"Calibri,Italic"&amp;9Page &amp;P of &amp;N</oddHeader>
    <oddFooter>&amp;C&amp;"Calibri,Italic"&amp;8&amp;A  •  Ultimate Catering Business Spreadsheet v1.0  •  personal licence</oddFoot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8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7A5C43"/>
              <x14:negativeFillColor rgb="FFFF0000"/>
              <x14:negativeBorderColor rgb="FFFF0000"/>
              <x14:axisColor rgb="FF000000"/>
            </x14:dataBar>
          </x14:cfRule>
          <xm:sqref>I8:I47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6C9A58"/>
    <pageSetUpPr fitToPage="1"/>
  </sheetPr>
  <dimension ref="A1:L72"/>
  <sheetViews>
    <sheetView showGridLines="0" zoomScale="90" zoomScaleNormal="90" workbookViewId="0">
      <pane xSplit="2" ySplit="8" topLeftCell="C9" activePane="bottomRight" state="frozen"/>
      <selection pane="topRight" activeCell="C1" sqref="C1"/>
      <selection pane="bottomLeft" activeCell="A9" sqref="A9"/>
      <selection pane="bottomRight"/>
    </sheetView>
  </sheetViews>
  <sheetFormatPr defaultRowHeight="15"/>
  <cols>
    <col min="1" max="1" width="2.85546875" customWidth="1"/>
    <col min="2" max="2" width="5.28515625" customWidth="1"/>
    <col min="3" max="3" width="12.7109375" customWidth="1"/>
    <col min="4" max="4" width="22.7109375" customWidth="1"/>
    <col min="5" max="5" width="10.7109375" customWidth="1"/>
    <col min="6" max="6" width="10.7109375" customWidth="1"/>
    <col min="7" max="7" width="11.7109375" customWidth="1"/>
    <col min="8" max="8" width="18.7109375" customWidth="1"/>
    <col min="9" max="9" width="11.7109375" customWidth="1"/>
    <col min="10" max="10" width="10.7109375" customWidth="1"/>
    <col min="11" max="11" width="12.7109375" customWidth="1"/>
    <col min="12" max="12" width="22.7109375" customWidth="1"/>
  </cols>
  <sheetData>
    <row r="1" spans="1:12" ht="7" customHeight="1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pans="1:12" ht="30" customHeight="1">
      <c r="A2" s="7"/>
      <c r="B2" s="8" t="s">
        <v>292</v>
      </c>
      <c r="C2" s="8"/>
      <c r="D2" s="8"/>
      <c r="E2" s="8"/>
      <c r="F2" s="8"/>
      <c r="G2" s="8"/>
      <c r="H2" s="8"/>
      <c r="I2" s="8"/>
      <c r="J2" s="7"/>
      <c r="K2" s="7"/>
      <c r="L2" s="7"/>
    </row>
    <row r="3" spans="1:12" ht="18" customHeight="1">
      <c r="A3" s="7"/>
      <c r="B3" s="9" t="s">
        <v>293</v>
      </c>
      <c r="C3" s="9"/>
      <c r="D3" s="9"/>
      <c r="E3" s="9"/>
      <c r="F3" s="9"/>
      <c r="G3" s="9"/>
      <c r="H3" s="9"/>
      <c r="I3" s="9"/>
      <c r="J3" s="10" t="s">
        <v>97</v>
      </c>
      <c r="K3" s="10"/>
      <c r="L3" s="10"/>
    </row>
    <row r="4" spans="1:12" ht="7" customHeight="1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</row>
    <row r="5" spans="1:12" ht="26" customHeight="1">
      <c r="A5" s="7"/>
      <c r="B5" s="73" t="str">
        <f>"🛒 Lines: "&amp;COUNTIF('🛒 Shopping List'!$D$8:$D$47,"?*")</f>
        <v>Lines: 0</v>
      </c>
      <c r="C5" s="73"/>
      <c r="D5" s="115" t="str">
        <f>"💰 Still to buy: "&amp;'_Data'!$AF$24&amp;" line(s)"</f>
        <v>Still to buy: 0 line(s)</v>
      </c>
      <c r="E5" s="115"/>
      <c r="F5" s="95" t="str">
        <f>"💵 Estimated cost to buy: "&amp;Currency&amp;TEXT('_Data'!$AF$25,"#,##0.00")</f>
        <v>Estimated cost to buy: $0.00</v>
      </c>
      <c r="G5" s="95"/>
      <c r="H5" s="76" t="str">
        <f>"✅ Purchased: "&amp;COUNTIF('🛒 Shopping List'!$J$8:$J$47,"✓")&amp;" line(s)"</f>
        <v>Purchased: 0 line(s)</v>
      </c>
      <c r="I5" s="76"/>
      <c r="J5" s="75" t="str">
        <f>"🧾 Spent on this list: "&amp;Currency&amp;TEXT(SUMIF('🛒 Shopping List'!$J$8:$J$47,"✓",'🛒 Shopping List'!$I$8:$I$47),"#,##0.00")</f>
        <v>Spent on this list: $0.00</v>
      </c>
      <c r="K5" s="75"/>
      <c r="L5" s="7"/>
    </row>
    <row r="6" spans="1:12" ht="7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spans="1:12" ht="36" customHeight="1">
      <c r="A7" s="7"/>
      <c r="B7" s="18" t="s">
        <v>203</v>
      </c>
      <c r="C7" s="18" t="s">
        <v>220</v>
      </c>
      <c r="D7" s="18" t="s">
        <v>269</v>
      </c>
      <c r="E7" s="18" t="s">
        <v>294</v>
      </c>
      <c r="F7" s="77" t="s">
        <v>295</v>
      </c>
      <c r="G7" s="77" t="s">
        <v>296</v>
      </c>
      <c r="H7" s="18" t="s">
        <v>287</v>
      </c>
      <c r="I7" s="77" t="s">
        <v>297</v>
      </c>
      <c r="J7" s="18" t="s">
        <v>298</v>
      </c>
      <c r="K7" s="18" t="s">
        <v>299</v>
      </c>
      <c r="L7" s="18" t="s">
        <v>213</v>
      </c>
    </row>
    <row r="8" spans="1:12" ht="20" customHeight="1">
      <c r="A8" s="7"/>
      <c r="B8" s="78">
        <v>1</v>
      </c>
      <c r="C8" s="80"/>
      <c r="D8" s="79"/>
      <c r="E8" s="113"/>
      <c r="F8" s="117">
        <f>IF($D8="",0,SUMIF('📦 Inventory'!$C$8:$C$47,$D8,'📦 Inventory'!$F$8:$F$47))</f>
        <v>0</v>
      </c>
      <c r="G8" s="117">
        <f>IF($D8="","",MAX(0,$E8-$F8))</f>
        <v/>
      </c>
      <c r="H8" s="79"/>
      <c r="I8" s="84">
        <f>IF($G8="","",ROUND($G8*SUMIF('📦 Inventory'!$C$8:$C$47,$D8,'📦 Inventory'!$H$8:$H$47),2))</f>
        <v/>
      </c>
      <c r="J8" s="118"/>
      <c r="K8" s="81"/>
      <c r="L8" s="79"/>
    </row>
    <row r="9" spans="1:12" ht="20" customHeight="1">
      <c r="A9" s="7"/>
      <c r="B9" s="85">
        <v>2</v>
      </c>
      <c r="C9" s="87"/>
      <c r="D9" s="86"/>
      <c r="E9" s="112"/>
      <c r="F9" s="117">
        <f>IF($D9="",0,SUMIF('📦 Inventory'!$C$8:$C$47,$D9,'📦 Inventory'!$F$8:$F$47))</f>
        <v>0</v>
      </c>
      <c r="G9" s="117">
        <f>IF($D9="","",MAX(0,$E9-$F9))</f>
        <v/>
      </c>
      <c r="H9" s="86"/>
      <c r="I9" s="84">
        <f>IF($G9="","",ROUND($G9*SUMIF('📦 Inventory'!$C$8:$C$47,$D9,'📦 Inventory'!$H$8:$H$47),2))</f>
        <v/>
      </c>
      <c r="J9" s="119"/>
      <c r="K9" s="88"/>
      <c r="L9" s="86"/>
    </row>
    <row r="10" spans="1:12" ht="20" customHeight="1">
      <c r="A10" s="7"/>
      <c r="B10" s="78">
        <v>3</v>
      </c>
      <c r="C10" s="80"/>
      <c r="D10" s="79"/>
      <c r="E10" s="113"/>
      <c r="F10" s="117">
        <f>IF($D10="",0,SUMIF('📦 Inventory'!$C$8:$C$47,$D10,'📦 Inventory'!$F$8:$F$47))</f>
        <v>0</v>
      </c>
      <c r="G10" s="117">
        <f>IF($D10="","",MAX(0,$E10-$F10))</f>
        <v/>
      </c>
      <c r="H10" s="79"/>
      <c r="I10" s="84">
        <f>IF($G10="","",ROUND($G10*SUMIF('📦 Inventory'!$C$8:$C$47,$D10,'📦 Inventory'!$H$8:$H$47),2))</f>
        <v/>
      </c>
      <c r="J10" s="118"/>
      <c r="K10" s="81"/>
      <c r="L10" s="79"/>
    </row>
    <row r="11" spans="1:12" ht="20" customHeight="1">
      <c r="A11" s="7"/>
      <c r="B11" s="85">
        <v>4</v>
      </c>
      <c r="C11" s="87"/>
      <c r="D11" s="86"/>
      <c r="E11" s="112"/>
      <c r="F11" s="117">
        <f>IF($D11="",0,SUMIF('📦 Inventory'!$C$8:$C$47,$D11,'📦 Inventory'!$F$8:$F$47))</f>
        <v>0</v>
      </c>
      <c r="G11" s="117">
        <f>IF($D11="","",MAX(0,$E11-$F11))</f>
        <v/>
      </c>
      <c r="H11" s="86"/>
      <c r="I11" s="84">
        <f>IF($G11="","",ROUND($G11*SUMIF('📦 Inventory'!$C$8:$C$47,$D11,'📦 Inventory'!$H$8:$H$47),2))</f>
        <v/>
      </c>
      <c r="J11" s="119"/>
      <c r="K11" s="88"/>
      <c r="L11" s="86"/>
    </row>
    <row r="12" spans="1:12" ht="20" customHeight="1">
      <c r="A12" s="7"/>
      <c r="B12" s="78">
        <v>5</v>
      </c>
      <c r="C12" s="80"/>
      <c r="D12" s="79"/>
      <c r="E12" s="113"/>
      <c r="F12" s="117">
        <f>IF($D12="",0,SUMIF('📦 Inventory'!$C$8:$C$47,$D12,'📦 Inventory'!$F$8:$F$47))</f>
        <v>0</v>
      </c>
      <c r="G12" s="117">
        <f>IF($D12="","",MAX(0,$E12-$F12))</f>
        <v/>
      </c>
      <c r="H12" s="79"/>
      <c r="I12" s="84">
        <f>IF($G12="","",ROUND($G12*SUMIF('📦 Inventory'!$C$8:$C$47,$D12,'📦 Inventory'!$H$8:$H$47),2))</f>
        <v/>
      </c>
      <c r="J12" s="118"/>
      <c r="K12" s="81"/>
      <c r="L12" s="79"/>
    </row>
    <row r="13" spans="1:12" ht="20" customHeight="1">
      <c r="A13" s="7"/>
      <c r="B13" s="85">
        <v>6</v>
      </c>
      <c r="C13" s="87"/>
      <c r="D13" s="86"/>
      <c r="E13" s="112"/>
      <c r="F13" s="117">
        <f>IF($D13="",0,SUMIF('📦 Inventory'!$C$8:$C$47,$D13,'📦 Inventory'!$F$8:$F$47))</f>
        <v>0</v>
      </c>
      <c r="G13" s="117">
        <f>IF($D13="","",MAX(0,$E13-$F13))</f>
        <v/>
      </c>
      <c r="H13" s="86"/>
      <c r="I13" s="84">
        <f>IF($G13="","",ROUND($G13*SUMIF('📦 Inventory'!$C$8:$C$47,$D13,'📦 Inventory'!$H$8:$H$47),2))</f>
        <v/>
      </c>
      <c r="J13" s="119"/>
      <c r="K13" s="88"/>
      <c r="L13" s="86"/>
    </row>
    <row r="14" spans="1:12" ht="20" customHeight="1">
      <c r="A14" s="7"/>
      <c r="B14" s="78">
        <v>7</v>
      </c>
      <c r="C14" s="80"/>
      <c r="D14" s="79"/>
      <c r="E14" s="113"/>
      <c r="F14" s="117">
        <f>IF($D14="",0,SUMIF('📦 Inventory'!$C$8:$C$47,$D14,'📦 Inventory'!$F$8:$F$47))</f>
        <v>0</v>
      </c>
      <c r="G14" s="117">
        <f>IF($D14="","",MAX(0,$E14-$F14))</f>
        <v/>
      </c>
      <c r="H14" s="79"/>
      <c r="I14" s="84">
        <f>IF($G14="","",ROUND($G14*SUMIF('📦 Inventory'!$C$8:$C$47,$D14,'📦 Inventory'!$H$8:$H$47),2))</f>
        <v/>
      </c>
      <c r="J14" s="118"/>
      <c r="K14" s="81"/>
      <c r="L14" s="79"/>
    </row>
    <row r="15" spans="1:12" ht="20" customHeight="1">
      <c r="A15" s="7"/>
      <c r="B15" s="85">
        <v>8</v>
      </c>
      <c r="C15" s="87"/>
      <c r="D15" s="86"/>
      <c r="E15" s="112"/>
      <c r="F15" s="117">
        <f>IF($D15="",0,SUMIF('📦 Inventory'!$C$8:$C$47,$D15,'📦 Inventory'!$F$8:$F$47))</f>
        <v>0</v>
      </c>
      <c r="G15" s="117">
        <f>IF($D15="","",MAX(0,$E15-$F15))</f>
        <v/>
      </c>
      <c r="H15" s="86"/>
      <c r="I15" s="84">
        <f>IF($G15="","",ROUND($G15*SUMIF('📦 Inventory'!$C$8:$C$47,$D15,'📦 Inventory'!$H$8:$H$47),2))</f>
        <v/>
      </c>
      <c r="J15" s="119"/>
      <c r="K15" s="88"/>
      <c r="L15" s="86"/>
    </row>
    <row r="16" spans="1:12" ht="20" customHeight="1">
      <c r="A16" s="7"/>
      <c r="B16" s="78">
        <v>9</v>
      </c>
      <c r="C16" s="80"/>
      <c r="D16" s="79"/>
      <c r="E16" s="113"/>
      <c r="F16" s="117">
        <f>IF($D16="",0,SUMIF('📦 Inventory'!$C$8:$C$47,$D16,'📦 Inventory'!$F$8:$F$47))</f>
        <v>0</v>
      </c>
      <c r="G16" s="117">
        <f>IF($D16="","",MAX(0,$E16-$F16))</f>
        <v/>
      </c>
      <c r="H16" s="79"/>
      <c r="I16" s="84">
        <f>IF($G16="","",ROUND($G16*SUMIF('📦 Inventory'!$C$8:$C$47,$D16,'📦 Inventory'!$H$8:$H$47),2))</f>
        <v/>
      </c>
      <c r="J16" s="118"/>
      <c r="K16" s="81"/>
      <c r="L16" s="79"/>
    </row>
    <row r="17" spans="1:12" ht="20" customHeight="1">
      <c r="A17" s="7"/>
      <c r="B17" s="85">
        <v>10</v>
      </c>
      <c r="C17" s="87"/>
      <c r="D17" s="86"/>
      <c r="E17" s="112"/>
      <c r="F17" s="117">
        <f>IF($D17="",0,SUMIF('📦 Inventory'!$C$8:$C$47,$D17,'📦 Inventory'!$F$8:$F$47))</f>
        <v>0</v>
      </c>
      <c r="G17" s="117">
        <f>IF($D17="","",MAX(0,$E17-$F17))</f>
        <v/>
      </c>
      <c r="H17" s="86"/>
      <c r="I17" s="84">
        <f>IF($G17="","",ROUND($G17*SUMIF('📦 Inventory'!$C$8:$C$47,$D17,'📦 Inventory'!$H$8:$H$47),2))</f>
        <v/>
      </c>
      <c r="J17" s="119"/>
      <c r="K17" s="88"/>
      <c r="L17" s="86"/>
    </row>
    <row r="18" spans="1:12" ht="20" customHeight="1">
      <c r="A18" s="7"/>
      <c r="B18" s="78">
        <v>11</v>
      </c>
      <c r="C18" s="80"/>
      <c r="D18" s="79"/>
      <c r="E18" s="113"/>
      <c r="F18" s="117">
        <f>IF($D18="",0,SUMIF('📦 Inventory'!$C$8:$C$47,$D18,'📦 Inventory'!$F$8:$F$47))</f>
        <v>0</v>
      </c>
      <c r="G18" s="117">
        <f>IF($D18="","",MAX(0,$E18-$F18))</f>
        <v/>
      </c>
      <c r="H18" s="79"/>
      <c r="I18" s="84">
        <f>IF($G18="","",ROUND($G18*SUMIF('📦 Inventory'!$C$8:$C$47,$D18,'📦 Inventory'!$H$8:$H$47),2))</f>
        <v/>
      </c>
      <c r="J18" s="118"/>
      <c r="K18" s="81"/>
      <c r="L18" s="79"/>
    </row>
    <row r="19" spans="1:12" ht="20" customHeight="1">
      <c r="A19" s="7"/>
      <c r="B19" s="85">
        <v>12</v>
      </c>
      <c r="C19" s="87"/>
      <c r="D19" s="86"/>
      <c r="E19" s="112"/>
      <c r="F19" s="117">
        <f>IF($D19="",0,SUMIF('📦 Inventory'!$C$8:$C$47,$D19,'📦 Inventory'!$F$8:$F$47))</f>
        <v>0</v>
      </c>
      <c r="G19" s="117">
        <f>IF($D19="","",MAX(0,$E19-$F19))</f>
        <v/>
      </c>
      <c r="H19" s="86"/>
      <c r="I19" s="84">
        <f>IF($G19="","",ROUND($G19*SUMIF('📦 Inventory'!$C$8:$C$47,$D19,'📦 Inventory'!$H$8:$H$47),2))</f>
        <v/>
      </c>
      <c r="J19" s="119"/>
      <c r="K19" s="88"/>
      <c r="L19" s="86"/>
    </row>
    <row r="20" spans="1:12" ht="20" customHeight="1">
      <c r="A20" s="7"/>
      <c r="B20" s="78">
        <v>13</v>
      </c>
      <c r="C20" s="80"/>
      <c r="D20" s="79"/>
      <c r="E20" s="113"/>
      <c r="F20" s="117">
        <f>IF($D20="",0,SUMIF('📦 Inventory'!$C$8:$C$47,$D20,'📦 Inventory'!$F$8:$F$47))</f>
        <v>0</v>
      </c>
      <c r="G20" s="117">
        <f>IF($D20="","",MAX(0,$E20-$F20))</f>
        <v/>
      </c>
      <c r="H20" s="79"/>
      <c r="I20" s="84">
        <f>IF($G20="","",ROUND($G20*SUMIF('📦 Inventory'!$C$8:$C$47,$D20,'📦 Inventory'!$H$8:$H$47),2))</f>
        <v/>
      </c>
      <c r="J20" s="118"/>
      <c r="K20" s="81"/>
      <c r="L20" s="79"/>
    </row>
    <row r="21" spans="1:12" ht="20" customHeight="1">
      <c r="A21" s="7"/>
      <c r="B21" s="85">
        <v>14</v>
      </c>
      <c r="C21" s="87"/>
      <c r="D21" s="86"/>
      <c r="E21" s="112"/>
      <c r="F21" s="117">
        <f>IF($D21="",0,SUMIF('📦 Inventory'!$C$8:$C$47,$D21,'📦 Inventory'!$F$8:$F$47))</f>
        <v>0</v>
      </c>
      <c r="G21" s="117">
        <f>IF($D21="","",MAX(0,$E21-$F21))</f>
        <v/>
      </c>
      <c r="H21" s="86"/>
      <c r="I21" s="84">
        <f>IF($G21="","",ROUND($G21*SUMIF('📦 Inventory'!$C$8:$C$47,$D21,'📦 Inventory'!$H$8:$H$47),2))</f>
        <v/>
      </c>
      <c r="J21" s="119"/>
      <c r="K21" s="88"/>
      <c r="L21" s="86"/>
    </row>
    <row r="22" spans="1:12" ht="20" customHeight="1">
      <c r="A22" s="7"/>
      <c r="B22" s="78">
        <v>15</v>
      </c>
      <c r="C22" s="80"/>
      <c r="D22" s="79"/>
      <c r="E22" s="113"/>
      <c r="F22" s="117">
        <f>IF($D22="",0,SUMIF('📦 Inventory'!$C$8:$C$47,$D22,'📦 Inventory'!$F$8:$F$47))</f>
        <v>0</v>
      </c>
      <c r="G22" s="117">
        <f>IF($D22="","",MAX(0,$E22-$F22))</f>
        <v/>
      </c>
      <c r="H22" s="79"/>
      <c r="I22" s="84">
        <f>IF($G22="","",ROUND($G22*SUMIF('📦 Inventory'!$C$8:$C$47,$D22,'📦 Inventory'!$H$8:$H$47),2))</f>
        <v/>
      </c>
      <c r="J22" s="118"/>
      <c r="K22" s="81"/>
      <c r="L22" s="79"/>
    </row>
    <row r="23" spans="1:12" ht="20" customHeight="1">
      <c r="A23" s="7"/>
      <c r="B23" s="85">
        <v>16</v>
      </c>
      <c r="C23" s="87"/>
      <c r="D23" s="86"/>
      <c r="E23" s="112"/>
      <c r="F23" s="117">
        <f>IF($D23="",0,SUMIF('📦 Inventory'!$C$8:$C$47,$D23,'📦 Inventory'!$F$8:$F$47))</f>
        <v>0</v>
      </c>
      <c r="G23" s="117">
        <f>IF($D23="","",MAX(0,$E23-$F23))</f>
        <v/>
      </c>
      <c r="H23" s="86"/>
      <c r="I23" s="84">
        <f>IF($G23="","",ROUND($G23*SUMIF('📦 Inventory'!$C$8:$C$47,$D23,'📦 Inventory'!$H$8:$H$47),2))</f>
        <v/>
      </c>
      <c r="J23" s="119"/>
      <c r="K23" s="88"/>
      <c r="L23" s="86"/>
    </row>
    <row r="24" spans="1:12" ht="20" customHeight="1">
      <c r="A24" s="7"/>
      <c r="B24" s="78">
        <v>17</v>
      </c>
      <c r="C24" s="80"/>
      <c r="D24" s="79"/>
      <c r="E24" s="113"/>
      <c r="F24" s="117">
        <f>IF($D24="",0,SUMIF('📦 Inventory'!$C$8:$C$47,$D24,'📦 Inventory'!$F$8:$F$47))</f>
        <v>0</v>
      </c>
      <c r="G24" s="117">
        <f>IF($D24="","",MAX(0,$E24-$F24))</f>
        <v/>
      </c>
      <c r="H24" s="79"/>
      <c r="I24" s="84">
        <f>IF($G24="","",ROUND($G24*SUMIF('📦 Inventory'!$C$8:$C$47,$D24,'📦 Inventory'!$H$8:$H$47),2))</f>
        <v/>
      </c>
      <c r="J24" s="118"/>
      <c r="K24" s="81"/>
      <c r="L24" s="79"/>
    </row>
    <row r="25" spans="1:12" ht="20" customHeight="1">
      <c r="A25" s="7"/>
      <c r="B25" s="85">
        <v>18</v>
      </c>
      <c r="C25" s="87"/>
      <c r="D25" s="86"/>
      <c r="E25" s="112"/>
      <c r="F25" s="117">
        <f>IF($D25="",0,SUMIF('📦 Inventory'!$C$8:$C$47,$D25,'📦 Inventory'!$F$8:$F$47))</f>
        <v>0</v>
      </c>
      <c r="G25" s="117">
        <f>IF($D25="","",MAX(0,$E25-$F25))</f>
        <v/>
      </c>
      <c r="H25" s="86"/>
      <c r="I25" s="84">
        <f>IF($G25="","",ROUND($G25*SUMIF('📦 Inventory'!$C$8:$C$47,$D25,'📦 Inventory'!$H$8:$H$47),2))</f>
        <v/>
      </c>
      <c r="J25" s="119"/>
      <c r="K25" s="88"/>
      <c r="L25" s="86"/>
    </row>
    <row r="26" spans="1:12" ht="20" customHeight="1">
      <c r="A26" s="7"/>
      <c r="B26" s="78">
        <v>19</v>
      </c>
      <c r="C26" s="80"/>
      <c r="D26" s="79"/>
      <c r="E26" s="113"/>
      <c r="F26" s="117">
        <f>IF($D26="",0,SUMIF('📦 Inventory'!$C$8:$C$47,$D26,'📦 Inventory'!$F$8:$F$47))</f>
        <v>0</v>
      </c>
      <c r="G26" s="117">
        <f>IF($D26="","",MAX(0,$E26-$F26))</f>
        <v/>
      </c>
      <c r="H26" s="79"/>
      <c r="I26" s="84">
        <f>IF($G26="","",ROUND($G26*SUMIF('📦 Inventory'!$C$8:$C$47,$D26,'📦 Inventory'!$H$8:$H$47),2))</f>
        <v/>
      </c>
      <c r="J26" s="118"/>
      <c r="K26" s="81"/>
      <c r="L26" s="79"/>
    </row>
    <row r="27" spans="1:12" ht="20" customHeight="1">
      <c r="A27" s="7"/>
      <c r="B27" s="85">
        <v>20</v>
      </c>
      <c r="C27" s="87"/>
      <c r="D27" s="86"/>
      <c r="E27" s="112"/>
      <c r="F27" s="117">
        <f>IF($D27="",0,SUMIF('📦 Inventory'!$C$8:$C$47,$D27,'📦 Inventory'!$F$8:$F$47))</f>
        <v>0</v>
      </c>
      <c r="G27" s="117">
        <f>IF($D27="","",MAX(0,$E27-$F27))</f>
        <v/>
      </c>
      <c r="H27" s="86"/>
      <c r="I27" s="84">
        <f>IF($G27="","",ROUND($G27*SUMIF('📦 Inventory'!$C$8:$C$47,$D27,'📦 Inventory'!$H$8:$H$47),2))</f>
        <v/>
      </c>
      <c r="J27" s="119"/>
      <c r="K27" s="88"/>
      <c r="L27" s="86"/>
    </row>
    <row r="28" spans="1:12" ht="20" customHeight="1">
      <c r="A28" s="7"/>
      <c r="B28" s="78">
        <v>21</v>
      </c>
      <c r="C28" s="80"/>
      <c r="D28" s="79"/>
      <c r="E28" s="113"/>
      <c r="F28" s="117">
        <f>IF($D28="",0,SUMIF('📦 Inventory'!$C$8:$C$47,$D28,'📦 Inventory'!$F$8:$F$47))</f>
        <v>0</v>
      </c>
      <c r="G28" s="117">
        <f>IF($D28="","",MAX(0,$E28-$F28))</f>
        <v/>
      </c>
      <c r="H28" s="79"/>
      <c r="I28" s="84">
        <f>IF($G28="","",ROUND($G28*SUMIF('📦 Inventory'!$C$8:$C$47,$D28,'📦 Inventory'!$H$8:$H$47),2))</f>
        <v/>
      </c>
      <c r="J28" s="118"/>
      <c r="K28" s="81"/>
      <c r="L28" s="79"/>
    </row>
    <row r="29" spans="1:12" ht="20" customHeight="1">
      <c r="A29" s="7"/>
      <c r="B29" s="85">
        <v>22</v>
      </c>
      <c r="C29" s="87"/>
      <c r="D29" s="86"/>
      <c r="E29" s="112"/>
      <c r="F29" s="117">
        <f>IF($D29="",0,SUMIF('📦 Inventory'!$C$8:$C$47,$D29,'📦 Inventory'!$F$8:$F$47))</f>
        <v>0</v>
      </c>
      <c r="G29" s="117">
        <f>IF($D29="","",MAX(0,$E29-$F29))</f>
        <v/>
      </c>
      <c r="H29" s="86"/>
      <c r="I29" s="84">
        <f>IF($G29="","",ROUND($G29*SUMIF('📦 Inventory'!$C$8:$C$47,$D29,'📦 Inventory'!$H$8:$H$47),2))</f>
        <v/>
      </c>
      <c r="J29" s="119"/>
      <c r="K29" s="88"/>
      <c r="L29" s="86"/>
    </row>
    <row r="30" spans="1:12" ht="20" customHeight="1">
      <c r="A30" s="7"/>
      <c r="B30" s="78">
        <v>23</v>
      </c>
      <c r="C30" s="80"/>
      <c r="D30" s="79"/>
      <c r="E30" s="113"/>
      <c r="F30" s="117">
        <f>IF($D30="",0,SUMIF('📦 Inventory'!$C$8:$C$47,$D30,'📦 Inventory'!$F$8:$F$47))</f>
        <v>0</v>
      </c>
      <c r="G30" s="117">
        <f>IF($D30="","",MAX(0,$E30-$F30))</f>
        <v/>
      </c>
      <c r="H30" s="79"/>
      <c r="I30" s="84">
        <f>IF($G30="","",ROUND($G30*SUMIF('📦 Inventory'!$C$8:$C$47,$D30,'📦 Inventory'!$H$8:$H$47),2))</f>
        <v/>
      </c>
      <c r="J30" s="118"/>
      <c r="K30" s="81"/>
      <c r="L30" s="79"/>
    </row>
    <row r="31" spans="1:12" ht="20" customHeight="1">
      <c r="A31" s="7"/>
      <c r="B31" s="85">
        <v>24</v>
      </c>
      <c r="C31" s="87"/>
      <c r="D31" s="86"/>
      <c r="E31" s="112"/>
      <c r="F31" s="117">
        <f>IF($D31="",0,SUMIF('📦 Inventory'!$C$8:$C$47,$D31,'📦 Inventory'!$F$8:$F$47))</f>
        <v>0</v>
      </c>
      <c r="G31" s="117">
        <f>IF($D31="","",MAX(0,$E31-$F31))</f>
        <v/>
      </c>
      <c r="H31" s="86"/>
      <c r="I31" s="84">
        <f>IF($G31="","",ROUND($G31*SUMIF('📦 Inventory'!$C$8:$C$47,$D31,'📦 Inventory'!$H$8:$H$47),2))</f>
        <v/>
      </c>
      <c r="J31" s="119"/>
      <c r="K31" s="88"/>
      <c r="L31" s="86"/>
    </row>
    <row r="32" spans="1:12" ht="20" customHeight="1">
      <c r="A32" s="7"/>
      <c r="B32" s="78">
        <v>25</v>
      </c>
      <c r="C32" s="80"/>
      <c r="D32" s="79"/>
      <c r="E32" s="113"/>
      <c r="F32" s="117">
        <f>IF($D32="",0,SUMIF('📦 Inventory'!$C$8:$C$47,$D32,'📦 Inventory'!$F$8:$F$47))</f>
        <v>0</v>
      </c>
      <c r="G32" s="117">
        <f>IF($D32="","",MAX(0,$E32-$F32))</f>
        <v/>
      </c>
      <c r="H32" s="79"/>
      <c r="I32" s="84">
        <f>IF($G32="","",ROUND($G32*SUMIF('📦 Inventory'!$C$8:$C$47,$D32,'📦 Inventory'!$H$8:$H$47),2))</f>
        <v/>
      </c>
      <c r="J32" s="118"/>
      <c r="K32" s="81"/>
      <c r="L32" s="79"/>
    </row>
    <row r="33" spans="1:12" ht="20" customHeight="1">
      <c r="A33" s="7"/>
      <c r="B33" s="85">
        <v>26</v>
      </c>
      <c r="C33" s="87"/>
      <c r="D33" s="86"/>
      <c r="E33" s="112"/>
      <c r="F33" s="117">
        <f>IF($D33="",0,SUMIF('📦 Inventory'!$C$8:$C$47,$D33,'📦 Inventory'!$F$8:$F$47))</f>
        <v>0</v>
      </c>
      <c r="G33" s="117">
        <f>IF($D33="","",MAX(0,$E33-$F33))</f>
        <v/>
      </c>
      <c r="H33" s="86"/>
      <c r="I33" s="84">
        <f>IF($G33="","",ROUND($G33*SUMIF('📦 Inventory'!$C$8:$C$47,$D33,'📦 Inventory'!$H$8:$H$47),2))</f>
        <v/>
      </c>
      <c r="J33" s="119"/>
      <c r="K33" s="88"/>
      <c r="L33" s="86"/>
    </row>
    <row r="34" spans="1:12" ht="20" customHeight="1">
      <c r="A34" s="7"/>
      <c r="B34" s="78">
        <v>27</v>
      </c>
      <c r="C34" s="80"/>
      <c r="D34" s="79"/>
      <c r="E34" s="113"/>
      <c r="F34" s="117">
        <f>IF($D34="",0,SUMIF('📦 Inventory'!$C$8:$C$47,$D34,'📦 Inventory'!$F$8:$F$47))</f>
        <v>0</v>
      </c>
      <c r="G34" s="117">
        <f>IF($D34="","",MAX(0,$E34-$F34))</f>
        <v/>
      </c>
      <c r="H34" s="79"/>
      <c r="I34" s="84">
        <f>IF($G34="","",ROUND($G34*SUMIF('📦 Inventory'!$C$8:$C$47,$D34,'📦 Inventory'!$H$8:$H$47),2))</f>
        <v/>
      </c>
      <c r="J34" s="118"/>
      <c r="K34" s="81"/>
      <c r="L34" s="79"/>
    </row>
    <row r="35" spans="1:12" ht="20" customHeight="1">
      <c r="A35" s="7"/>
      <c r="B35" s="85">
        <v>28</v>
      </c>
      <c r="C35" s="87"/>
      <c r="D35" s="86"/>
      <c r="E35" s="112"/>
      <c r="F35" s="117">
        <f>IF($D35="",0,SUMIF('📦 Inventory'!$C$8:$C$47,$D35,'📦 Inventory'!$F$8:$F$47))</f>
        <v>0</v>
      </c>
      <c r="G35" s="117">
        <f>IF($D35="","",MAX(0,$E35-$F35))</f>
        <v/>
      </c>
      <c r="H35" s="86"/>
      <c r="I35" s="84">
        <f>IF($G35="","",ROUND($G35*SUMIF('📦 Inventory'!$C$8:$C$47,$D35,'📦 Inventory'!$H$8:$H$47),2))</f>
        <v/>
      </c>
      <c r="J35" s="119"/>
      <c r="K35" s="88"/>
      <c r="L35" s="86"/>
    </row>
    <row r="36" spans="1:12" ht="20" customHeight="1">
      <c r="A36" s="7"/>
      <c r="B36" s="78">
        <v>29</v>
      </c>
      <c r="C36" s="80"/>
      <c r="D36" s="79"/>
      <c r="E36" s="113"/>
      <c r="F36" s="117">
        <f>IF($D36="",0,SUMIF('📦 Inventory'!$C$8:$C$47,$D36,'📦 Inventory'!$F$8:$F$47))</f>
        <v>0</v>
      </c>
      <c r="G36" s="117">
        <f>IF($D36="","",MAX(0,$E36-$F36))</f>
        <v/>
      </c>
      <c r="H36" s="79"/>
      <c r="I36" s="84">
        <f>IF($G36="","",ROUND($G36*SUMIF('📦 Inventory'!$C$8:$C$47,$D36,'📦 Inventory'!$H$8:$H$47),2))</f>
        <v/>
      </c>
      <c r="J36" s="118"/>
      <c r="K36" s="81"/>
      <c r="L36" s="79"/>
    </row>
    <row r="37" spans="1:12" ht="20" customHeight="1">
      <c r="A37" s="7"/>
      <c r="B37" s="85">
        <v>30</v>
      </c>
      <c r="C37" s="87"/>
      <c r="D37" s="86"/>
      <c r="E37" s="112"/>
      <c r="F37" s="117">
        <f>IF($D37="",0,SUMIF('📦 Inventory'!$C$8:$C$47,$D37,'📦 Inventory'!$F$8:$F$47))</f>
        <v>0</v>
      </c>
      <c r="G37" s="117">
        <f>IF($D37="","",MAX(0,$E37-$F37))</f>
        <v/>
      </c>
      <c r="H37" s="86"/>
      <c r="I37" s="84">
        <f>IF($G37="","",ROUND($G37*SUMIF('📦 Inventory'!$C$8:$C$47,$D37,'📦 Inventory'!$H$8:$H$47),2))</f>
        <v/>
      </c>
      <c r="J37" s="119"/>
      <c r="K37" s="88"/>
      <c r="L37" s="86"/>
    </row>
    <row r="38" spans="1:12" ht="20" customHeight="1">
      <c r="A38" s="7"/>
      <c r="B38" s="78">
        <v>31</v>
      </c>
      <c r="C38" s="80"/>
      <c r="D38" s="79"/>
      <c r="E38" s="113"/>
      <c r="F38" s="117">
        <f>IF($D38="",0,SUMIF('📦 Inventory'!$C$8:$C$47,$D38,'📦 Inventory'!$F$8:$F$47))</f>
        <v>0</v>
      </c>
      <c r="G38" s="117">
        <f>IF($D38="","",MAX(0,$E38-$F38))</f>
        <v/>
      </c>
      <c r="H38" s="79"/>
      <c r="I38" s="84">
        <f>IF($G38="","",ROUND($G38*SUMIF('📦 Inventory'!$C$8:$C$47,$D38,'📦 Inventory'!$H$8:$H$47),2))</f>
        <v/>
      </c>
      <c r="J38" s="118"/>
      <c r="K38" s="81"/>
      <c r="L38" s="79"/>
    </row>
    <row r="39" spans="1:12" ht="20" customHeight="1">
      <c r="A39" s="7"/>
      <c r="B39" s="85">
        <v>32</v>
      </c>
      <c r="C39" s="87"/>
      <c r="D39" s="86"/>
      <c r="E39" s="112"/>
      <c r="F39" s="117">
        <f>IF($D39="",0,SUMIF('📦 Inventory'!$C$8:$C$47,$D39,'📦 Inventory'!$F$8:$F$47))</f>
        <v>0</v>
      </c>
      <c r="G39" s="117">
        <f>IF($D39="","",MAX(0,$E39-$F39))</f>
        <v/>
      </c>
      <c r="H39" s="86"/>
      <c r="I39" s="84">
        <f>IF($G39="","",ROUND($G39*SUMIF('📦 Inventory'!$C$8:$C$47,$D39,'📦 Inventory'!$H$8:$H$47),2))</f>
        <v/>
      </c>
      <c r="J39" s="119"/>
      <c r="K39" s="88"/>
      <c r="L39" s="86"/>
    </row>
    <row r="40" spans="1:12" ht="20" customHeight="1">
      <c r="A40" s="7"/>
      <c r="B40" s="78">
        <v>33</v>
      </c>
      <c r="C40" s="80"/>
      <c r="D40" s="79"/>
      <c r="E40" s="113"/>
      <c r="F40" s="117">
        <f>IF($D40="",0,SUMIF('📦 Inventory'!$C$8:$C$47,$D40,'📦 Inventory'!$F$8:$F$47))</f>
        <v>0</v>
      </c>
      <c r="G40" s="117">
        <f>IF($D40="","",MAX(0,$E40-$F40))</f>
        <v/>
      </c>
      <c r="H40" s="79"/>
      <c r="I40" s="84">
        <f>IF($G40="","",ROUND($G40*SUMIF('📦 Inventory'!$C$8:$C$47,$D40,'📦 Inventory'!$H$8:$H$47),2))</f>
        <v/>
      </c>
      <c r="J40" s="118"/>
      <c r="K40" s="81"/>
      <c r="L40" s="79"/>
    </row>
    <row r="41" spans="1:12" ht="20" customHeight="1">
      <c r="A41" s="7"/>
      <c r="B41" s="85">
        <v>34</v>
      </c>
      <c r="C41" s="87"/>
      <c r="D41" s="86"/>
      <c r="E41" s="112"/>
      <c r="F41" s="117">
        <f>IF($D41="",0,SUMIF('📦 Inventory'!$C$8:$C$47,$D41,'📦 Inventory'!$F$8:$F$47))</f>
        <v>0</v>
      </c>
      <c r="G41" s="117">
        <f>IF($D41="","",MAX(0,$E41-$F41))</f>
        <v/>
      </c>
      <c r="H41" s="86"/>
      <c r="I41" s="84">
        <f>IF($G41="","",ROUND($G41*SUMIF('📦 Inventory'!$C$8:$C$47,$D41,'📦 Inventory'!$H$8:$H$47),2))</f>
        <v/>
      </c>
      <c r="J41" s="119"/>
      <c r="K41" s="88"/>
      <c r="L41" s="86"/>
    </row>
    <row r="42" spans="1:12" ht="20" customHeight="1">
      <c r="A42" s="7"/>
      <c r="B42" s="78">
        <v>35</v>
      </c>
      <c r="C42" s="80"/>
      <c r="D42" s="79"/>
      <c r="E42" s="113"/>
      <c r="F42" s="117">
        <f>IF($D42="",0,SUMIF('📦 Inventory'!$C$8:$C$47,$D42,'📦 Inventory'!$F$8:$F$47))</f>
        <v>0</v>
      </c>
      <c r="G42" s="117">
        <f>IF($D42="","",MAX(0,$E42-$F42))</f>
        <v/>
      </c>
      <c r="H42" s="79"/>
      <c r="I42" s="84">
        <f>IF($G42="","",ROUND($G42*SUMIF('📦 Inventory'!$C$8:$C$47,$D42,'📦 Inventory'!$H$8:$H$47),2))</f>
        <v/>
      </c>
      <c r="J42" s="118"/>
      <c r="K42" s="81"/>
      <c r="L42" s="79"/>
    </row>
    <row r="43" spans="1:12" ht="20" customHeight="1">
      <c r="A43" s="7"/>
      <c r="B43" s="85">
        <v>36</v>
      </c>
      <c r="C43" s="87"/>
      <c r="D43" s="86"/>
      <c r="E43" s="112"/>
      <c r="F43" s="117">
        <f>IF($D43="",0,SUMIF('📦 Inventory'!$C$8:$C$47,$D43,'📦 Inventory'!$F$8:$F$47))</f>
        <v>0</v>
      </c>
      <c r="G43" s="117">
        <f>IF($D43="","",MAX(0,$E43-$F43))</f>
        <v/>
      </c>
      <c r="H43" s="86"/>
      <c r="I43" s="84">
        <f>IF($G43="","",ROUND($G43*SUMIF('📦 Inventory'!$C$8:$C$47,$D43,'📦 Inventory'!$H$8:$H$47),2))</f>
        <v/>
      </c>
      <c r="J43" s="119"/>
      <c r="K43" s="88"/>
      <c r="L43" s="86"/>
    </row>
    <row r="44" spans="1:12" ht="20" customHeight="1">
      <c r="A44" s="7"/>
      <c r="B44" s="78">
        <v>37</v>
      </c>
      <c r="C44" s="80"/>
      <c r="D44" s="79"/>
      <c r="E44" s="113"/>
      <c r="F44" s="117">
        <f>IF($D44="",0,SUMIF('📦 Inventory'!$C$8:$C$47,$D44,'📦 Inventory'!$F$8:$F$47))</f>
        <v>0</v>
      </c>
      <c r="G44" s="117">
        <f>IF($D44="","",MAX(0,$E44-$F44))</f>
        <v/>
      </c>
      <c r="H44" s="79"/>
      <c r="I44" s="84">
        <f>IF($G44="","",ROUND($G44*SUMIF('📦 Inventory'!$C$8:$C$47,$D44,'📦 Inventory'!$H$8:$H$47),2))</f>
        <v/>
      </c>
      <c r="J44" s="118"/>
      <c r="K44" s="81"/>
      <c r="L44" s="79"/>
    </row>
    <row r="45" spans="1:12" ht="20" customHeight="1">
      <c r="A45" s="7"/>
      <c r="B45" s="85">
        <v>38</v>
      </c>
      <c r="C45" s="87"/>
      <c r="D45" s="86"/>
      <c r="E45" s="112"/>
      <c r="F45" s="117">
        <f>IF($D45="",0,SUMIF('📦 Inventory'!$C$8:$C$47,$D45,'📦 Inventory'!$F$8:$F$47))</f>
        <v>0</v>
      </c>
      <c r="G45" s="117">
        <f>IF($D45="","",MAX(0,$E45-$F45))</f>
        <v/>
      </c>
      <c r="H45" s="86"/>
      <c r="I45" s="84">
        <f>IF($G45="","",ROUND($G45*SUMIF('📦 Inventory'!$C$8:$C$47,$D45,'📦 Inventory'!$H$8:$H$47),2))</f>
        <v/>
      </c>
      <c r="J45" s="119"/>
      <c r="K45" s="88"/>
      <c r="L45" s="86"/>
    </row>
    <row r="46" spans="1:12" ht="20" customHeight="1">
      <c r="A46" s="7"/>
      <c r="B46" s="78">
        <v>39</v>
      </c>
      <c r="C46" s="80"/>
      <c r="D46" s="79"/>
      <c r="E46" s="113"/>
      <c r="F46" s="117">
        <f>IF($D46="",0,SUMIF('📦 Inventory'!$C$8:$C$47,$D46,'📦 Inventory'!$F$8:$F$47))</f>
        <v>0</v>
      </c>
      <c r="G46" s="117">
        <f>IF($D46="","",MAX(0,$E46-$F46))</f>
        <v/>
      </c>
      <c r="H46" s="79"/>
      <c r="I46" s="84">
        <f>IF($G46="","",ROUND($G46*SUMIF('📦 Inventory'!$C$8:$C$47,$D46,'📦 Inventory'!$H$8:$H$47),2))</f>
        <v/>
      </c>
      <c r="J46" s="118"/>
      <c r="K46" s="81"/>
      <c r="L46" s="79"/>
    </row>
    <row r="47" spans="1:12" ht="20" customHeight="1">
      <c r="A47" s="7"/>
      <c r="B47" s="85">
        <v>40</v>
      </c>
      <c r="C47" s="87"/>
      <c r="D47" s="86"/>
      <c r="E47" s="112"/>
      <c r="F47" s="117">
        <f>IF($D47="",0,SUMIF('📦 Inventory'!$C$8:$C$47,$D47,'📦 Inventory'!$F$8:$F$47))</f>
        <v>0</v>
      </c>
      <c r="G47" s="117">
        <f>IF($D47="","",MAX(0,$E47-$F47))</f>
        <v/>
      </c>
      <c r="H47" s="86"/>
      <c r="I47" s="84">
        <f>IF($G47="","",ROUND($G47*SUMIF('📦 Inventory'!$C$8:$C$47,$D47,'📦 Inventory'!$H$8:$H$47),2))</f>
        <v/>
      </c>
      <c r="J47" s="119"/>
      <c r="K47" s="88"/>
      <c r="L47" s="86"/>
    </row>
    <row r="48" spans="1:12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</row>
    <row r="49" spans="1:12" ht="24" customHeight="1">
      <c r="A49" s="7"/>
      <c r="B49" s="91" t="s">
        <v>214</v>
      </c>
      <c r="C49" s="91"/>
      <c r="D49" s="91"/>
      <c r="E49" s="120">
        <f>SUM($E$8:$E$47)</f>
        <v>0</v>
      </c>
      <c r="F49" s="93"/>
      <c r="G49" s="120">
        <f>SUM($G$8:$G$47)</f>
        <v>0</v>
      </c>
      <c r="H49" s="93"/>
      <c r="I49" s="94">
        <f>SUM($I$8:$I$47)</f>
        <v>0</v>
      </c>
      <c r="J49" s="93"/>
      <c r="K49" s="93"/>
      <c r="L49" s="93"/>
    </row>
    <row r="50" spans="1:12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</row>
    <row r="51" spans="1:12" ht="22" customHeight="1">
      <c r="A51" s="7"/>
      <c r="B51" s="66" t="s">
        <v>215</v>
      </c>
      <c r="C51" s="66"/>
      <c r="D51" s="66"/>
      <c r="E51" s="66"/>
      <c r="F51" s="66"/>
      <c r="G51" s="66"/>
      <c r="H51" s="66"/>
      <c r="I51" s="66"/>
      <c r="J51" s="66"/>
      <c r="K51" s="66"/>
      <c r="L51" s="66"/>
    </row>
    <row r="52" spans="1:12" ht="51.8" customHeight="1">
      <c r="A52" s="7"/>
      <c r="B52" s="21" t="s">
        <v>300</v>
      </c>
      <c r="C52" s="21"/>
      <c r="D52" s="21"/>
      <c r="E52" s="21"/>
      <c r="F52" s="21"/>
      <c r="G52" s="21"/>
      <c r="H52" s="21"/>
      <c r="I52" s="21"/>
      <c r="J52" s="21"/>
      <c r="K52" s="21"/>
      <c r="L52" s="21"/>
    </row>
    <row r="53" spans="1:12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</row>
    <row r="54" spans="1:12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</row>
    <row r="55" spans="1:12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</row>
    <row r="56" spans="1:12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</row>
    <row r="57" spans="1:12" ht="24" customHeight="1">
      <c r="A57" s="7"/>
      <c r="B57" s="26" t="s">
        <v>199</v>
      </c>
      <c r="C57" s="26"/>
      <c r="D57" s="27" t="s">
        <v>165</v>
      </c>
      <c r="E57" s="27"/>
      <c r="F57" s="28" t="s">
        <v>166</v>
      </c>
      <c r="G57" s="28"/>
      <c r="H57" s="29" t="s">
        <v>4</v>
      </c>
      <c r="I57" s="29"/>
      <c r="J57" s="30" t="s">
        <v>167</v>
      </c>
      <c r="K57" s="30"/>
      <c r="L57" s="7"/>
    </row>
    <row r="58" spans="1:12" ht="24" customHeight="1">
      <c r="A58" s="7"/>
      <c r="B58" s="31" t="s">
        <v>168</v>
      </c>
      <c r="C58" s="31"/>
      <c r="D58" s="32" t="s">
        <v>169</v>
      </c>
      <c r="E58" s="32"/>
      <c r="F58" s="33" t="s">
        <v>301</v>
      </c>
      <c r="G58" s="33"/>
      <c r="H58" s="27" t="s">
        <v>2</v>
      </c>
      <c r="I58" s="27"/>
      <c r="J58" s="29" t="s">
        <v>171</v>
      </c>
      <c r="K58" s="29"/>
      <c r="L58" s="7"/>
    </row>
    <row r="59" spans="1:12" ht="24" customHeight="1">
      <c r="A59" s="7"/>
      <c r="B59" s="26" t="s">
        <v>172</v>
      </c>
      <c r="C59" s="26"/>
      <c r="D59" s="27" t="s">
        <v>173</v>
      </c>
      <c r="E59" s="27"/>
      <c r="F59" s="28" t="s">
        <v>174</v>
      </c>
      <c r="G59" s="28"/>
      <c r="H59" s="29" t="s">
        <v>175</v>
      </c>
      <c r="I59" s="29"/>
      <c r="J59" s="30" t="s">
        <v>176</v>
      </c>
      <c r="K59" s="30"/>
      <c r="L59" s="7"/>
    </row>
    <row r="60" spans="1:12" ht="24" customHeight="1">
      <c r="A60" s="7"/>
      <c r="B60" s="31" t="s">
        <v>177</v>
      </c>
      <c r="C60" s="31"/>
      <c r="D60" s="32" t="s">
        <v>178</v>
      </c>
      <c r="E60" s="32"/>
      <c r="F60" s="33" t="s">
        <v>56</v>
      </c>
      <c r="G60" s="33"/>
      <c r="H60" s="27" t="s">
        <v>179</v>
      </c>
      <c r="I60" s="27"/>
      <c r="J60" s="7"/>
      <c r="K60" s="7"/>
      <c r="L60" s="7"/>
    </row>
    <row r="61" spans="1:12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</row>
    <row r="62" spans="1:1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</row>
    <row r="63" spans="1:12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</row>
    <row r="64" spans="1:12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</row>
    <row r="65" spans="1:12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</row>
    <row r="66" spans="1:12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</row>
    <row r="67" spans="1:12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</row>
    <row r="68" spans="1:12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</row>
    <row r="69" spans="1:12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</row>
    <row r="70" spans="1:12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</row>
    <row r="71" spans="1:12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</row>
    <row r="72" spans="1:1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</row>
  </sheetData>
  <autoFilter ref="B7:L47"/>
  <mergeCells count="30">
    <mergeCell ref="B2:I2"/>
    <mergeCell ref="B3:I3"/>
    <mergeCell ref="J3:L3"/>
    <mergeCell ref="B5:C5"/>
    <mergeCell ref="D5:E5"/>
    <mergeCell ref="F5:G5"/>
    <mergeCell ref="H5:I5"/>
    <mergeCell ref="J5:K5"/>
    <mergeCell ref="B49:D49"/>
    <mergeCell ref="B51:L51"/>
    <mergeCell ref="B52:L52"/>
    <mergeCell ref="B57:C57"/>
    <mergeCell ref="D57:E57"/>
    <mergeCell ref="F57:G57"/>
    <mergeCell ref="H57:I57"/>
    <mergeCell ref="J57:K57"/>
    <mergeCell ref="B58:C58"/>
    <mergeCell ref="D58:E58"/>
    <mergeCell ref="F58:G58"/>
    <mergeCell ref="H58:I58"/>
    <mergeCell ref="J58:K58"/>
    <mergeCell ref="B59:C59"/>
    <mergeCell ref="D59:E59"/>
    <mergeCell ref="F59:G59"/>
    <mergeCell ref="H59:I59"/>
    <mergeCell ref="J59:K59"/>
    <mergeCell ref="B60:C60"/>
    <mergeCell ref="D60:E60"/>
    <mergeCell ref="F60:G60"/>
    <mergeCell ref="H60:I60"/>
  </mergeCells>
  <conditionalFormatting sqref="C8:L47">
    <cfRule type="expression" dxfId="10" priority="4">
      <formula>$J8="✓"</formula>
    </cfRule>
  </conditionalFormatting>
  <conditionalFormatting sqref="G8:G47">
    <cfRule type="expression" dxfId="4" priority="2">
      <formula>AND($G8&gt;0,$J8&lt;&gt;"✓")</formula>
    </cfRule>
    <cfRule type="expression" dxfId="12" priority="3">
      <formula>AND($G8=0,$D8&lt;&gt;"")</formula>
    </cfRule>
  </conditionalFormatting>
  <conditionalFormatting sqref="J8:J47">
    <cfRule type="expression" dxfId="13" priority="1">
      <formula>$J8="✓"</formula>
    </cfRule>
  </conditionalFormatting>
  <dataValidations count="6">
    <dataValidation type="list" allowBlank="1" showInputMessage="1" promptTitle="Event ID" prompt="Which event needs this?" sqref="C8:C47">
      <formula1>EventList</formula1>
    </dataValidation>
    <dataValidation type="list" allowBlank="1" showInputMessage="1" promptTitle="Ingredient" prompt="Match the spelling on the 📦 Inventory tab so In stock and Est. cost can look themselves up." sqref="D8:D47">
      <formula1>OFFSET('📦 Inventory'!$C$8,0,0,MAX(1,COUNTA('📦 Inventory'!$C$8:$C$47)),1)</formula1>
    </dataValidation>
    <dataValidation type="list" allowBlank="1" showInputMessage="1" promptTitle="Supplier" sqref="H8:H47">
      <formula1>SuppliersList</formula1>
    </dataValidation>
    <dataValidation type="decimal" operator="greaterThanOrEqual" allowBlank="1" showInputMessage="1" showErrorMessage="1" promptTitle="Qty needed" prompt="How much does the event need?" sqref="E8:E47">
      <formula1>0</formula1>
    </dataValidation>
    <dataValidation type="list" allowBlank="1" showInputMessage="1" promptTitle="Tick it off" prompt="Pick ✓ from the dropdown to tick it off (leave blank for not yet)." sqref="J8:J47">
      <formula1>Tick</formula1>
    </dataValidation>
    <dataValidation type="date" errorStyle="warning" allowBlank="1" showInputMessage="1" showErrorMessage="1" errorTitle="That's not a date" error="Enter a date between 2000 and 2100." promptTitle="Date" prompt="Type a date, or pick one from the calendar picker." sqref="K8:K47">
      <formula1>36526</formula1>
      <formula2>73415</formula2>
    </dataValidation>
  </dataValidations>
  <hyperlinks>
    <hyperlink ref="J3" location="'📊 Dashboard'!A1" display="🏠  Back to Dashboard"/>
    <hyperlink ref="B57" location="'⚙️ Setup'!A1" display="Setup"/>
    <hyperlink ref="D57" location="'📊 Dashboard'!A1" display="🏠 Home"/>
    <hyperlink ref="F57" location="'👥 Clients'!A1" display="Clients"/>
    <hyperlink ref="H57" location="'📅 Events'!A1" display="Events"/>
    <hyperlink ref="J57" location="'🧮 Quote Calculator'!A1" display="Quote"/>
    <hyperlink ref="B58" location="'🍽️ Menu Costing'!A1" display="Menu"/>
    <hyperlink ref="D58" location="'📦 Inventory'!A1" display="Stock"/>
    <hyperlink ref="F58" location="'🛒 Shopping List'!A1" display="▶ Shop"/>
    <hyperlink ref="H58" location="'💸 Expenses'!A1" display="Expenses"/>
    <hyperlink ref="J58" location="'💰 Payments'!A1" display="Payments"/>
    <hyperlink ref="B59" location="'👷 Staff &amp; Labor'!A1" display="Staff"/>
    <hyperlink ref="D59" location="'🍳 Equipment'!A1" display="Equip"/>
    <hyperlink ref="F59" location="'🚚 Suppliers'!A1" display="Suppliers"/>
    <hyperlink ref="H59" location="'📆 Event Calendar'!A1" display="Calendar"/>
    <hyperlink ref="J59" location="'📈 P&amp;L &amp; Reports'!A1" display="P&amp;L"/>
    <hyperlink ref="B60" location="'🧾 Tax Tracker'!A1" display="Tax"/>
    <hyperlink ref="D60" location="'✅ Checklists'!A1" display="Checks"/>
    <hyperlink ref="F60" location="'🖨️ Invoice &amp; Proposal'!A1" display="Invoice"/>
    <hyperlink ref="H60" location="'📖 Start Here'!A1" display="Help"/>
  </hyperlinks>
  <pageMargins left="0.4" right="0.4" top="0.5" bottom="0.5" header="0.3" footer="0.3"/>
  <pageSetup paperSize="9" fitToHeight="0" orientation="landscape"/>
  <headerFooter>
    <oddHeader>&amp;L&amp;"Calibri,Bold"&amp;11Catering Business Manager&amp;R&amp;"Calibri,Italic"&amp;9Page &amp;P of &amp;N</oddHeader>
    <oddFooter>&amp;C&amp;"Calibri,Italic"&amp;8&amp;A  •  Ultimate Catering Business Spreadsheet v1.0  •  personal licence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AC2F2F"/>
    <pageSetUpPr fitToPage="1"/>
  </sheetPr>
  <dimension ref="A1:J92"/>
  <sheetViews>
    <sheetView showGridLines="0" zoomScale="90" zoomScaleNormal="90" workbookViewId="0">
      <pane ySplit="8" topLeftCell="A9" activePane="bottomLeft" state="frozen"/>
      <selection pane="bottomLeft"/>
    </sheetView>
  </sheetViews>
  <sheetFormatPr defaultRowHeight="15" x14ac:dyDescent="0.25"/>
  <cols>
    <col min="1" max="1" width="2.85546875" customWidth="1"/>
    <col min="2" max="2" width="5.28515625" customWidth="1"/>
    <col min="3" max="3" width="12.7109375" customWidth="1"/>
    <col min="4" max="4" width="20.7109375" customWidth="1"/>
    <col min="5" max="5" width="16.7109375" customWidth="1"/>
    <col min="6" max="6" width="34.7109375" customWidth="1"/>
    <col min="7" max="7" width="11.7109375" customWidth="1"/>
    <col min="8" max="8" width="14.7109375" customWidth="1"/>
    <col min="9" max="9" width="12.7109375" customWidth="1"/>
    <col min="10" max="10" width="14.7109375" customWidth="1"/>
  </cols>
  <sheetData>
    <row r="1" spans="1:10" ht="7" customHeight="1" x14ac:dyDescent="0.25">
      <c r="A1" s="7"/>
      <c r="B1" s="7"/>
      <c r="C1" s="7"/>
      <c r="D1" s="7"/>
      <c r="E1" s="7"/>
      <c r="F1" s="7"/>
      <c r="G1" s="7"/>
      <c r="H1" s="7"/>
      <c r="I1" s="7"/>
      <c r="J1" s="7"/>
    </row>
    <row r="2" spans="1:10" ht="30" customHeight="1" x14ac:dyDescent="0.25">
      <c r="A2" s="7"/>
      <c r="B2" s="8" t="s">
        <v>302</v>
      </c>
      <c r="C2" s="8"/>
      <c r="D2" s="8"/>
      <c r="E2" s="8"/>
      <c r="F2" s="8"/>
      <c r="G2" s="8"/>
      <c r="H2" s="7"/>
      <c r="I2" s="7"/>
      <c r="J2" s="7"/>
    </row>
    <row r="3" spans="1:10" ht="18" customHeight="1" x14ac:dyDescent="0.25">
      <c r="A3" s="7"/>
      <c r="B3" s="9" t="s">
        <v>303</v>
      </c>
      <c r="C3" s="9"/>
      <c r="D3" s="9"/>
      <c r="E3" s="9"/>
      <c r="F3" s="9"/>
      <c r="G3" s="9"/>
      <c r="H3" s="10" t="s">
        <v>97</v>
      </c>
      <c r="I3" s="10"/>
      <c r="J3" s="10"/>
    </row>
    <row r="4" spans="1:10" ht="7" customHeight="1" x14ac:dyDescent="0.25">
      <c r="A4" s="7"/>
      <c r="B4" s="7"/>
      <c r="C4" s="7"/>
      <c r="D4" s="7"/>
      <c r="E4" s="7"/>
      <c r="F4" s="7"/>
      <c r="G4" s="7"/>
      <c r="H4" s="7"/>
      <c r="I4" s="7"/>
      <c r="J4" s="7"/>
    </row>
    <row r="5" spans="1:10" ht="26" customHeight="1" x14ac:dyDescent="0.25">
      <c r="A5" s="7"/>
      <c r="B5" s="108" t="str">
        <f>"💸 Total expenses: "&amp;Currency&amp;TEXT('_Data'!$AF$3,"#,##0")</f>
        <v>Total expenses: $0</v>
      </c>
      <c r="C5" s="108"/>
      <c r="D5" s="115" t="str">
        <f>"📅 This month: "&amp;Currency&amp;TEXT(SUMIFS('💸 Expenses'!$G$8:$G$67,'💸 Expenses'!$C$8:$C$67,"&gt;="&amp;DATE(YEAR(TODAY()),MONTH(TODAY()),1),'💸 Expenses'!$C$8:$C$67,"&lt;"&amp;EDATE(DATE(YEAR(TODAY()),MONTH(TODAY()),1),1)),"#,##0")</f>
        <v>This month: $0</v>
      </c>
      <c r="E5" s="115"/>
      <c r="F5" s="75" t="str">
        <f>"🍳 Food + packaging: "&amp;Currency&amp;TEXT('_Data'!$AF$17,"#,##0")</f>
        <v>Food + packaging: $0</v>
      </c>
      <c r="G5" s="75"/>
      <c r="H5" s="121" t="str">
        <f>"👷 Staff / labor: "&amp;Currency&amp;TEXT('_Data'!$AF$18,"#,##0")</f>
        <v>Staff / labor: $0</v>
      </c>
      <c r="I5" s="121"/>
      <c r="J5" s="7"/>
    </row>
    <row r="6" spans="1:10" ht="7" customHeight="1" x14ac:dyDescent="0.25">
      <c r="A6" s="7"/>
      <c r="B6" s="7"/>
      <c r="C6" s="7"/>
      <c r="D6" s="7"/>
      <c r="E6" s="7"/>
      <c r="F6" s="7"/>
      <c r="G6" s="7"/>
      <c r="H6" s="7"/>
      <c r="I6" s="7"/>
      <c r="J6" s="7"/>
    </row>
    <row r="7" spans="1:10" ht="36" customHeight="1" x14ac:dyDescent="0.25">
      <c r="A7" s="7"/>
      <c r="B7" s="18" t="s">
        <v>203</v>
      </c>
      <c r="C7" s="18" t="s">
        <v>52</v>
      </c>
      <c r="D7" s="18" t="s">
        <v>304</v>
      </c>
      <c r="E7" s="18" t="s">
        <v>260</v>
      </c>
      <c r="F7" s="18" t="s">
        <v>305</v>
      </c>
      <c r="G7" s="18" t="s">
        <v>306</v>
      </c>
      <c r="H7" s="18" t="s">
        <v>307</v>
      </c>
      <c r="I7" s="18" t="s">
        <v>220</v>
      </c>
      <c r="J7" s="18" t="s">
        <v>308</v>
      </c>
    </row>
    <row r="8" spans="1:10" ht="20" customHeight="1" x14ac:dyDescent="0.25">
      <c r="A8" s="7"/>
      <c r="B8" s="78">
        <v>1</v>
      </c>
      <c r="C8" s="81"/>
      <c r="D8" s="79"/>
      <c r="E8" s="80"/>
      <c r="F8" s="79"/>
      <c r="G8" s="83"/>
      <c r="H8" s="80"/>
      <c r="I8" s="80"/>
      <c r="J8" s="118"/>
    </row>
    <row r="9" spans="1:10" ht="20" customHeight="1" x14ac:dyDescent="0.25">
      <c r="A9" s="7"/>
      <c r="B9" s="85">
        <v>2</v>
      </c>
      <c r="C9" s="88"/>
      <c r="D9" s="86"/>
      <c r="E9" s="87"/>
      <c r="F9" s="86"/>
      <c r="G9" s="90"/>
      <c r="H9" s="87"/>
      <c r="I9" s="87"/>
      <c r="J9" s="119"/>
    </row>
    <row r="10" spans="1:10" ht="20" customHeight="1" x14ac:dyDescent="0.25">
      <c r="A10" s="7"/>
      <c r="B10" s="78">
        <v>3</v>
      </c>
      <c r="C10" s="81"/>
      <c r="D10" s="79"/>
      <c r="E10" s="80"/>
      <c r="F10" s="79"/>
      <c r="G10" s="83"/>
      <c r="H10" s="80"/>
      <c r="I10" s="80"/>
      <c r="J10" s="118"/>
    </row>
    <row r="11" spans="1:10" ht="20" customHeight="1" x14ac:dyDescent="0.25">
      <c r="A11" s="7"/>
      <c r="B11" s="85">
        <v>4</v>
      </c>
      <c r="C11" s="88"/>
      <c r="D11" s="86"/>
      <c r="E11" s="87"/>
      <c r="F11" s="86"/>
      <c r="G11" s="90"/>
      <c r="H11" s="87"/>
      <c r="I11" s="87"/>
      <c r="J11" s="119"/>
    </row>
    <row r="12" spans="1:10" ht="20" customHeight="1" x14ac:dyDescent="0.25">
      <c r="A12" s="7"/>
      <c r="B12" s="78">
        <v>5</v>
      </c>
      <c r="C12" s="81"/>
      <c r="D12" s="79"/>
      <c r="E12" s="80"/>
      <c r="F12" s="79"/>
      <c r="G12" s="83"/>
      <c r="H12" s="80"/>
      <c r="I12" s="80"/>
      <c r="J12" s="118"/>
    </row>
    <row r="13" spans="1:10" ht="20" customHeight="1" x14ac:dyDescent="0.25">
      <c r="A13" s="7"/>
      <c r="B13" s="85">
        <v>6</v>
      </c>
      <c r="C13" s="88"/>
      <c r="D13" s="86"/>
      <c r="E13" s="87"/>
      <c r="F13" s="86"/>
      <c r="G13" s="90"/>
      <c r="H13" s="87"/>
      <c r="I13" s="87"/>
      <c r="J13" s="119"/>
    </row>
    <row r="14" spans="1:10" ht="20" customHeight="1" x14ac:dyDescent="0.25">
      <c r="A14" s="7"/>
      <c r="B14" s="78">
        <v>7</v>
      </c>
      <c r="C14" s="81"/>
      <c r="D14" s="79"/>
      <c r="E14" s="80"/>
      <c r="F14" s="79"/>
      <c r="G14" s="83"/>
      <c r="H14" s="80"/>
      <c r="I14" s="80"/>
      <c r="J14" s="118"/>
    </row>
    <row r="15" spans="1:10" ht="20" customHeight="1" x14ac:dyDescent="0.25">
      <c r="A15" s="7"/>
      <c r="B15" s="85">
        <v>8</v>
      </c>
      <c r="C15" s="88"/>
      <c r="D15" s="86"/>
      <c r="E15" s="87"/>
      <c r="F15" s="86"/>
      <c r="G15" s="90"/>
      <c r="H15" s="87"/>
      <c r="I15" s="87"/>
      <c r="J15" s="119"/>
    </row>
    <row r="16" spans="1:10" ht="20" customHeight="1" x14ac:dyDescent="0.25">
      <c r="A16" s="7"/>
      <c r="B16" s="78">
        <v>9</v>
      </c>
      <c r="C16" s="81"/>
      <c r="D16" s="79"/>
      <c r="E16" s="80"/>
      <c r="F16" s="79"/>
      <c r="G16" s="83"/>
      <c r="H16" s="80"/>
      <c r="I16" s="80"/>
      <c r="J16" s="118"/>
    </row>
    <row r="17" spans="1:10" ht="20" customHeight="1" x14ac:dyDescent="0.25">
      <c r="A17" s="7"/>
      <c r="B17" s="85">
        <v>10</v>
      </c>
      <c r="C17" s="88"/>
      <c r="D17" s="86"/>
      <c r="E17" s="87"/>
      <c r="F17" s="86"/>
      <c r="G17" s="90"/>
      <c r="H17" s="87"/>
      <c r="I17" s="87"/>
      <c r="J17" s="119"/>
    </row>
    <row r="18" spans="1:10" ht="20" customHeight="1" x14ac:dyDescent="0.25">
      <c r="A18" s="7"/>
      <c r="B18" s="78">
        <v>11</v>
      </c>
      <c r="C18" s="81"/>
      <c r="D18" s="79"/>
      <c r="E18" s="80"/>
      <c r="F18" s="79"/>
      <c r="G18" s="83"/>
      <c r="H18" s="80"/>
      <c r="I18" s="80"/>
      <c r="J18" s="118"/>
    </row>
    <row r="19" spans="1:10" ht="20" customHeight="1" x14ac:dyDescent="0.25">
      <c r="A19" s="7"/>
      <c r="B19" s="85">
        <v>12</v>
      </c>
      <c r="C19" s="88"/>
      <c r="D19" s="86"/>
      <c r="E19" s="87"/>
      <c r="F19" s="86"/>
      <c r="G19" s="90"/>
      <c r="H19" s="87"/>
      <c r="I19" s="87"/>
      <c r="J19" s="119"/>
    </row>
    <row r="20" spans="1:10" ht="20" customHeight="1" x14ac:dyDescent="0.25">
      <c r="A20" s="7"/>
      <c r="B20" s="78">
        <v>13</v>
      </c>
      <c r="C20" s="81"/>
      <c r="D20" s="79"/>
      <c r="E20" s="80"/>
      <c r="F20" s="79"/>
      <c r="G20" s="83"/>
      <c r="H20" s="80"/>
      <c r="I20" s="80"/>
      <c r="J20" s="118"/>
    </row>
    <row r="21" spans="1:10" ht="20" customHeight="1" x14ac:dyDescent="0.25">
      <c r="A21" s="7"/>
      <c r="B21" s="85">
        <v>14</v>
      </c>
      <c r="C21" s="88"/>
      <c r="D21" s="86"/>
      <c r="E21" s="87"/>
      <c r="F21" s="86"/>
      <c r="G21" s="90"/>
      <c r="H21" s="87"/>
      <c r="I21" s="87"/>
      <c r="J21" s="119"/>
    </row>
    <row r="22" spans="1:10" ht="20" customHeight="1" x14ac:dyDescent="0.25">
      <c r="A22" s="7"/>
      <c r="B22" s="78">
        <v>15</v>
      </c>
      <c r="C22" s="81"/>
      <c r="D22" s="79"/>
      <c r="E22" s="80"/>
      <c r="F22" s="79"/>
      <c r="G22" s="83"/>
      <c r="H22" s="80"/>
      <c r="I22" s="80"/>
      <c r="J22" s="118"/>
    </row>
    <row r="23" spans="1:10" ht="20" customHeight="1" x14ac:dyDescent="0.25">
      <c r="A23" s="7"/>
      <c r="B23" s="85">
        <v>16</v>
      </c>
      <c r="C23" s="88"/>
      <c r="D23" s="86"/>
      <c r="E23" s="87"/>
      <c r="F23" s="86"/>
      <c r="G23" s="90"/>
      <c r="H23" s="87"/>
      <c r="I23" s="87"/>
      <c r="J23" s="119"/>
    </row>
    <row r="24" spans="1:10" ht="20" customHeight="1" x14ac:dyDescent="0.25">
      <c r="A24" s="7"/>
      <c r="B24" s="78">
        <v>17</v>
      </c>
      <c r="C24" s="81"/>
      <c r="D24" s="79"/>
      <c r="E24" s="80"/>
      <c r="F24" s="79"/>
      <c r="G24" s="83"/>
      <c r="H24" s="80"/>
      <c r="I24" s="80"/>
      <c r="J24" s="118"/>
    </row>
    <row r="25" spans="1:10" ht="20" customHeight="1" x14ac:dyDescent="0.25">
      <c r="A25" s="7"/>
      <c r="B25" s="85">
        <v>18</v>
      </c>
      <c r="C25" s="88"/>
      <c r="D25" s="86"/>
      <c r="E25" s="87"/>
      <c r="F25" s="86"/>
      <c r="G25" s="90"/>
      <c r="H25" s="87"/>
      <c r="I25" s="87"/>
      <c r="J25" s="119"/>
    </row>
    <row r="26" spans="1:10" ht="20" customHeight="1" x14ac:dyDescent="0.25">
      <c r="A26" s="7"/>
      <c r="B26" s="78">
        <v>19</v>
      </c>
      <c r="C26" s="81"/>
      <c r="D26" s="79"/>
      <c r="E26" s="80"/>
      <c r="F26" s="79"/>
      <c r="G26" s="83"/>
      <c r="H26" s="80"/>
      <c r="I26" s="80"/>
      <c r="J26" s="118"/>
    </row>
    <row r="27" spans="1:10" ht="20" customHeight="1" x14ac:dyDescent="0.25">
      <c r="A27" s="7"/>
      <c r="B27" s="85">
        <v>20</v>
      </c>
      <c r="C27" s="88"/>
      <c r="D27" s="86"/>
      <c r="E27" s="87"/>
      <c r="F27" s="86"/>
      <c r="G27" s="90"/>
      <c r="H27" s="87"/>
      <c r="I27" s="87"/>
      <c r="J27" s="119"/>
    </row>
    <row r="28" spans="1:10" ht="20" customHeight="1" x14ac:dyDescent="0.25">
      <c r="A28" s="7"/>
      <c r="B28" s="78">
        <v>21</v>
      </c>
      <c r="C28" s="81"/>
      <c r="D28" s="79"/>
      <c r="E28" s="80"/>
      <c r="F28" s="79"/>
      <c r="G28" s="83"/>
      <c r="H28" s="80"/>
      <c r="I28" s="80"/>
      <c r="J28" s="118"/>
    </row>
    <row r="29" spans="1:10" ht="20" customHeight="1" x14ac:dyDescent="0.25">
      <c r="A29" s="7"/>
      <c r="B29" s="85">
        <v>22</v>
      </c>
      <c r="C29" s="88"/>
      <c r="D29" s="86"/>
      <c r="E29" s="87"/>
      <c r="F29" s="86"/>
      <c r="G29" s="90"/>
      <c r="H29" s="87"/>
      <c r="I29" s="87"/>
      <c r="J29" s="119"/>
    </row>
    <row r="30" spans="1:10" ht="20" customHeight="1" x14ac:dyDescent="0.25">
      <c r="A30" s="7"/>
      <c r="B30" s="78">
        <v>23</v>
      </c>
      <c r="C30" s="81"/>
      <c r="D30" s="79"/>
      <c r="E30" s="80"/>
      <c r="F30" s="79"/>
      <c r="G30" s="83"/>
      <c r="H30" s="80"/>
      <c r="I30" s="80"/>
      <c r="J30" s="118"/>
    </row>
    <row r="31" spans="1:10" ht="20" customHeight="1" x14ac:dyDescent="0.25">
      <c r="A31" s="7"/>
      <c r="B31" s="85">
        <v>24</v>
      </c>
      <c r="C31" s="88"/>
      <c r="D31" s="86"/>
      <c r="E31" s="87"/>
      <c r="F31" s="86"/>
      <c r="G31" s="90"/>
      <c r="H31" s="87"/>
      <c r="I31" s="87"/>
      <c r="J31" s="119"/>
    </row>
    <row r="32" spans="1:10" ht="20" customHeight="1" x14ac:dyDescent="0.25">
      <c r="A32" s="7"/>
      <c r="B32" s="78">
        <v>25</v>
      </c>
      <c r="C32" s="81"/>
      <c r="D32" s="79"/>
      <c r="E32" s="80"/>
      <c r="F32" s="79"/>
      <c r="G32" s="83"/>
      <c r="H32" s="80"/>
      <c r="I32" s="80"/>
      <c r="J32" s="118"/>
    </row>
    <row r="33" spans="1:10" ht="20" customHeight="1" x14ac:dyDescent="0.25">
      <c r="A33" s="7"/>
      <c r="B33" s="85">
        <v>26</v>
      </c>
      <c r="C33" s="88"/>
      <c r="D33" s="86"/>
      <c r="E33" s="87"/>
      <c r="F33" s="86"/>
      <c r="G33" s="90"/>
      <c r="H33" s="87"/>
      <c r="I33" s="87"/>
      <c r="J33" s="119"/>
    </row>
    <row r="34" spans="1:10" ht="20" customHeight="1" x14ac:dyDescent="0.25">
      <c r="A34" s="7"/>
      <c r="B34" s="78">
        <v>27</v>
      </c>
      <c r="C34" s="81"/>
      <c r="D34" s="79"/>
      <c r="E34" s="80"/>
      <c r="F34" s="79"/>
      <c r="G34" s="83"/>
      <c r="H34" s="80"/>
      <c r="I34" s="80"/>
      <c r="J34" s="118"/>
    </row>
    <row r="35" spans="1:10" ht="20" customHeight="1" x14ac:dyDescent="0.25">
      <c r="A35" s="7"/>
      <c r="B35" s="85">
        <v>28</v>
      </c>
      <c r="C35" s="88"/>
      <c r="D35" s="86"/>
      <c r="E35" s="87"/>
      <c r="F35" s="86"/>
      <c r="G35" s="90"/>
      <c r="H35" s="87"/>
      <c r="I35" s="87"/>
      <c r="J35" s="119"/>
    </row>
    <row r="36" spans="1:10" ht="20" customHeight="1" x14ac:dyDescent="0.25">
      <c r="A36" s="7"/>
      <c r="B36" s="78">
        <v>29</v>
      </c>
      <c r="C36" s="81"/>
      <c r="D36" s="79"/>
      <c r="E36" s="80"/>
      <c r="F36" s="79"/>
      <c r="G36" s="83"/>
      <c r="H36" s="80"/>
      <c r="I36" s="80"/>
      <c r="J36" s="118"/>
    </row>
    <row r="37" spans="1:10" ht="20" customHeight="1" x14ac:dyDescent="0.25">
      <c r="A37" s="7"/>
      <c r="B37" s="85">
        <v>30</v>
      </c>
      <c r="C37" s="88"/>
      <c r="D37" s="86"/>
      <c r="E37" s="87"/>
      <c r="F37" s="86"/>
      <c r="G37" s="90"/>
      <c r="H37" s="87"/>
      <c r="I37" s="87"/>
      <c r="J37" s="119"/>
    </row>
    <row r="38" spans="1:10" ht="20" customHeight="1" x14ac:dyDescent="0.25">
      <c r="A38" s="7"/>
      <c r="B38" s="78">
        <v>31</v>
      </c>
      <c r="C38" s="81"/>
      <c r="D38" s="79"/>
      <c r="E38" s="80"/>
      <c r="F38" s="79"/>
      <c r="G38" s="83"/>
      <c r="H38" s="80"/>
      <c r="I38" s="80"/>
      <c r="J38" s="118"/>
    </row>
    <row r="39" spans="1:10" ht="20" customHeight="1" x14ac:dyDescent="0.25">
      <c r="A39" s="7"/>
      <c r="B39" s="85">
        <v>32</v>
      </c>
      <c r="C39" s="88"/>
      <c r="D39" s="86"/>
      <c r="E39" s="87"/>
      <c r="F39" s="86"/>
      <c r="G39" s="90"/>
      <c r="H39" s="87"/>
      <c r="I39" s="87"/>
      <c r="J39" s="119"/>
    </row>
    <row r="40" spans="1:10" ht="20" customHeight="1" x14ac:dyDescent="0.25">
      <c r="A40" s="7"/>
      <c r="B40" s="78">
        <v>33</v>
      </c>
      <c r="C40" s="81"/>
      <c r="D40" s="79"/>
      <c r="E40" s="80"/>
      <c r="F40" s="79"/>
      <c r="G40" s="83"/>
      <c r="H40" s="80"/>
      <c r="I40" s="80"/>
      <c r="J40" s="118"/>
    </row>
    <row r="41" spans="1:10" ht="20" customHeight="1" x14ac:dyDescent="0.25">
      <c r="A41" s="7"/>
      <c r="B41" s="85">
        <v>34</v>
      </c>
      <c r="C41" s="88"/>
      <c r="D41" s="86"/>
      <c r="E41" s="87"/>
      <c r="F41" s="86"/>
      <c r="G41" s="90"/>
      <c r="H41" s="87"/>
      <c r="I41" s="87"/>
      <c r="J41" s="119"/>
    </row>
    <row r="42" spans="1:10" ht="20" customHeight="1" x14ac:dyDescent="0.25">
      <c r="A42" s="7"/>
      <c r="B42" s="78">
        <v>35</v>
      </c>
      <c r="C42" s="81"/>
      <c r="D42" s="79"/>
      <c r="E42" s="80"/>
      <c r="F42" s="79"/>
      <c r="G42" s="83"/>
      <c r="H42" s="80"/>
      <c r="I42" s="80"/>
      <c r="J42" s="118"/>
    </row>
    <row r="43" spans="1:10" ht="20" customHeight="1" x14ac:dyDescent="0.25">
      <c r="A43" s="7"/>
      <c r="B43" s="85">
        <v>36</v>
      </c>
      <c r="C43" s="88"/>
      <c r="D43" s="86"/>
      <c r="E43" s="87"/>
      <c r="F43" s="86"/>
      <c r="G43" s="90"/>
      <c r="H43" s="87"/>
      <c r="I43" s="87"/>
      <c r="J43" s="119"/>
    </row>
    <row r="44" spans="1:10" ht="20" customHeight="1" x14ac:dyDescent="0.25">
      <c r="A44" s="7"/>
      <c r="B44" s="78">
        <v>37</v>
      </c>
      <c r="C44" s="81"/>
      <c r="D44" s="79"/>
      <c r="E44" s="80"/>
      <c r="F44" s="79"/>
      <c r="G44" s="83"/>
      <c r="H44" s="80"/>
      <c r="I44" s="80"/>
      <c r="J44" s="118"/>
    </row>
    <row r="45" spans="1:10" ht="20" customHeight="1" x14ac:dyDescent="0.25">
      <c r="A45" s="7"/>
      <c r="B45" s="85">
        <v>38</v>
      </c>
      <c r="C45" s="88"/>
      <c r="D45" s="86"/>
      <c r="E45" s="87"/>
      <c r="F45" s="86"/>
      <c r="G45" s="90"/>
      <c r="H45" s="87"/>
      <c r="I45" s="87"/>
      <c r="J45" s="119"/>
    </row>
    <row r="46" spans="1:10" ht="20" customHeight="1" x14ac:dyDescent="0.25">
      <c r="A46" s="7"/>
      <c r="B46" s="78">
        <v>39</v>
      </c>
      <c r="C46" s="81"/>
      <c r="D46" s="79"/>
      <c r="E46" s="80"/>
      <c r="F46" s="79"/>
      <c r="G46" s="83"/>
      <c r="H46" s="80"/>
      <c r="I46" s="80"/>
      <c r="J46" s="118"/>
    </row>
    <row r="47" spans="1:10" ht="20" customHeight="1" x14ac:dyDescent="0.25">
      <c r="A47" s="7"/>
      <c r="B47" s="85">
        <v>40</v>
      </c>
      <c r="C47" s="88"/>
      <c r="D47" s="86"/>
      <c r="E47" s="87"/>
      <c r="F47" s="86"/>
      <c r="G47" s="90"/>
      <c r="H47" s="87"/>
      <c r="I47" s="87"/>
      <c r="J47" s="119"/>
    </row>
    <row r="48" spans="1:10" ht="20" customHeight="1" x14ac:dyDescent="0.25">
      <c r="A48" s="7"/>
      <c r="B48" s="78">
        <v>41</v>
      </c>
      <c r="C48" s="81"/>
      <c r="D48" s="79"/>
      <c r="E48" s="80"/>
      <c r="F48" s="79"/>
      <c r="G48" s="83"/>
      <c r="H48" s="80"/>
      <c r="I48" s="80"/>
      <c r="J48" s="118"/>
    </row>
    <row r="49" spans="1:10" ht="20" customHeight="1" x14ac:dyDescent="0.25">
      <c r="A49" s="7"/>
      <c r="B49" s="85">
        <v>42</v>
      </c>
      <c r="C49" s="88"/>
      <c r="D49" s="86"/>
      <c r="E49" s="87"/>
      <c r="F49" s="86"/>
      <c r="G49" s="90"/>
      <c r="H49" s="87"/>
      <c r="I49" s="87"/>
      <c r="J49" s="119"/>
    </row>
    <row r="50" spans="1:10" ht="20" customHeight="1" x14ac:dyDescent="0.25">
      <c r="A50" s="7"/>
      <c r="B50" s="78">
        <v>43</v>
      </c>
      <c r="C50" s="81"/>
      <c r="D50" s="79"/>
      <c r="E50" s="80"/>
      <c r="F50" s="79"/>
      <c r="G50" s="83"/>
      <c r="H50" s="80"/>
      <c r="I50" s="80"/>
      <c r="J50" s="118"/>
    </row>
    <row r="51" spans="1:10" ht="20" customHeight="1" x14ac:dyDescent="0.25">
      <c r="A51" s="7"/>
      <c r="B51" s="85">
        <v>44</v>
      </c>
      <c r="C51" s="88"/>
      <c r="D51" s="86"/>
      <c r="E51" s="87"/>
      <c r="F51" s="86"/>
      <c r="G51" s="90"/>
      <c r="H51" s="87"/>
      <c r="I51" s="87"/>
      <c r="J51" s="119"/>
    </row>
    <row r="52" spans="1:10" ht="20" customHeight="1" x14ac:dyDescent="0.25">
      <c r="A52" s="7"/>
      <c r="B52" s="78">
        <v>45</v>
      </c>
      <c r="C52" s="81"/>
      <c r="D52" s="79"/>
      <c r="E52" s="80"/>
      <c r="F52" s="79"/>
      <c r="G52" s="83"/>
      <c r="H52" s="80"/>
      <c r="I52" s="80"/>
      <c r="J52" s="118"/>
    </row>
    <row r="53" spans="1:10" ht="20" customHeight="1" x14ac:dyDescent="0.25">
      <c r="A53" s="7"/>
      <c r="B53" s="85">
        <v>46</v>
      </c>
      <c r="C53" s="88"/>
      <c r="D53" s="86"/>
      <c r="E53" s="87"/>
      <c r="F53" s="86"/>
      <c r="G53" s="90"/>
      <c r="H53" s="87"/>
      <c r="I53" s="87"/>
      <c r="J53" s="119"/>
    </row>
    <row r="54" spans="1:10" ht="20" customHeight="1" x14ac:dyDescent="0.25">
      <c r="A54" s="7"/>
      <c r="B54" s="78">
        <v>47</v>
      </c>
      <c r="C54" s="81"/>
      <c r="D54" s="79"/>
      <c r="E54" s="80"/>
      <c r="F54" s="79"/>
      <c r="G54" s="83"/>
      <c r="H54" s="80"/>
      <c r="I54" s="80"/>
      <c r="J54" s="118"/>
    </row>
    <row r="55" spans="1:10" ht="20" customHeight="1" x14ac:dyDescent="0.25">
      <c r="A55" s="7"/>
      <c r="B55" s="85">
        <v>48</v>
      </c>
      <c r="C55" s="88"/>
      <c r="D55" s="86"/>
      <c r="E55" s="87"/>
      <c r="F55" s="86"/>
      <c r="G55" s="90"/>
      <c r="H55" s="87"/>
      <c r="I55" s="87"/>
      <c r="J55" s="119"/>
    </row>
    <row r="56" spans="1:10" ht="20" customHeight="1" x14ac:dyDescent="0.25">
      <c r="A56" s="7"/>
      <c r="B56" s="78">
        <v>49</v>
      </c>
      <c r="C56" s="81"/>
      <c r="D56" s="79"/>
      <c r="E56" s="80"/>
      <c r="F56" s="79"/>
      <c r="G56" s="83"/>
      <c r="H56" s="80"/>
      <c r="I56" s="80"/>
      <c r="J56" s="118"/>
    </row>
    <row r="57" spans="1:10" ht="20" customHeight="1" x14ac:dyDescent="0.25">
      <c r="A57" s="7"/>
      <c r="B57" s="85">
        <v>50</v>
      </c>
      <c r="C57" s="88"/>
      <c r="D57" s="86"/>
      <c r="E57" s="87"/>
      <c r="F57" s="86"/>
      <c r="G57" s="90"/>
      <c r="H57" s="87"/>
      <c r="I57" s="87"/>
      <c r="J57" s="119"/>
    </row>
    <row r="58" spans="1:10" ht="20" customHeight="1" x14ac:dyDescent="0.25">
      <c r="A58" s="7"/>
      <c r="B58" s="78">
        <v>51</v>
      </c>
      <c r="C58" s="81"/>
      <c r="D58" s="79"/>
      <c r="E58" s="80"/>
      <c r="F58" s="79"/>
      <c r="G58" s="83"/>
      <c r="H58" s="80"/>
      <c r="I58" s="80"/>
      <c r="J58" s="118"/>
    </row>
    <row r="59" spans="1:10" ht="20" customHeight="1" x14ac:dyDescent="0.25">
      <c r="A59" s="7"/>
      <c r="B59" s="85">
        <v>52</v>
      </c>
      <c r="C59" s="88"/>
      <c r="D59" s="86"/>
      <c r="E59" s="87"/>
      <c r="F59" s="86"/>
      <c r="G59" s="90"/>
      <c r="H59" s="87"/>
      <c r="I59" s="87"/>
      <c r="J59" s="119"/>
    </row>
    <row r="60" spans="1:10" ht="20" customHeight="1" x14ac:dyDescent="0.25">
      <c r="A60" s="7"/>
      <c r="B60" s="78">
        <v>53</v>
      </c>
      <c r="C60" s="81"/>
      <c r="D60" s="79"/>
      <c r="E60" s="80"/>
      <c r="F60" s="79"/>
      <c r="G60" s="83"/>
      <c r="H60" s="80"/>
      <c r="I60" s="80"/>
      <c r="J60" s="118"/>
    </row>
    <row r="61" spans="1:10" ht="20" customHeight="1" x14ac:dyDescent="0.25">
      <c r="A61" s="7"/>
      <c r="B61" s="85">
        <v>54</v>
      </c>
      <c r="C61" s="88"/>
      <c r="D61" s="86"/>
      <c r="E61" s="87"/>
      <c r="F61" s="86"/>
      <c r="G61" s="90"/>
      <c r="H61" s="87"/>
      <c r="I61" s="87"/>
      <c r="J61" s="119"/>
    </row>
    <row r="62" spans="1:10" ht="20" customHeight="1" x14ac:dyDescent="0.25">
      <c r="A62" s="7"/>
      <c r="B62" s="78">
        <v>55</v>
      </c>
      <c r="C62" s="81"/>
      <c r="D62" s="79"/>
      <c r="E62" s="80"/>
      <c r="F62" s="79"/>
      <c r="G62" s="83"/>
      <c r="H62" s="80"/>
      <c r="I62" s="80"/>
      <c r="J62" s="118"/>
    </row>
    <row r="63" spans="1:10" ht="20" customHeight="1" x14ac:dyDescent="0.25">
      <c r="A63" s="7"/>
      <c r="B63" s="85">
        <v>56</v>
      </c>
      <c r="C63" s="88"/>
      <c r="D63" s="86"/>
      <c r="E63" s="87"/>
      <c r="F63" s="86"/>
      <c r="G63" s="90"/>
      <c r="H63" s="87"/>
      <c r="I63" s="87"/>
      <c r="J63" s="119"/>
    </row>
    <row r="64" spans="1:10" ht="20" customHeight="1" x14ac:dyDescent="0.25">
      <c r="A64" s="7"/>
      <c r="B64" s="78">
        <v>57</v>
      </c>
      <c r="C64" s="81"/>
      <c r="D64" s="79"/>
      <c r="E64" s="80"/>
      <c r="F64" s="79"/>
      <c r="G64" s="83"/>
      <c r="H64" s="80"/>
      <c r="I64" s="80"/>
      <c r="J64" s="118"/>
    </row>
    <row r="65" spans="1:10" ht="20" customHeight="1" x14ac:dyDescent="0.25">
      <c r="A65" s="7"/>
      <c r="B65" s="85">
        <v>58</v>
      </c>
      <c r="C65" s="88"/>
      <c r="D65" s="86"/>
      <c r="E65" s="87"/>
      <c r="F65" s="86"/>
      <c r="G65" s="90"/>
      <c r="H65" s="87"/>
      <c r="I65" s="87"/>
      <c r="J65" s="119"/>
    </row>
    <row r="66" spans="1:10" ht="20" customHeight="1" x14ac:dyDescent="0.25">
      <c r="A66" s="7"/>
      <c r="B66" s="78">
        <v>59</v>
      </c>
      <c r="C66" s="81"/>
      <c r="D66" s="79"/>
      <c r="E66" s="80"/>
      <c r="F66" s="79"/>
      <c r="G66" s="83"/>
      <c r="H66" s="80"/>
      <c r="I66" s="80"/>
      <c r="J66" s="118"/>
    </row>
    <row r="67" spans="1:10" ht="20" customHeight="1" x14ac:dyDescent="0.25">
      <c r="A67" s="7"/>
      <c r="B67" s="85">
        <v>60</v>
      </c>
      <c r="C67" s="88"/>
      <c r="D67" s="86"/>
      <c r="E67" s="87"/>
      <c r="F67" s="86"/>
      <c r="G67" s="90"/>
      <c r="H67" s="87"/>
      <c r="I67" s="87"/>
      <c r="J67" s="119"/>
    </row>
    <row r="68" spans="1:10" x14ac:dyDescent="0.25">
      <c r="A68" s="7"/>
      <c r="B68" s="7"/>
      <c r="C68" s="7"/>
      <c r="D68" s="7"/>
      <c r="E68" s="7"/>
      <c r="F68" s="7"/>
      <c r="G68" s="7"/>
      <c r="H68" s="7"/>
      <c r="I68" s="7"/>
      <c r="J68" s="7"/>
    </row>
    <row r="69" spans="1:10" ht="24" customHeight="1" x14ac:dyDescent="0.25">
      <c r="A69" s="7"/>
      <c r="B69" s="91" t="s">
        <v>309</v>
      </c>
      <c r="C69" s="91"/>
      <c r="D69" s="91"/>
      <c r="E69" s="91"/>
      <c r="F69" s="91"/>
      <c r="G69" s="94">
        <f>SUM($G$8:$G$67)</f>
        <v>0</v>
      </c>
      <c r="H69" s="93"/>
      <c r="I69" s="93"/>
      <c r="J69" s="93"/>
    </row>
    <row r="70" spans="1:10" x14ac:dyDescent="0.25">
      <c r="A70" s="7"/>
      <c r="B70" s="7"/>
      <c r="C70" s="7"/>
      <c r="D70" s="7"/>
      <c r="E70" s="7"/>
      <c r="F70" s="7"/>
      <c r="G70" s="7"/>
      <c r="H70" s="7"/>
      <c r="I70" s="7"/>
      <c r="J70" s="7"/>
    </row>
    <row r="71" spans="1:10" ht="22" customHeight="1" x14ac:dyDescent="0.25">
      <c r="A71" s="7"/>
      <c r="B71" s="66" t="s">
        <v>215</v>
      </c>
      <c r="C71" s="66"/>
      <c r="D71" s="66"/>
      <c r="E71" s="66"/>
      <c r="F71" s="66"/>
      <c r="G71" s="66"/>
      <c r="H71" s="66"/>
      <c r="I71" s="66"/>
      <c r="J71" s="66"/>
    </row>
    <row r="72" spans="1:10" ht="51.8" customHeight="1" x14ac:dyDescent="0.25">
      <c r="A72" s="7"/>
      <c r="B72" s="21" t="s">
        <v>310</v>
      </c>
      <c r="C72" s="21"/>
      <c r="D72" s="21"/>
      <c r="E72" s="21"/>
      <c r="F72" s="21"/>
      <c r="G72" s="21"/>
      <c r="H72" s="21"/>
      <c r="I72" s="21"/>
      <c r="J72" s="21"/>
    </row>
    <row r="73" spans="1:10" x14ac:dyDescent="0.25">
      <c r="A73" s="7"/>
      <c r="B73" s="7"/>
      <c r="C73" s="7"/>
      <c r="D73" s="7"/>
      <c r="E73" s="7"/>
      <c r="F73" s="7"/>
      <c r="G73" s="7"/>
      <c r="H73" s="7"/>
      <c r="I73" s="7"/>
      <c r="J73" s="7"/>
    </row>
    <row r="74" spans="1:10" x14ac:dyDescent="0.25">
      <c r="A74" s="7"/>
      <c r="B74" s="7"/>
      <c r="C74" s="7"/>
      <c r="D74" s="7"/>
      <c r="E74" s="7"/>
      <c r="F74" s="7"/>
      <c r="G74" s="7"/>
      <c r="H74" s="7"/>
      <c r="I74" s="7"/>
      <c r="J74" s="7"/>
    </row>
    <row r="75" spans="1:10" x14ac:dyDescent="0.25">
      <c r="A75" s="7"/>
      <c r="B75" s="7"/>
      <c r="C75" s="7"/>
      <c r="D75" s="7"/>
      <c r="E75" s="7"/>
      <c r="F75" s="7"/>
      <c r="G75" s="7"/>
      <c r="H75" s="7"/>
      <c r="I75" s="7"/>
      <c r="J75" s="7"/>
    </row>
    <row r="76" spans="1:10" x14ac:dyDescent="0.25">
      <c r="A76" s="7"/>
      <c r="B76" s="7"/>
      <c r="C76" s="7"/>
      <c r="D76" s="7"/>
      <c r="E76" s="7"/>
      <c r="F76" s="7"/>
      <c r="G76" s="7"/>
      <c r="H76" s="7"/>
      <c r="I76" s="7"/>
      <c r="J76" s="7"/>
    </row>
    <row r="77" spans="1:10" ht="24" customHeight="1" x14ac:dyDescent="0.25">
      <c r="A77" s="7"/>
      <c r="B77" s="26" t="s">
        <v>199</v>
      </c>
      <c r="C77" s="26"/>
      <c r="D77" s="27" t="s">
        <v>165</v>
      </c>
      <c r="E77" s="27"/>
      <c r="F77" s="28" t="s">
        <v>166</v>
      </c>
      <c r="G77" s="28"/>
      <c r="H77" s="29" t="s">
        <v>4</v>
      </c>
      <c r="I77" s="29"/>
      <c r="J77" s="7"/>
    </row>
    <row r="78" spans="1:10" ht="24" customHeight="1" x14ac:dyDescent="0.25">
      <c r="A78" s="7"/>
      <c r="B78" s="30" t="s">
        <v>167</v>
      </c>
      <c r="C78" s="30"/>
      <c r="D78" s="31" t="s">
        <v>168</v>
      </c>
      <c r="E78" s="31"/>
      <c r="F78" s="32" t="s">
        <v>169</v>
      </c>
      <c r="G78" s="32"/>
      <c r="H78" s="33" t="s">
        <v>170</v>
      </c>
      <c r="I78" s="33"/>
      <c r="J78" s="7"/>
    </row>
    <row r="79" spans="1:10" ht="24" customHeight="1" x14ac:dyDescent="0.25">
      <c r="A79" s="7"/>
      <c r="B79" s="27" t="s">
        <v>311</v>
      </c>
      <c r="C79" s="27"/>
      <c r="D79" s="29" t="s">
        <v>171</v>
      </c>
      <c r="E79" s="29"/>
      <c r="F79" s="26" t="s">
        <v>172</v>
      </c>
      <c r="G79" s="26"/>
      <c r="H79" s="27" t="s">
        <v>173</v>
      </c>
      <c r="I79" s="27"/>
      <c r="J79" s="7"/>
    </row>
    <row r="80" spans="1:10" ht="24" customHeight="1" x14ac:dyDescent="0.25">
      <c r="A80" s="7"/>
      <c r="B80" s="28" t="s">
        <v>174</v>
      </c>
      <c r="C80" s="28"/>
      <c r="D80" s="29" t="s">
        <v>175</v>
      </c>
      <c r="E80" s="29"/>
      <c r="F80" s="30" t="s">
        <v>176</v>
      </c>
      <c r="G80" s="30"/>
      <c r="H80" s="31" t="s">
        <v>177</v>
      </c>
      <c r="I80" s="31"/>
      <c r="J80" s="7"/>
    </row>
    <row r="81" spans="1:10" ht="24" customHeight="1" x14ac:dyDescent="0.25">
      <c r="A81" s="7"/>
      <c r="B81" s="32" t="s">
        <v>178</v>
      </c>
      <c r="C81" s="32"/>
      <c r="D81" s="33" t="s">
        <v>56</v>
      </c>
      <c r="E81" s="33"/>
      <c r="F81" s="27" t="s">
        <v>179</v>
      </c>
      <c r="G81" s="27"/>
      <c r="H81" s="7"/>
      <c r="I81" s="7"/>
      <c r="J81" s="7"/>
    </row>
    <row r="82" spans="1:10" x14ac:dyDescent="0.25">
      <c r="A82" s="7"/>
      <c r="B82" s="7"/>
      <c r="C82" s="7"/>
      <c r="D82" s="7"/>
      <c r="E82" s="7"/>
      <c r="F82" s="7"/>
      <c r="G82" s="7"/>
      <c r="H82" s="7"/>
      <c r="I82" s="7"/>
      <c r="J82" s="7"/>
    </row>
    <row r="83" spans="1:10" x14ac:dyDescent="0.25">
      <c r="A83" s="7"/>
      <c r="B83" s="7"/>
      <c r="C83" s="7"/>
      <c r="D83" s="7"/>
      <c r="E83" s="7"/>
      <c r="F83" s="7"/>
      <c r="G83" s="7"/>
      <c r="H83" s="7"/>
      <c r="I83" s="7"/>
      <c r="J83" s="7"/>
    </row>
    <row r="84" spans="1:10" x14ac:dyDescent="0.25">
      <c r="A84" s="7"/>
      <c r="B84" s="7"/>
      <c r="C84" s="7"/>
      <c r="D84" s="7"/>
      <c r="E84" s="7"/>
      <c r="F84" s="7"/>
      <c r="G84" s="7"/>
      <c r="H84" s="7"/>
      <c r="I84" s="7"/>
      <c r="J84" s="7"/>
    </row>
    <row r="85" spans="1:10" x14ac:dyDescent="0.25">
      <c r="A85" s="7"/>
      <c r="B85" s="7"/>
      <c r="C85" s="7"/>
      <c r="D85" s="7"/>
      <c r="E85" s="7"/>
      <c r="F85" s="7"/>
      <c r="G85" s="7"/>
      <c r="H85" s="7"/>
      <c r="I85" s="7"/>
      <c r="J85" s="7"/>
    </row>
    <row r="86" spans="1:10" x14ac:dyDescent="0.25">
      <c r="A86" s="7"/>
      <c r="B86" s="7"/>
      <c r="C86" s="7"/>
      <c r="D86" s="7"/>
      <c r="E86" s="7"/>
      <c r="F86" s="7"/>
      <c r="G86" s="7"/>
      <c r="H86" s="7"/>
      <c r="I86" s="7"/>
      <c r="J86" s="7"/>
    </row>
    <row r="87" spans="1:10" x14ac:dyDescent="0.25">
      <c r="A87" s="7"/>
      <c r="B87" s="7"/>
      <c r="C87" s="7"/>
      <c r="D87" s="7"/>
      <c r="E87" s="7"/>
      <c r="F87" s="7"/>
      <c r="G87" s="7"/>
      <c r="H87" s="7"/>
      <c r="I87" s="7"/>
      <c r="J87" s="7"/>
    </row>
    <row r="88" spans="1:10" x14ac:dyDescent="0.25">
      <c r="A88" s="7"/>
      <c r="B88" s="7"/>
      <c r="C88" s="7"/>
      <c r="D88" s="7"/>
      <c r="E88" s="7"/>
      <c r="F88" s="7"/>
      <c r="G88" s="7"/>
      <c r="H88" s="7"/>
      <c r="I88" s="7"/>
      <c r="J88" s="7"/>
    </row>
    <row r="89" spans="1:10" x14ac:dyDescent="0.25">
      <c r="A89" s="7"/>
      <c r="B89" s="7"/>
      <c r="C89" s="7"/>
      <c r="D89" s="7"/>
      <c r="E89" s="7"/>
      <c r="F89" s="7"/>
      <c r="G89" s="7"/>
      <c r="H89" s="7"/>
      <c r="I89" s="7"/>
      <c r="J89" s="7"/>
    </row>
    <row r="90" spans="1:10" x14ac:dyDescent="0.25">
      <c r="A90" s="7"/>
      <c r="B90" s="7"/>
      <c r="C90" s="7"/>
      <c r="D90" s="7"/>
      <c r="E90" s="7"/>
      <c r="F90" s="7"/>
      <c r="G90" s="7"/>
      <c r="H90" s="7"/>
      <c r="I90" s="7"/>
      <c r="J90" s="7"/>
    </row>
    <row r="91" spans="1:10" x14ac:dyDescent="0.25">
      <c r="A91" s="7"/>
      <c r="B91" s="7"/>
      <c r="C91" s="7"/>
      <c r="D91" s="7"/>
      <c r="E91" s="7"/>
      <c r="F91" s="7"/>
      <c r="G91" s="7"/>
      <c r="H91" s="7"/>
      <c r="I91" s="7"/>
      <c r="J91" s="7"/>
    </row>
    <row r="92" spans="1:10" x14ac:dyDescent="0.25">
      <c r="A92" s="7"/>
      <c r="B92" s="7"/>
      <c r="C92" s="7"/>
      <c r="D92" s="7"/>
      <c r="E92" s="7"/>
      <c r="F92" s="7"/>
      <c r="G92" s="7"/>
      <c r="H92" s="7"/>
      <c r="I92" s="7"/>
      <c r="J92" s="7"/>
    </row>
  </sheetData>
  <autoFilter ref="B7:J67"/>
  <mergeCells count="29">
    <mergeCell ref="B2:G2"/>
    <mergeCell ref="B3:G3"/>
    <mergeCell ref="H3:J3"/>
    <mergeCell ref="B5:C5"/>
    <mergeCell ref="D5:E5"/>
    <mergeCell ref="F5:G5"/>
    <mergeCell ref="H5:I5"/>
    <mergeCell ref="B69:F69"/>
    <mergeCell ref="B71:J71"/>
    <mergeCell ref="B72:J72"/>
    <mergeCell ref="B77:C77"/>
    <mergeCell ref="D77:E77"/>
    <mergeCell ref="F77:G77"/>
    <mergeCell ref="H77:I77"/>
    <mergeCell ref="B78:C78"/>
    <mergeCell ref="D78:E78"/>
    <mergeCell ref="F78:G78"/>
    <mergeCell ref="H78:I78"/>
    <mergeCell ref="B79:C79"/>
    <mergeCell ref="D79:E79"/>
    <mergeCell ref="F79:G79"/>
    <mergeCell ref="H79:I79"/>
    <mergeCell ref="B80:C80"/>
    <mergeCell ref="D80:E80"/>
    <mergeCell ref="F80:G80"/>
    <mergeCell ref="H80:I80"/>
    <mergeCell ref="B81:C81"/>
    <mergeCell ref="D81:E81"/>
    <mergeCell ref="F81:G81"/>
  </mergeCells>
  <conditionalFormatting sqref="G8:G67">
    <cfRule type="dataBar" priority="2">
      <dataBar>
        <cfvo type="num" val="0"/>
        <cfvo type="num" val="1"/>
        <color rgb="FFB4652F"/>
      </dataBar>
      <extLst>
        <ext xmlns:x14="http://schemas.microsoft.com/office/spreadsheetml/2009/9/main" uri="{B025F937-C7B1-47D3-B67F-A62EFF666E3E}">
          <x14:id>{DA7ABA51-AAAA-BBBB-000A-000000000001}</x14:id>
        </ext>
      </extLst>
    </cfRule>
  </conditionalFormatting>
  <conditionalFormatting sqref="J8:J67">
    <cfRule type="expression" dxfId="13" priority="1">
      <formula>$J8="✓"</formula>
    </cfRule>
    <cfRule type="expression" dxfId="4" priority="3">
      <formula>AND($G8&lt;&gt;"",$J8&lt;&gt;"✓")</formula>
    </cfRule>
  </conditionalFormatting>
  <dataValidations count="6">
    <dataValidation type="date" errorStyle="warning" allowBlank="1" showInputMessage="1" showErrorMessage="1" errorTitle="That's not a date" error="Enter a date between 2000 and 2100." promptTitle="Date" prompt="Type a date, or pick one from the calendar picker." sqref="C8:C67">
      <formula1>36526</formula1>
      <formula2>73415</formula2>
    </dataValidation>
    <dataValidation type="list" allowBlank="1" showInputMessage="1" showErrorMessage="1" errorTitle="Pick from the list" error="Pick a category (or add your own on Setup first)." promptTitle="Category" prompt="The eleven built-in categories - editable on ⚙️ Setup." sqref="E8:E67">
      <formula1>ExpenseCategories</formula1>
    </dataValidation>
    <dataValidation type="list" allowBlank="1" showInputMessage="1" promptTitle="Paid by" sqref="H8:H67">
      <formula1>PaymentMethods</formula1>
    </dataValidation>
    <dataValidation type="decimal" operator="greaterThanOrEqual" errorStyle="warning" allowBlank="1" showInputMessage="1" showErrorMessage="1" errorTitle="Enter money" error="Please enter a positive number (no currency symbol) - the symbol comes from Setup." sqref="G8:G67">
      <formula1>0</formula1>
    </dataValidation>
    <dataValidation type="list" allowBlank="1" showInputMessage="1" promptTitle="Event ID" prompt="Optional: tie this expense to an event." sqref="I8:I67">
      <formula1>EventList</formula1>
    </dataValidation>
    <dataValidation type="list" allowBlank="1" showInputMessage="1" promptTitle="Tick it off" prompt="Pick ✓ from the dropdown to tick it off (leave blank for not yet)." sqref="J8:J67">
      <formula1>Tick</formula1>
    </dataValidation>
  </dataValidations>
  <hyperlinks>
    <hyperlink ref="H3" location="'📊 Dashboard'!A1" display="🏠  Back to Dashboard"/>
    <hyperlink ref="B77" location="'⚙️ Setup'!A1" display="Setup"/>
    <hyperlink ref="D77" location="'📊 Dashboard'!A1" display="🏠 Home"/>
    <hyperlink ref="F77" location="'👥 Clients'!A1" display="Clients"/>
    <hyperlink ref="H77" location="'📅 Events'!A1" display="Events"/>
    <hyperlink ref="B78" location="'🧮 Quote Calculator'!A1" display="Quote"/>
    <hyperlink ref="D78" location="'🍽️ Menu Costing'!A1" display="Menu"/>
    <hyperlink ref="F78" location="'📦 Inventory'!A1" display="Stock"/>
    <hyperlink ref="H78" location="'🛒 Shopping List'!A1" display="Shop"/>
    <hyperlink ref="B79" location="'💸 Expenses'!A1" display="▶ Expenses"/>
    <hyperlink ref="D79" location="'💰 Payments'!A1" display="Payments"/>
    <hyperlink ref="F79" location="'👷 Staff &amp; Labor'!A1" display="Staff"/>
    <hyperlink ref="H79" location="'🍳 Equipment'!A1" display="Equip"/>
    <hyperlink ref="B80" location="'🚚 Suppliers'!A1" display="Suppliers"/>
    <hyperlink ref="D80" location="'📆 Event Calendar'!A1" display="Calendar"/>
    <hyperlink ref="F80" location="'📈 P&amp;L &amp; Reports'!A1" display="P&amp;L"/>
    <hyperlink ref="H80" location="'🧾 Tax Tracker'!A1" display="Tax"/>
    <hyperlink ref="B81" location="'✅ Checklists'!A1" display="Checks"/>
    <hyperlink ref="D81" location="'🖨️ Invoice &amp; Proposal'!A1" display="Invoice"/>
    <hyperlink ref="F81" location="'📖 Start Here'!A1" display="Help"/>
  </hyperlinks>
  <pageMargins left="0.4" right="0.4" top="0.5" bottom="0.5" header="0.3" footer="0.3"/>
  <pageSetup paperSize="9" fitToHeight="0" orientation="landscape"/>
  <headerFooter>
    <oddHeader>&amp;L&amp;"Calibri,Bold"&amp;11Catering Business Manager&amp;R&amp;"Calibri,Italic"&amp;9Page &amp;P of &amp;N</oddHeader>
    <oddFooter>&amp;C&amp;"Calibri,Italic"&amp;8&amp;A  •  Ultimate Catering Business Spreadsheet v1.0  •  personal licence</oddFoot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A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B4652F"/>
              <x14:negativeFillColor rgb="FFFF0000"/>
              <x14:negativeBorderColor rgb="FFFF0000"/>
              <x14:axisColor rgb="FF000000"/>
            </x14:dataBar>
          </x14:cfRule>
          <xm:sqref>G8:G67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4C7A4C"/>
    <pageSetUpPr fitToPage="1"/>
  </sheetPr>
  <dimension ref="A1:M92"/>
  <sheetViews>
    <sheetView showGridLines="0" zoomScale="90" zoomScaleNormal="90" workbookViewId="0">
      <pane xSplit="3" ySplit="8" topLeftCell="D9" activePane="bottomRight" state="frozen"/>
      <selection pane="topRight" activeCell="D1" sqref="D1"/>
      <selection pane="bottomLeft" activeCell="A9" sqref="A9"/>
      <selection pane="bottomRight"/>
    </sheetView>
  </sheetViews>
  <sheetFormatPr defaultRowHeight="15"/>
  <cols>
    <col min="1" max="1" width="2.85546875" customWidth="1"/>
    <col min="2" max="2" width="5.28515625" customWidth="1"/>
    <col min="3" max="3" width="12.7109375" customWidth="1"/>
    <col min="4" max="4" width="20.7109375" customWidth="1"/>
    <col min="5" max="5" width="12.7109375" customWidth="1"/>
    <col min="6" max="6" width="12.7109375" customWidth="1"/>
    <col min="7" max="7" width="11.7109375" customWidth="1"/>
    <col min="8" max="8" width="11.7109375" customWidth="1"/>
    <col min="9" max="9" width="11.7109375" customWidth="1"/>
    <col min="10" max="10" width="12.7109375" customWidth="1"/>
    <col min="11" max="11" width="12.7109375" customWidth="1"/>
    <col min="12" max="12" width="12.7109375" customWidth="1"/>
    <col min="13" max="13" width="15.7109375" customWidth="1"/>
  </cols>
  <sheetData>
    <row r="1" spans="1:13" ht="7" customHeight="1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13" ht="30" customHeight="1">
      <c r="A2" s="7"/>
      <c r="B2" s="8" t="s">
        <v>312</v>
      </c>
      <c r="C2" s="8"/>
      <c r="D2" s="8"/>
      <c r="E2" s="8"/>
      <c r="F2" s="8"/>
      <c r="G2" s="8"/>
      <c r="H2" s="8"/>
      <c r="I2" s="8"/>
      <c r="J2" s="8"/>
      <c r="K2" s="7"/>
      <c r="L2" s="7"/>
      <c r="M2" s="7"/>
    </row>
    <row r="3" spans="1:13" ht="18" customHeight="1">
      <c r="A3" s="7"/>
      <c r="B3" s="9" t="s">
        <v>313</v>
      </c>
      <c r="C3" s="9"/>
      <c r="D3" s="9"/>
      <c r="E3" s="9"/>
      <c r="F3" s="9"/>
      <c r="G3" s="9"/>
      <c r="H3" s="9"/>
      <c r="I3" s="9"/>
      <c r="J3" s="9"/>
      <c r="K3" s="10" t="s">
        <v>97</v>
      </c>
      <c r="L3" s="10"/>
      <c r="M3" s="10"/>
    </row>
    <row r="4" spans="1:13" ht="7" customHeight="1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13" ht="26" customHeight="1">
      <c r="A5" s="7"/>
      <c r="B5" s="76" t="str">
        <f>"💰 Cash received: "&amp;Currency&amp;TEXT('_Data'!$AF$2,"#,##0")</f>
        <v>Cash received: $0</v>
      </c>
      <c r="C5" s="76"/>
      <c r="D5" s="73" t="str">
        <f>"🧾 Invoiced: "&amp;Currency&amp;TEXT(SUM('💰 Payments'!$F$8:$F$67),"#,##0")</f>
        <v>Invoiced: $0</v>
      </c>
      <c r="E5" s="73"/>
      <c r="F5" s="115" t="str">
        <f>"⏳ Outstanding: "&amp;Currency&amp;TEXT(SUM('💰 Payments'!$K$8:$K$67),"#,##0")</f>
        <v>Outstanding: $0</v>
      </c>
      <c r="G5" s="115"/>
      <c r="H5" s="108" t="str">
        <f>"🔴 Overdue: "&amp;'_Data'!$AF$15&amp;" invoice(s)"</f>
        <v>Overdue: 0 invoice(s)</v>
      </c>
      <c r="I5" s="108"/>
      <c r="J5" s="121" t="str">
        <f>"📂 Open invoices: "&amp;'_Data'!$AF$16</f>
        <v>Open invoices: 0</v>
      </c>
      <c r="K5" s="121"/>
      <c r="L5" s="7"/>
      <c r="M5" s="7"/>
    </row>
    <row r="6" spans="1:13" ht="7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</row>
    <row r="7" spans="1:13" ht="36" customHeight="1">
      <c r="A7" s="7"/>
      <c r="B7" s="18" t="s">
        <v>203</v>
      </c>
      <c r="C7" s="18" t="s">
        <v>314</v>
      </c>
      <c r="D7" s="18" t="s">
        <v>48</v>
      </c>
      <c r="E7" s="18" t="s">
        <v>221</v>
      </c>
      <c r="F7" s="18" t="s">
        <v>315</v>
      </c>
      <c r="G7" s="18" t="s">
        <v>316</v>
      </c>
      <c r="H7" s="18" t="s">
        <v>317</v>
      </c>
      <c r="I7" s="18" t="s">
        <v>318</v>
      </c>
      <c r="J7" s="77" t="s">
        <v>319</v>
      </c>
      <c r="K7" s="77" t="s">
        <v>320</v>
      </c>
      <c r="L7" s="18" t="s">
        <v>321</v>
      </c>
      <c r="M7" s="77" t="s">
        <v>322</v>
      </c>
    </row>
    <row r="8" spans="1:13" ht="20" customHeight="1">
      <c r="A8" s="7"/>
      <c r="B8" s="78">
        <v>1</v>
      </c>
      <c r="C8" s="80"/>
      <c r="D8" s="79"/>
      <c r="E8" s="81"/>
      <c r="F8" s="83"/>
      <c r="G8" s="83"/>
      <c r="H8" s="83"/>
      <c r="I8" s="83"/>
      <c r="J8" s="84">
        <f>IF($F8="","",SUM($G8:$I8))</f>
        <v/>
      </c>
      <c r="K8" s="84">
        <f>IF($F8="","",$F8-$J8)</f>
        <v/>
      </c>
      <c r="L8" s="81"/>
      <c r="M8" s="116">
        <f>IF($F8="","",IF($J8&gt;=$F8,"🟢 Paid in full",IF($J8&gt;0,"🟠 Partial","🔴 Unpaid")))</f>
        <v/>
      </c>
    </row>
    <row r="9" spans="1:13" ht="20" customHeight="1">
      <c r="A9" s="7"/>
      <c r="B9" s="85">
        <v>2</v>
      </c>
      <c r="C9" s="87"/>
      <c r="D9" s="86"/>
      <c r="E9" s="88"/>
      <c r="F9" s="90"/>
      <c r="G9" s="90"/>
      <c r="H9" s="90"/>
      <c r="I9" s="90"/>
      <c r="J9" s="84">
        <f>IF($F9="","",SUM($G9:$I9))</f>
        <v/>
      </c>
      <c r="K9" s="84">
        <f>IF($F9="","",$F9-$J9)</f>
        <v/>
      </c>
      <c r="L9" s="88"/>
      <c r="M9" s="116">
        <f>IF($F9="","",IF($J9&gt;=$F9,"🟢 Paid in full",IF($J9&gt;0,"🟠 Partial","🔴 Unpaid")))</f>
        <v/>
      </c>
    </row>
    <row r="10" spans="1:13" ht="20" customHeight="1">
      <c r="A10" s="7"/>
      <c r="B10" s="78">
        <v>3</v>
      </c>
      <c r="C10" s="80"/>
      <c r="D10" s="79"/>
      <c r="E10" s="81"/>
      <c r="F10" s="83"/>
      <c r="G10" s="83"/>
      <c r="H10" s="83"/>
      <c r="I10" s="83"/>
      <c r="J10" s="84">
        <f>IF($F10="","",SUM($G10:$I10))</f>
        <v/>
      </c>
      <c r="K10" s="84">
        <f>IF($F10="","",$F10-$J10)</f>
        <v/>
      </c>
      <c r="L10" s="81"/>
      <c r="M10" s="116">
        <f>IF($F10="","",IF($J10&gt;=$F10,"🟢 Paid in full",IF($J10&gt;0,"🟠 Partial","🔴 Unpaid")))</f>
        <v/>
      </c>
    </row>
    <row r="11" spans="1:13" ht="20" customHeight="1">
      <c r="A11" s="7"/>
      <c r="B11" s="85">
        <v>4</v>
      </c>
      <c r="C11" s="87"/>
      <c r="D11" s="86"/>
      <c r="E11" s="88"/>
      <c r="F11" s="90"/>
      <c r="G11" s="90"/>
      <c r="H11" s="90"/>
      <c r="I11" s="90"/>
      <c r="J11" s="84">
        <f>IF($F11="","",SUM($G11:$I11))</f>
        <v/>
      </c>
      <c r="K11" s="84">
        <f>IF($F11="","",$F11-$J11)</f>
        <v/>
      </c>
      <c r="L11" s="88"/>
      <c r="M11" s="116">
        <f>IF($F11="","",IF($J11&gt;=$F11,"🟢 Paid in full",IF($J11&gt;0,"🟠 Partial","🔴 Unpaid")))</f>
        <v/>
      </c>
    </row>
    <row r="12" spans="1:13" ht="20" customHeight="1">
      <c r="A12" s="7"/>
      <c r="B12" s="78">
        <v>5</v>
      </c>
      <c r="C12" s="80"/>
      <c r="D12" s="79"/>
      <c r="E12" s="81"/>
      <c r="F12" s="83"/>
      <c r="G12" s="83"/>
      <c r="H12" s="83"/>
      <c r="I12" s="83"/>
      <c r="J12" s="84">
        <f>IF($F12="","",SUM($G12:$I12))</f>
        <v/>
      </c>
      <c r="K12" s="84">
        <f>IF($F12="","",$F12-$J12)</f>
        <v/>
      </c>
      <c r="L12" s="81"/>
      <c r="M12" s="116">
        <f>IF($F12="","",IF($J12&gt;=$F12,"🟢 Paid in full",IF($J12&gt;0,"🟠 Partial","🔴 Unpaid")))</f>
        <v/>
      </c>
    </row>
    <row r="13" spans="1:13" ht="20" customHeight="1">
      <c r="A13" s="7"/>
      <c r="B13" s="85">
        <v>6</v>
      </c>
      <c r="C13" s="87"/>
      <c r="D13" s="86"/>
      <c r="E13" s="88"/>
      <c r="F13" s="90"/>
      <c r="G13" s="90"/>
      <c r="H13" s="90"/>
      <c r="I13" s="90"/>
      <c r="J13" s="84">
        <f>IF($F13="","",SUM($G13:$I13))</f>
        <v/>
      </c>
      <c r="K13" s="84">
        <f>IF($F13="","",$F13-$J13)</f>
        <v/>
      </c>
      <c r="L13" s="88"/>
      <c r="M13" s="116">
        <f>IF($F13="","",IF($J13&gt;=$F13,"🟢 Paid in full",IF($J13&gt;0,"🟠 Partial","🔴 Unpaid")))</f>
        <v/>
      </c>
    </row>
    <row r="14" spans="1:13" ht="20" customHeight="1">
      <c r="A14" s="7"/>
      <c r="B14" s="78">
        <v>7</v>
      </c>
      <c r="C14" s="80"/>
      <c r="D14" s="79"/>
      <c r="E14" s="81"/>
      <c r="F14" s="83"/>
      <c r="G14" s="83"/>
      <c r="H14" s="83"/>
      <c r="I14" s="83"/>
      <c r="J14" s="84">
        <f>IF($F14="","",SUM($G14:$I14))</f>
        <v/>
      </c>
      <c r="K14" s="84">
        <f>IF($F14="","",$F14-$J14)</f>
        <v/>
      </c>
      <c r="L14" s="81"/>
      <c r="M14" s="116">
        <f>IF($F14="","",IF($J14&gt;=$F14,"🟢 Paid in full",IF($J14&gt;0,"🟠 Partial","🔴 Unpaid")))</f>
        <v/>
      </c>
    </row>
    <row r="15" spans="1:13" ht="20" customHeight="1">
      <c r="A15" s="7"/>
      <c r="B15" s="85">
        <v>8</v>
      </c>
      <c r="C15" s="87"/>
      <c r="D15" s="86"/>
      <c r="E15" s="88"/>
      <c r="F15" s="90"/>
      <c r="G15" s="90"/>
      <c r="H15" s="90"/>
      <c r="I15" s="90"/>
      <c r="J15" s="84">
        <f>IF($F15="","",SUM($G15:$I15))</f>
        <v/>
      </c>
      <c r="K15" s="84">
        <f>IF($F15="","",$F15-$J15)</f>
        <v/>
      </c>
      <c r="L15" s="88"/>
      <c r="M15" s="116">
        <f>IF($F15="","",IF($J15&gt;=$F15,"🟢 Paid in full",IF($J15&gt;0,"🟠 Partial","🔴 Unpaid")))</f>
        <v/>
      </c>
    </row>
    <row r="16" spans="1:13" ht="20" customHeight="1">
      <c r="A16" s="7"/>
      <c r="B16" s="78">
        <v>9</v>
      </c>
      <c r="C16" s="80"/>
      <c r="D16" s="79"/>
      <c r="E16" s="81"/>
      <c r="F16" s="83"/>
      <c r="G16" s="83"/>
      <c r="H16" s="83"/>
      <c r="I16" s="83"/>
      <c r="J16" s="84">
        <f>IF($F16="","",SUM($G16:$I16))</f>
        <v/>
      </c>
      <c r="K16" s="84">
        <f>IF($F16="","",$F16-$J16)</f>
        <v/>
      </c>
      <c r="L16" s="81"/>
      <c r="M16" s="116">
        <f>IF($F16="","",IF($J16&gt;=$F16,"🟢 Paid in full",IF($J16&gt;0,"🟠 Partial","🔴 Unpaid")))</f>
        <v/>
      </c>
    </row>
    <row r="17" spans="1:13" ht="20" customHeight="1">
      <c r="A17" s="7"/>
      <c r="B17" s="85">
        <v>10</v>
      </c>
      <c r="C17" s="87"/>
      <c r="D17" s="86"/>
      <c r="E17" s="88"/>
      <c r="F17" s="90"/>
      <c r="G17" s="90"/>
      <c r="H17" s="90"/>
      <c r="I17" s="90"/>
      <c r="J17" s="84">
        <f>IF($F17="","",SUM($G17:$I17))</f>
        <v/>
      </c>
      <c r="K17" s="84">
        <f>IF($F17="","",$F17-$J17)</f>
        <v/>
      </c>
      <c r="L17" s="88"/>
      <c r="M17" s="116">
        <f>IF($F17="","",IF($J17&gt;=$F17,"🟢 Paid in full",IF($J17&gt;0,"🟠 Partial","🔴 Unpaid")))</f>
        <v/>
      </c>
    </row>
    <row r="18" spans="1:13" ht="20" customHeight="1">
      <c r="A18" s="7"/>
      <c r="B18" s="78">
        <v>11</v>
      </c>
      <c r="C18" s="80"/>
      <c r="D18" s="79"/>
      <c r="E18" s="81"/>
      <c r="F18" s="83"/>
      <c r="G18" s="83"/>
      <c r="H18" s="83"/>
      <c r="I18" s="83"/>
      <c r="J18" s="84">
        <f>IF($F18="","",SUM($G18:$I18))</f>
        <v/>
      </c>
      <c r="K18" s="84">
        <f>IF($F18="","",$F18-$J18)</f>
        <v/>
      </c>
      <c r="L18" s="81"/>
      <c r="M18" s="116">
        <f>IF($F18="","",IF($J18&gt;=$F18,"🟢 Paid in full",IF($J18&gt;0,"🟠 Partial","🔴 Unpaid")))</f>
        <v/>
      </c>
    </row>
    <row r="19" spans="1:13" ht="20" customHeight="1">
      <c r="A19" s="7"/>
      <c r="B19" s="85">
        <v>12</v>
      </c>
      <c r="C19" s="87"/>
      <c r="D19" s="86"/>
      <c r="E19" s="88"/>
      <c r="F19" s="90"/>
      <c r="G19" s="90"/>
      <c r="H19" s="90"/>
      <c r="I19" s="90"/>
      <c r="J19" s="84">
        <f>IF($F19="","",SUM($G19:$I19))</f>
        <v/>
      </c>
      <c r="K19" s="84">
        <f>IF($F19="","",$F19-$J19)</f>
        <v/>
      </c>
      <c r="L19" s="88"/>
      <c r="M19" s="116">
        <f>IF($F19="","",IF($J19&gt;=$F19,"🟢 Paid in full",IF($J19&gt;0,"🟠 Partial","🔴 Unpaid")))</f>
        <v/>
      </c>
    </row>
    <row r="20" spans="1:13" ht="20" customHeight="1">
      <c r="A20" s="7"/>
      <c r="B20" s="78">
        <v>13</v>
      </c>
      <c r="C20" s="80"/>
      <c r="D20" s="79"/>
      <c r="E20" s="81"/>
      <c r="F20" s="83"/>
      <c r="G20" s="83"/>
      <c r="H20" s="83"/>
      <c r="I20" s="83"/>
      <c r="J20" s="84">
        <f>IF($F20="","",SUM($G20:$I20))</f>
        <v/>
      </c>
      <c r="K20" s="84">
        <f>IF($F20="","",$F20-$J20)</f>
        <v/>
      </c>
      <c r="L20" s="81"/>
      <c r="M20" s="116">
        <f>IF($F20="","",IF($J20&gt;=$F20,"🟢 Paid in full",IF($J20&gt;0,"🟠 Partial","🔴 Unpaid")))</f>
        <v/>
      </c>
    </row>
    <row r="21" spans="1:13" ht="20" customHeight="1">
      <c r="A21" s="7"/>
      <c r="B21" s="85">
        <v>14</v>
      </c>
      <c r="C21" s="87"/>
      <c r="D21" s="86"/>
      <c r="E21" s="88"/>
      <c r="F21" s="90"/>
      <c r="G21" s="90"/>
      <c r="H21" s="90"/>
      <c r="I21" s="90"/>
      <c r="J21" s="84">
        <f>IF($F21="","",SUM($G21:$I21))</f>
        <v/>
      </c>
      <c r="K21" s="84">
        <f>IF($F21="","",$F21-$J21)</f>
        <v/>
      </c>
      <c r="L21" s="88"/>
      <c r="M21" s="116">
        <f>IF($F21="","",IF($J21&gt;=$F21,"🟢 Paid in full",IF($J21&gt;0,"🟠 Partial","🔴 Unpaid")))</f>
        <v/>
      </c>
    </row>
    <row r="22" spans="1:13" ht="20" customHeight="1">
      <c r="A22" s="7"/>
      <c r="B22" s="78">
        <v>15</v>
      </c>
      <c r="C22" s="80"/>
      <c r="D22" s="79"/>
      <c r="E22" s="81"/>
      <c r="F22" s="83"/>
      <c r="G22" s="83"/>
      <c r="H22" s="83"/>
      <c r="I22" s="83"/>
      <c r="J22" s="84">
        <f>IF($F22="","",SUM($G22:$I22))</f>
        <v/>
      </c>
      <c r="K22" s="84">
        <f>IF($F22="","",$F22-$J22)</f>
        <v/>
      </c>
      <c r="L22" s="81"/>
      <c r="M22" s="116">
        <f>IF($F22="","",IF($J22&gt;=$F22,"🟢 Paid in full",IF($J22&gt;0,"🟠 Partial","🔴 Unpaid")))</f>
        <v/>
      </c>
    </row>
    <row r="23" spans="1:13" ht="20" customHeight="1">
      <c r="A23" s="7"/>
      <c r="B23" s="85">
        <v>16</v>
      </c>
      <c r="C23" s="87"/>
      <c r="D23" s="86"/>
      <c r="E23" s="88"/>
      <c r="F23" s="90"/>
      <c r="G23" s="90"/>
      <c r="H23" s="90"/>
      <c r="I23" s="90"/>
      <c r="J23" s="84">
        <f>IF($F23="","",SUM($G23:$I23))</f>
        <v/>
      </c>
      <c r="K23" s="84">
        <f>IF($F23="","",$F23-$J23)</f>
        <v/>
      </c>
      <c r="L23" s="88"/>
      <c r="M23" s="116">
        <f>IF($F23="","",IF($J23&gt;=$F23,"🟢 Paid in full",IF($J23&gt;0,"🟠 Partial","🔴 Unpaid")))</f>
        <v/>
      </c>
    </row>
    <row r="24" spans="1:13" ht="20" customHeight="1">
      <c r="A24" s="7"/>
      <c r="B24" s="78">
        <v>17</v>
      </c>
      <c r="C24" s="80"/>
      <c r="D24" s="79"/>
      <c r="E24" s="81"/>
      <c r="F24" s="83"/>
      <c r="G24" s="83"/>
      <c r="H24" s="83"/>
      <c r="I24" s="83"/>
      <c r="J24" s="84">
        <f>IF($F24="","",SUM($G24:$I24))</f>
        <v/>
      </c>
      <c r="K24" s="84">
        <f>IF($F24="","",$F24-$J24)</f>
        <v/>
      </c>
      <c r="L24" s="81"/>
      <c r="M24" s="116">
        <f>IF($F24="","",IF($J24&gt;=$F24,"🟢 Paid in full",IF($J24&gt;0,"🟠 Partial","🔴 Unpaid")))</f>
        <v/>
      </c>
    </row>
    <row r="25" spans="1:13" ht="20" customHeight="1">
      <c r="A25" s="7"/>
      <c r="B25" s="85">
        <v>18</v>
      </c>
      <c r="C25" s="87"/>
      <c r="D25" s="86"/>
      <c r="E25" s="88"/>
      <c r="F25" s="90"/>
      <c r="G25" s="90"/>
      <c r="H25" s="90"/>
      <c r="I25" s="90"/>
      <c r="J25" s="84">
        <f>IF($F25="","",SUM($G25:$I25))</f>
        <v/>
      </c>
      <c r="K25" s="84">
        <f>IF($F25="","",$F25-$J25)</f>
        <v/>
      </c>
      <c r="L25" s="88"/>
      <c r="M25" s="116">
        <f>IF($F25="","",IF($J25&gt;=$F25,"🟢 Paid in full",IF($J25&gt;0,"🟠 Partial","🔴 Unpaid")))</f>
        <v/>
      </c>
    </row>
    <row r="26" spans="1:13" ht="20" customHeight="1">
      <c r="A26" s="7"/>
      <c r="B26" s="78">
        <v>19</v>
      </c>
      <c r="C26" s="80"/>
      <c r="D26" s="79"/>
      <c r="E26" s="81"/>
      <c r="F26" s="83"/>
      <c r="G26" s="83"/>
      <c r="H26" s="83"/>
      <c r="I26" s="83"/>
      <c r="J26" s="84">
        <f>IF($F26="","",SUM($G26:$I26))</f>
        <v/>
      </c>
      <c r="K26" s="84">
        <f>IF($F26="","",$F26-$J26)</f>
        <v/>
      </c>
      <c r="L26" s="81"/>
      <c r="M26" s="116">
        <f>IF($F26="","",IF($J26&gt;=$F26,"🟢 Paid in full",IF($J26&gt;0,"🟠 Partial","🔴 Unpaid")))</f>
        <v/>
      </c>
    </row>
    <row r="27" spans="1:13" ht="20" customHeight="1">
      <c r="A27" s="7"/>
      <c r="B27" s="85">
        <v>20</v>
      </c>
      <c r="C27" s="87"/>
      <c r="D27" s="86"/>
      <c r="E27" s="88"/>
      <c r="F27" s="90"/>
      <c r="G27" s="90"/>
      <c r="H27" s="90"/>
      <c r="I27" s="90"/>
      <c r="J27" s="84">
        <f>IF($F27="","",SUM($G27:$I27))</f>
        <v/>
      </c>
      <c r="K27" s="84">
        <f>IF($F27="","",$F27-$J27)</f>
        <v/>
      </c>
      <c r="L27" s="88"/>
      <c r="M27" s="116">
        <f>IF($F27="","",IF($J27&gt;=$F27,"🟢 Paid in full",IF($J27&gt;0,"🟠 Partial","🔴 Unpaid")))</f>
        <v/>
      </c>
    </row>
    <row r="28" spans="1:13" ht="20" customHeight="1">
      <c r="A28" s="7"/>
      <c r="B28" s="78">
        <v>21</v>
      </c>
      <c r="C28" s="80"/>
      <c r="D28" s="79"/>
      <c r="E28" s="81"/>
      <c r="F28" s="83"/>
      <c r="G28" s="83"/>
      <c r="H28" s="83"/>
      <c r="I28" s="83"/>
      <c r="J28" s="84">
        <f>IF($F28="","",SUM($G28:$I28))</f>
        <v/>
      </c>
      <c r="K28" s="84">
        <f>IF($F28="","",$F28-$J28)</f>
        <v/>
      </c>
      <c r="L28" s="81"/>
      <c r="M28" s="116">
        <f>IF($F28="","",IF($J28&gt;=$F28,"🟢 Paid in full",IF($J28&gt;0,"🟠 Partial","🔴 Unpaid")))</f>
        <v/>
      </c>
    </row>
    <row r="29" spans="1:13" ht="20" customHeight="1">
      <c r="A29" s="7"/>
      <c r="B29" s="85">
        <v>22</v>
      </c>
      <c r="C29" s="87"/>
      <c r="D29" s="86"/>
      <c r="E29" s="88"/>
      <c r="F29" s="90"/>
      <c r="G29" s="90"/>
      <c r="H29" s="90"/>
      <c r="I29" s="90"/>
      <c r="J29" s="84">
        <f>IF($F29="","",SUM($G29:$I29))</f>
        <v/>
      </c>
      <c r="K29" s="84">
        <f>IF($F29="","",$F29-$J29)</f>
        <v/>
      </c>
      <c r="L29" s="88"/>
      <c r="M29" s="116">
        <f>IF($F29="","",IF($J29&gt;=$F29,"🟢 Paid in full",IF($J29&gt;0,"🟠 Partial","🔴 Unpaid")))</f>
        <v/>
      </c>
    </row>
    <row r="30" spans="1:13" ht="20" customHeight="1">
      <c r="A30" s="7"/>
      <c r="B30" s="78">
        <v>23</v>
      </c>
      <c r="C30" s="80"/>
      <c r="D30" s="79"/>
      <c r="E30" s="81"/>
      <c r="F30" s="83"/>
      <c r="G30" s="83"/>
      <c r="H30" s="83"/>
      <c r="I30" s="83"/>
      <c r="J30" s="84">
        <f>IF($F30="","",SUM($G30:$I30))</f>
        <v/>
      </c>
      <c r="K30" s="84">
        <f>IF($F30="","",$F30-$J30)</f>
        <v/>
      </c>
      <c r="L30" s="81"/>
      <c r="M30" s="116">
        <f>IF($F30="","",IF($J30&gt;=$F30,"🟢 Paid in full",IF($J30&gt;0,"🟠 Partial","🔴 Unpaid")))</f>
        <v/>
      </c>
    </row>
    <row r="31" spans="1:13" ht="20" customHeight="1">
      <c r="A31" s="7"/>
      <c r="B31" s="85">
        <v>24</v>
      </c>
      <c r="C31" s="87"/>
      <c r="D31" s="86"/>
      <c r="E31" s="88"/>
      <c r="F31" s="90"/>
      <c r="G31" s="90"/>
      <c r="H31" s="90"/>
      <c r="I31" s="90"/>
      <c r="J31" s="84">
        <f>IF($F31="","",SUM($G31:$I31))</f>
        <v/>
      </c>
      <c r="K31" s="84">
        <f>IF($F31="","",$F31-$J31)</f>
        <v/>
      </c>
      <c r="L31" s="88"/>
      <c r="M31" s="116">
        <f>IF($F31="","",IF($J31&gt;=$F31,"🟢 Paid in full",IF($J31&gt;0,"🟠 Partial","🔴 Unpaid")))</f>
        <v/>
      </c>
    </row>
    <row r="32" spans="1:13" ht="20" customHeight="1">
      <c r="A32" s="7"/>
      <c r="B32" s="78">
        <v>25</v>
      </c>
      <c r="C32" s="80"/>
      <c r="D32" s="79"/>
      <c r="E32" s="81"/>
      <c r="F32" s="83"/>
      <c r="G32" s="83"/>
      <c r="H32" s="83"/>
      <c r="I32" s="83"/>
      <c r="J32" s="84">
        <f>IF($F32="","",SUM($G32:$I32))</f>
        <v/>
      </c>
      <c r="K32" s="84">
        <f>IF($F32="","",$F32-$J32)</f>
        <v/>
      </c>
      <c r="L32" s="81"/>
      <c r="M32" s="116">
        <f>IF($F32="","",IF($J32&gt;=$F32,"🟢 Paid in full",IF($J32&gt;0,"🟠 Partial","🔴 Unpaid")))</f>
        <v/>
      </c>
    </row>
    <row r="33" spans="1:13" ht="20" customHeight="1">
      <c r="A33" s="7"/>
      <c r="B33" s="85">
        <v>26</v>
      </c>
      <c r="C33" s="87"/>
      <c r="D33" s="86"/>
      <c r="E33" s="88"/>
      <c r="F33" s="90"/>
      <c r="G33" s="90"/>
      <c r="H33" s="90"/>
      <c r="I33" s="90"/>
      <c r="J33" s="84">
        <f>IF($F33="","",SUM($G33:$I33))</f>
        <v/>
      </c>
      <c r="K33" s="84">
        <f>IF($F33="","",$F33-$J33)</f>
        <v/>
      </c>
      <c r="L33" s="88"/>
      <c r="M33" s="116">
        <f>IF($F33="","",IF($J33&gt;=$F33,"🟢 Paid in full",IF($J33&gt;0,"🟠 Partial","🔴 Unpaid")))</f>
        <v/>
      </c>
    </row>
    <row r="34" spans="1:13" ht="20" customHeight="1">
      <c r="A34" s="7"/>
      <c r="B34" s="78">
        <v>27</v>
      </c>
      <c r="C34" s="80"/>
      <c r="D34" s="79"/>
      <c r="E34" s="81"/>
      <c r="F34" s="83"/>
      <c r="G34" s="83"/>
      <c r="H34" s="83"/>
      <c r="I34" s="83"/>
      <c r="J34" s="84">
        <f>IF($F34="","",SUM($G34:$I34))</f>
        <v/>
      </c>
      <c r="K34" s="84">
        <f>IF($F34="","",$F34-$J34)</f>
        <v/>
      </c>
      <c r="L34" s="81"/>
      <c r="M34" s="116">
        <f>IF($F34="","",IF($J34&gt;=$F34,"🟢 Paid in full",IF($J34&gt;0,"🟠 Partial","🔴 Unpaid")))</f>
        <v/>
      </c>
    </row>
    <row r="35" spans="1:13" ht="20" customHeight="1">
      <c r="A35" s="7"/>
      <c r="B35" s="85">
        <v>28</v>
      </c>
      <c r="C35" s="87"/>
      <c r="D35" s="86"/>
      <c r="E35" s="88"/>
      <c r="F35" s="90"/>
      <c r="G35" s="90"/>
      <c r="H35" s="90"/>
      <c r="I35" s="90"/>
      <c r="J35" s="84">
        <f>IF($F35="","",SUM($G35:$I35))</f>
        <v/>
      </c>
      <c r="K35" s="84">
        <f>IF($F35="","",$F35-$J35)</f>
        <v/>
      </c>
      <c r="L35" s="88"/>
      <c r="M35" s="116">
        <f>IF($F35="","",IF($J35&gt;=$F35,"🟢 Paid in full",IF($J35&gt;0,"🟠 Partial","🔴 Unpaid")))</f>
        <v/>
      </c>
    </row>
    <row r="36" spans="1:13" ht="20" customHeight="1">
      <c r="A36" s="7"/>
      <c r="B36" s="78">
        <v>29</v>
      </c>
      <c r="C36" s="80"/>
      <c r="D36" s="79"/>
      <c r="E36" s="81"/>
      <c r="F36" s="83"/>
      <c r="G36" s="83"/>
      <c r="H36" s="83"/>
      <c r="I36" s="83"/>
      <c r="J36" s="84">
        <f>IF($F36="","",SUM($G36:$I36))</f>
        <v/>
      </c>
      <c r="K36" s="84">
        <f>IF($F36="","",$F36-$J36)</f>
        <v/>
      </c>
      <c r="L36" s="81"/>
      <c r="M36" s="116">
        <f>IF($F36="","",IF($J36&gt;=$F36,"🟢 Paid in full",IF($J36&gt;0,"🟠 Partial","🔴 Unpaid")))</f>
        <v/>
      </c>
    </row>
    <row r="37" spans="1:13" ht="20" customHeight="1">
      <c r="A37" s="7"/>
      <c r="B37" s="85">
        <v>30</v>
      </c>
      <c r="C37" s="87"/>
      <c r="D37" s="86"/>
      <c r="E37" s="88"/>
      <c r="F37" s="90"/>
      <c r="G37" s="90"/>
      <c r="H37" s="90"/>
      <c r="I37" s="90"/>
      <c r="J37" s="84">
        <f>IF($F37="","",SUM($G37:$I37))</f>
        <v/>
      </c>
      <c r="K37" s="84">
        <f>IF($F37="","",$F37-$J37)</f>
        <v/>
      </c>
      <c r="L37" s="88"/>
      <c r="M37" s="116">
        <f>IF($F37="","",IF($J37&gt;=$F37,"🟢 Paid in full",IF($J37&gt;0,"🟠 Partial","🔴 Unpaid")))</f>
        <v/>
      </c>
    </row>
    <row r="38" spans="1:13" ht="20" customHeight="1">
      <c r="A38" s="7"/>
      <c r="B38" s="78">
        <v>31</v>
      </c>
      <c r="C38" s="80"/>
      <c r="D38" s="79"/>
      <c r="E38" s="81"/>
      <c r="F38" s="83"/>
      <c r="G38" s="83"/>
      <c r="H38" s="83"/>
      <c r="I38" s="83"/>
      <c r="J38" s="84">
        <f>IF($F38="","",SUM($G38:$I38))</f>
        <v/>
      </c>
      <c r="K38" s="84">
        <f>IF($F38="","",$F38-$J38)</f>
        <v/>
      </c>
      <c r="L38" s="81"/>
      <c r="M38" s="116">
        <f>IF($F38="","",IF($J38&gt;=$F38,"🟢 Paid in full",IF($J38&gt;0,"🟠 Partial","🔴 Unpaid")))</f>
        <v/>
      </c>
    </row>
    <row r="39" spans="1:13" ht="20" customHeight="1">
      <c r="A39" s="7"/>
      <c r="B39" s="85">
        <v>32</v>
      </c>
      <c r="C39" s="87"/>
      <c r="D39" s="86"/>
      <c r="E39" s="88"/>
      <c r="F39" s="90"/>
      <c r="G39" s="90"/>
      <c r="H39" s="90"/>
      <c r="I39" s="90"/>
      <c r="J39" s="84">
        <f>IF($F39="","",SUM($G39:$I39))</f>
        <v/>
      </c>
      <c r="K39" s="84">
        <f>IF($F39="","",$F39-$J39)</f>
        <v/>
      </c>
      <c r="L39" s="88"/>
      <c r="M39" s="116">
        <f>IF($F39="","",IF($J39&gt;=$F39,"🟢 Paid in full",IF($J39&gt;0,"🟠 Partial","🔴 Unpaid")))</f>
        <v/>
      </c>
    </row>
    <row r="40" spans="1:13" ht="20" customHeight="1">
      <c r="A40" s="7"/>
      <c r="B40" s="78">
        <v>33</v>
      </c>
      <c r="C40" s="80"/>
      <c r="D40" s="79"/>
      <c r="E40" s="81"/>
      <c r="F40" s="83"/>
      <c r="G40" s="83"/>
      <c r="H40" s="83"/>
      <c r="I40" s="83"/>
      <c r="J40" s="84">
        <f>IF($F40="","",SUM($G40:$I40))</f>
        <v/>
      </c>
      <c r="K40" s="84">
        <f>IF($F40="","",$F40-$J40)</f>
        <v/>
      </c>
      <c r="L40" s="81"/>
      <c r="M40" s="116">
        <f>IF($F40="","",IF($J40&gt;=$F40,"🟢 Paid in full",IF($J40&gt;0,"🟠 Partial","🔴 Unpaid")))</f>
        <v/>
      </c>
    </row>
    <row r="41" spans="1:13" ht="20" customHeight="1">
      <c r="A41" s="7"/>
      <c r="B41" s="85">
        <v>34</v>
      </c>
      <c r="C41" s="87"/>
      <c r="D41" s="86"/>
      <c r="E41" s="88"/>
      <c r="F41" s="90"/>
      <c r="G41" s="90"/>
      <c r="H41" s="90"/>
      <c r="I41" s="90"/>
      <c r="J41" s="84">
        <f>IF($F41="","",SUM($G41:$I41))</f>
        <v/>
      </c>
      <c r="K41" s="84">
        <f>IF($F41="","",$F41-$J41)</f>
        <v/>
      </c>
      <c r="L41" s="88"/>
      <c r="M41" s="116">
        <f>IF($F41="","",IF($J41&gt;=$F41,"🟢 Paid in full",IF($J41&gt;0,"🟠 Partial","🔴 Unpaid")))</f>
        <v/>
      </c>
    </row>
    <row r="42" spans="1:13" ht="20" customHeight="1">
      <c r="A42" s="7"/>
      <c r="B42" s="78">
        <v>35</v>
      </c>
      <c r="C42" s="80"/>
      <c r="D42" s="79"/>
      <c r="E42" s="81"/>
      <c r="F42" s="83"/>
      <c r="G42" s="83"/>
      <c r="H42" s="83"/>
      <c r="I42" s="83"/>
      <c r="J42" s="84">
        <f>IF($F42="","",SUM($G42:$I42))</f>
        <v/>
      </c>
      <c r="K42" s="84">
        <f>IF($F42="","",$F42-$J42)</f>
        <v/>
      </c>
      <c r="L42" s="81"/>
      <c r="M42" s="116">
        <f>IF($F42="","",IF($J42&gt;=$F42,"🟢 Paid in full",IF($J42&gt;0,"🟠 Partial","🔴 Unpaid")))</f>
        <v/>
      </c>
    </row>
    <row r="43" spans="1:13" ht="20" customHeight="1">
      <c r="A43" s="7"/>
      <c r="B43" s="85">
        <v>36</v>
      </c>
      <c r="C43" s="87"/>
      <c r="D43" s="86"/>
      <c r="E43" s="88"/>
      <c r="F43" s="90"/>
      <c r="G43" s="90"/>
      <c r="H43" s="90"/>
      <c r="I43" s="90"/>
      <c r="J43" s="84">
        <f>IF($F43="","",SUM($G43:$I43))</f>
        <v/>
      </c>
      <c r="K43" s="84">
        <f>IF($F43="","",$F43-$J43)</f>
        <v/>
      </c>
      <c r="L43" s="88"/>
      <c r="M43" s="116">
        <f>IF($F43="","",IF($J43&gt;=$F43,"🟢 Paid in full",IF($J43&gt;0,"🟠 Partial","🔴 Unpaid")))</f>
        <v/>
      </c>
    </row>
    <row r="44" spans="1:13" ht="20" customHeight="1">
      <c r="A44" s="7"/>
      <c r="B44" s="78">
        <v>37</v>
      </c>
      <c r="C44" s="80"/>
      <c r="D44" s="79"/>
      <c r="E44" s="81"/>
      <c r="F44" s="83"/>
      <c r="G44" s="83"/>
      <c r="H44" s="83"/>
      <c r="I44" s="83"/>
      <c r="J44" s="84">
        <f>IF($F44="","",SUM($G44:$I44))</f>
        <v/>
      </c>
      <c r="K44" s="84">
        <f>IF($F44="","",$F44-$J44)</f>
        <v/>
      </c>
      <c r="L44" s="81"/>
      <c r="M44" s="116">
        <f>IF($F44="","",IF($J44&gt;=$F44,"🟢 Paid in full",IF($J44&gt;0,"🟠 Partial","🔴 Unpaid")))</f>
        <v/>
      </c>
    </row>
    <row r="45" spans="1:13" ht="20" customHeight="1">
      <c r="A45" s="7"/>
      <c r="B45" s="85">
        <v>38</v>
      </c>
      <c r="C45" s="87"/>
      <c r="D45" s="86"/>
      <c r="E45" s="88"/>
      <c r="F45" s="90"/>
      <c r="G45" s="90"/>
      <c r="H45" s="90"/>
      <c r="I45" s="90"/>
      <c r="J45" s="84">
        <f>IF($F45="","",SUM($G45:$I45))</f>
        <v/>
      </c>
      <c r="K45" s="84">
        <f>IF($F45="","",$F45-$J45)</f>
        <v/>
      </c>
      <c r="L45" s="88"/>
      <c r="M45" s="116">
        <f>IF($F45="","",IF($J45&gt;=$F45,"🟢 Paid in full",IF($J45&gt;0,"🟠 Partial","🔴 Unpaid")))</f>
        <v/>
      </c>
    </row>
    <row r="46" spans="1:13" ht="20" customHeight="1">
      <c r="A46" s="7"/>
      <c r="B46" s="78">
        <v>39</v>
      </c>
      <c r="C46" s="80"/>
      <c r="D46" s="79"/>
      <c r="E46" s="81"/>
      <c r="F46" s="83"/>
      <c r="G46" s="83"/>
      <c r="H46" s="83"/>
      <c r="I46" s="83"/>
      <c r="J46" s="84">
        <f>IF($F46="","",SUM($G46:$I46))</f>
        <v/>
      </c>
      <c r="K46" s="84">
        <f>IF($F46="","",$F46-$J46)</f>
        <v/>
      </c>
      <c r="L46" s="81"/>
      <c r="M46" s="116">
        <f>IF($F46="","",IF($J46&gt;=$F46,"🟢 Paid in full",IF($J46&gt;0,"🟠 Partial","🔴 Unpaid")))</f>
        <v/>
      </c>
    </row>
    <row r="47" spans="1:13" ht="20" customHeight="1">
      <c r="A47" s="7"/>
      <c r="B47" s="85">
        <v>40</v>
      </c>
      <c r="C47" s="87"/>
      <c r="D47" s="86"/>
      <c r="E47" s="88"/>
      <c r="F47" s="90"/>
      <c r="G47" s="90"/>
      <c r="H47" s="90"/>
      <c r="I47" s="90"/>
      <c r="J47" s="84">
        <f>IF($F47="","",SUM($G47:$I47))</f>
        <v/>
      </c>
      <c r="K47" s="84">
        <f>IF($F47="","",$F47-$J47)</f>
        <v/>
      </c>
      <c r="L47" s="88"/>
      <c r="M47" s="116">
        <f>IF($F47="","",IF($J47&gt;=$F47,"🟢 Paid in full",IF($J47&gt;0,"🟠 Partial","🔴 Unpaid")))</f>
        <v/>
      </c>
    </row>
    <row r="48" spans="1:13" ht="20" customHeight="1">
      <c r="A48" s="7"/>
      <c r="B48" s="78">
        <v>41</v>
      </c>
      <c r="C48" s="80"/>
      <c r="D48" s="79"/>
      <c r="E48" s="81"/>
      <c r="F48" s="83"/>
      <c r="G48" s="83"/>
      <c r="H48" s="83"/>
      <c r="I48" s="83"/>
      <c r="J48" s="84">
        <f>IF($F48="","",SUM($G48:$I48))</f>
        <v/>
      </c>
      <c r="K48" s="84">
        <f>IF($F48="","",$F48-$J48)</f>
        <v/>
      </c>
      <c r="L48" s="81"/>
      <c r="M48" s="116">
        <f>IF($F48="","",IF($J48&gt;=$F48,"🟢 Paid in full",IF($J48&gt;0,"🟠 Partial","🔴 Unpaid")))</f>
        <v/>
      </c>
    </row>
    <row r="49" spans="1:13" ht="20" customHeight="1">
      <c r="A49" s="7"/>
      <c r="B49" s="85">
        <v>42</v>
      </c>
      <c r="C49" s="87"/>
      <c r="D49" s="86"/>
      <c r="E49" s="88"/>
      <c r="F49" s="90"/>
      <c r="G49" s="90"/>
      <c r="H49" s="90"/>
      <c r="I49" s="90"/>
      <c r="J49" s="84">
        <f>IF($F49="","",SUM($G49:$I49))</f>
        <v/>
      </c>
      <c r="K49" s="84">
        <f>IF($F49="","",$F49-$J49)</f>
        <v/>
      </c>
      <c r="L49" s="88"/>
      <c r="M49" s="116">
        <f>IF($F49="","",IF($J49&gt;=$F49,"🟢 Paid in full",IF($J49&gt;0,"🟠 Partial","🔴 Unpaid")))</f>
        <v/>
      </c>
    </row>
    <row r="50" spans="1:13" ht="20" customHeight="1">
      <c r="A50" s="7"/>
      <c r="B50" s="78">
        <v>43</v>
      </c>
      <c r="C50" s="80"/>
      <c r="D50" s="79"/>
      <c r="E50" s="81"/>
      <c r="F50" s="83"/>
      <c r="G50" s="83"/>
      <c r="H50" s="83"/>
      <c r="I50" s="83"/>
      <c r="J50" s="84">
        <f>IF($F50="","",SUM($G50:$I50))</f>
        <v/>
      </c>
      <c r="K50" s="84">
        <f>IF($F50="","",$F50-$J50)</f>
        <v/>
      </c>
      <c r="L50" s="81"/>
      <c r="M50" s="116">
        <f>IF($F50="","",IF($J50&gt;=$F50,"🟢 Paid in full",IF($J50&gt;0,"🟠 Partial","🔴 Unpaid")))</f>
        <v/>
      </c>
    </row>
    <row r="51" spans="1:13" ht="20" customHeight="1">
      <c r="A51" s="7"/>
      <c r="B51" s="85">
        <v>44</v>
      </c>
      <c r="C51" s="87"/>
      <c r="D51" s="86"/>
      <c r="E51" s="88"/>
      <c r="F51" s="90"/>
      <c r="G51" s="90"/>
      <c r="H51" s="90"/>
      <c r="I51" s="90"/>
      <c r="J51" s="84">
        <f>IF($F51="","",SUM($G51:$I51))</f>
        <v/>
      </c>
      <c r="K51" s="84">
        <f>IF($F51="","",$F51-$J51)</f>
        <v/>
      </c>
      <c r="L51" s="88"/>
      <c r="M51" s="116">
        <f>IF($F51="","",IF($J51&gt;=$F51,"🟢 Paid in full",IF($J51&gt;0,"🟠 Partial","🔴 Unpaid")))</f>
        <v/>
      </c>
    </row>
    <row r="52" spans="1:13" ht="20" customHeight="1">
      <c r="A52" s="7"/>
      <c r="B52" s="78">
        <v>45</v>
      </c>
      <c r="C52" s="80"/>
      <c r="D52" s="79"/>
      <c r="E52" s="81"/>
      <c r="F52" s="83"/>
      <c r="G52" s="83"/>
      <c r="H52" s="83"/>
      <c r="I52" s="83"/>
      <c r="J52" s="84">
        <f>IF($F52="","",SUM($G52:$I52))</f>
        <v/>
      </c>
      <c r="K52" s="84">
        <f>IF($F52="","",$F52-$J52)</f>
        <v/>
      </c>
      <c r="L52" s="81"/>
      <c r="M52" s="116">
        <f>IF($F52="","",IF($J52&gt;=$F52,"🟢 Paid in full",IF($J52&gt;0,"🟠 Partial","🔴 Unpaid")))</f>
        <v/>
      </c>
    </row>
    <row r="53" spans="1:13" ht="20" customHeight="1">
      <c r="A53" s="7"/>
      <c r="B53" s="85">
        <v>46</v>
      </c>
      <c r="C53" s="87"/>
      <c r="D53" s="86"/>
      <c r="E53" s="88"/>
      <c r="F53" s="90"/>
      <c r="G53" s="90"/>
      <c r="H53" s="90"/>
      <c r="I53" s="90"/>
      <c r="J53" s="84">
        <f>IF($F53="","",SUM($G53:$I53))</f>
        <v/>
      </c>
      <c r="K53" s="84">
        <f>IF($F53="","",$F53-$J53)</f>
        <v/>
      </c>
      <c r="L53" s="88"/>
      <c r="M53" s="116">
        <f>IF($F53="","",IF($J53&gt;=$F53,"🟢 Paid in full",IF($J53&gt;0,"🟠 Partial","🔴 Unpaid")))</f>
        <v/>
      </c>
    </row>
    <row r="54" spans="1:13" ht="20" customHeight="1">
      <c r="A54" s="7"/>
      <c r="B54" s="78">
        <v>47</v>
      </c>
      <c r="C54" s="80"/>
      <c r="D54" s="79"/>
      <c r="E54" s="81"/>
      <c r="F54" s="83"/>
      <c r="G54" s="83"/>
      <c r="H54" s="83"/>
      <c r="I54" s="83"/>
      <c r="J54" s="84">
        <f>IF($F54="","",SUM($G54:$I54))</f>
        <v/>
      </c>
      <c r="K54" s="84">
        <f>IF($F54="","",$F54-$J54)</f>
        <v/>
      </c>
      <c r="L54" s="81"/>
      <c r="M54" s="116">
        <f>IF($F54="","",IF($J54&gt;=$F54,"🟢 Paid in full",IF($J54&gt;0,"🟠 Partial","🔴 Unpaid")))</f>
        <v/>
      </c>
    </row>
    <row r="55" spans="1:13" ht="20" customHeight="1">
      <c r="A55" s="7"/>
      <c r="B55" s="85">
        <v>48</v>
      </c>
      <c r="C55" s="87"/>
      <c r="D55" s="86"/>
      <c r="E55" s="88"/>
      <c r="F55" s="90"/>
      <c r="G55" s="90"/>
      <c r="H55" s="90"/>
      <c r="I55" s="90"/>
      <c r="J55" s="84">
        <f>IF($F55="","",SUM($G55:$I55))</f>
        <v/>
      </c>
      <c r="K55" s="84">
        <f>IF($F55="","",$F55-$J55)</f>
        <v/>
      </c>
      <c r="L55" s="88"/>
      <c r="M55" s="116">
        <f>IF($F55="","",IF($J55&gt;=$F55,"🟢 Paid in full",IF($J55&gt;0,"🟠 Partial","🔴 Unpaid")))</f>
        <v/>
      </c>
    </row>
    <row r="56" spans="1:13" ht="20" customHeight="1">
      <c r="A56" s="7"/>
      <c r="B56" s="78">
        <v>49</v>
      </c>
      <c r="C56" s="80"/>
      <c r="D56" s="79"/>
      <c r="E56" s="81"/>
      <c r="F56" s="83"/>
      <c r="G56" s="83"/>
      <c r="H56" s="83"/>
      <c r="I56" s="83"/>
      <c r="J56" s="84">
        <f>IF($F56="","",SUM($G56:$I56))</f>
        <v/>
      </c>
      <c r="K56" s="84">
        <f>IF($F56="","",$F56-$J56)</f>
        <v/>
      </c>
      <c r="L56" s="81"/>
      <c r="M56" s="116">
        <f>IF($F56="","",IF($J56&gt;=$F56,"🟢 Paid in full",IF($J56&gt;0,"🟠 Partial","🔴 Unpaid")))</f>
        <v/>
      </c>
    </row>
    <row r="57" spans="1:13" ht="20" customHeight="1">
      <c r="A57" s="7"/>
      <c r="B57" s="85">
        <v>50</v>
      </c>
      <c r="C57" s="87"/>
      <c r="D57" s="86"/>
      <c r="E57" s="88"/>
      <c r="F57" s="90"/>
      <c r="G57" s="90"/>
      <c r="H57" s="90"/>
      <c r="I57" s="90"/>
      <c r="J57" s="84">
        <f>IF($F57="","",SUM($G57:$I57))</f>
        <v/>
      </c>
      <c r="K57" s="84">
        <f>IF($F57="","",$F57-$J57)</f>
        <v/>
      </c>
      <c r="L57" s="88"/>
      <c r="M57" s="116">
        <f>IF($F57="","",IF($J57&gt;=$F57,"🟢 Paid in full",IF($J57&gt;0,"🟠 Partial","🔴 Unpaid")))</f>
        <v/>
      </c>
    </row>
    <row r="58" spans="1:13" ht="20" customHeight="1">
      <c r="A58" s="7"/>
      <c r="B58" s="78">
        <v>51</v>
      </c>
      <c r="C58" s="80"/>
      <c r="D58" s="79"/>
      <c r="E58" s="81"/>
      <c r="F58" s="83"/>
      <c r="G58" s="83"/>
      <c r="H58" s="83"/>
      <c r="I58" s="83"/>
      <c r="J58" s="84">
        <f>IF($F58="","",SUM($G58:$I58))</f>
        <v/>
      </c>
      <c r="K58" s="84">
        <f>IF($F58="","",$F58-$J58)</f>
        <v/>
      </c>
      <c r="L58" s="81"/>
      <c r="M58" s="116">
        <f>IF($F58="","",IF($J58&gt;=$F58,"🟢 Paid in full",IF($J58&gt;0,"🟠 Partial","🔴 Unpaid")))</f>
        <v/>
      </c>
    </row>
    <row r="59" spans="1:13" ht="20" customHeight="1">
      <c r="A59" s="7"/>
      <c r="B59" s="85">
        <v>52</v>
      </c>
      <c r="C59" s="87"/>
      <c r="D59" s="86"/>
      <c r="E59" s="88"/>
      <c r="F59" s="90"/>
      <c r="G59" s="90"/>
      <c r="H59" s="90"/>
      <c r="I59" s="90"/>
      <c r="J59" s="84">
        <f>IF($F59="","",SUM($G59:$I59))</f>
        <v/>
      </c>
      <c r="K59" s="84">
        <f>IF($F59="","",$F59-$J59)</f>
        <v/>
      </c>
      <c r="L59" s="88"/>
      <c r="M59" s="116">
        <f>IF($F59="","",IF($J59&gt;=$F59,"🟢 Paid in full",IF($J59&gt;0,"🟠 Partial","🔴 Unpaid")))</f>
        <v/>
      </c>
    </row>
    <row r="60" spans="1:13" ht="20" customHeight="1">
      <c r="A60" s="7"/>
      <c r="B60" s="78">
        <v>53</v>
      </c>
      <c r="C60" s="80"/>
      <c r="D60" s="79"/>
      <c r="E60" s="81"/>
      <c r="F60" s="83"/>
      <c r="G60" s="83"/>
      <c r="H60" s="83"/>
      <c r="I60" s="83"/>
      <c r="J60" s="84">
        <f>IF($F60="","",SUM($G60:$I60))</f>
        <v/>
      </c>
      <c r="K60" s="84">
        <f>IF($F60="","",$F60-$J60)</f>
        <v/>
      </c>
      <c r="L60" s="81"/>
      <c r="M60" s="116">
        <f>IF($F60="","",IF($J60&gt;=$F60,"🟢 Paid in full",IF($J60&gt;0,"🟠 Partial","🔴 Unpaid")))</f>
        <v/>
      </c>
    </row>
    <row r="61" spans="1:13" ht="20" customHeight="1">
      <c r="A61" s="7"/>
      <c r="B61" s="85">
        <v>54</v>
      </c>
      <c r="C61" s="87"/>
      <c r="D61" s="86"/>
      <c r="E61" s="88"/>
      <c r="F61" s="90"/>
      <c r="G61" s="90"/>
      <c r="H61" s="90"/>
      <c r="I61" s="90"/>
      <c r="J61" s="84">
        <f>IF($F61="","",SUM($G61:$I61))</f>
        <v/>
      </c>
      <c r="K61" s="84">
        <f>IF($F61="","",$F61-$J61)</f>
        <v/>
      </c>
      <c r="L61" s="88"/>
      <c r="M61" s="116">
        <f>IF($F61="","",IF($J61&gt;=$F61,"🟢 Paid in full",IF($J61&gt;0,"🟠 Partial","🔴 Unpaid")))</f>
        <v/>
      </c>
    </row>
    <row r="62" spans="1:13" ht="20" customHeight="1">
      <c r="A62" s="7"/>
      <c r="B62" s="78">
        <v>55</v>
      </c>
      <c r="C62" s="80"/>
      <c r="D62" s="79"/>
      <c r="E62" s="81"/>
      <c r="F62" s="83"/>
      <c r="G62" s="83"/>
      <c r="H62" s="83"/>
      <c r="I62" s="83"/>
      <c r="J62" s="84">
        <f>IF($F62="","",SUM($G62:$I62))</f>
        <v/>
      </c>
      <c r="K62" s="84">
        <f>IF($F62="","",$F62-$J62)</f>
        <v/>
      </c>
      <c r="L62" s="81"/>
      <c r="M62" s="116">
        <f>IF($F62="","",IF($J62&gt;=$F62,"🟢 Paid in full",IF($J62&gt;0,"🟠 Partial","🔴 Unpaid")))</f>
        <v/>
      </c>
    </row>
    <row r="63" spans="1:13" ht="20" customHeight="1">
      <c r="A63" s="7"/>
      <c r="B63" s="85">
        <v>56</v>
      </c>
      <c r="C63" s="87"/>
      <c r="D63" s="86"/>
      <c r="E63" s="88"/>
      <c r="F63" s="90"/>
      <c r="G63" s="90"/>
      <c r="H63" s="90"/>
      <c r="I63" s="90"/>
      <c r="J63" s="84">
        <f>IF($F63="","",SUM($G63:$I63))</f>
        <v/>
      </c>
      <c r="K63" s="84">
        <f>IF($F63="","",$F63-$J63)</f>
        <v/>
      </c>
      <c r="L63" s="88"/>
      <c r="M63" s="116">
        <f>IF($F63="","",IF($J63&gt;=$F63,"🟢 Paid in full",IF($J63&gt;0,"🟠 Partial","🔴 Unpaid")))</f>
        <v/>
      </c>
    </row>
    <row r="64" spans="1:13" ht="20" customHeight="1">
      <c r="A64" s="7"/>
      <c r="B64" s="78">
        <v>57</v>
      </c>
      <c r="C64" s="80"/>
      <c r="D64" s="79"/>
      <c r="E64" s="81"/>
      <c r="F64" s="83"/>
      <c r="G64" s="83"/>
      <c r="H64" s="83"/>
      <c r="I64" s="83"/>
      <c r="J64" s="84">
        <f>IF($F64="","",SUM($G64:$I64))</f>
        <v/>
      </c>
      <c r="K64" s="84">
        <f>IF($F64="","",$F64-$J64)</f>
        <v/>
      </c>
      <c r="L64" s="81"/>
      <c r="M64" s="116">
        <f>IF($F64="","",IF($J64&gt;=$F64,"🟢 Paid in full",IF($J64&gt;0,"🟠 Partial","🔴 Unpaid")))</f>
        <v/>
      </c>
    </row>
    <row r="65" spans="1:13" ht="20" customHeight="1">
      <c r="A65" s="7"/>
      <c r="B65" s="85">
        <v>58</v>
      </c>
      <c r="C65" s="87"/>
      <c r="D65" s="86"/>
      <c r="E65" s="88"/>
      <c r="F65" s="90"/>
      <c r="G65" s="90"/>
      <c r="H65" s="90"/>
      <c r="I65" s="90"/>
      <c r="J65" s="84">
        <f>IF($F65="","",SUM($G65:$I65))</f>
        <v/>
      </c>
      <c r="K65" s="84">
        <f>IF($F65="","",$F65-$J65)</f>
        <v/>
      </c>
      <c r="L65" s="88"/>
      <c r="M65" s="116">
        <f>IF($F65="","",IF($J65&gt;=$F65,"🟢 Paid in full",IF($J65&gt;0,"🟠 Partial","🔴 Unpaid")))</f>
        <v/>
      </c>
    </row>
    <row r="66" spans="1:13" ht="20" customHeight="1">
      <c r="A66" s="7"/>
      <c r="B66" s="78">
        <v>59</v>
      </c>
      <c r="C66" s="80"/>
      <c r="D66" s="79"/>
      <c r="E66" s="81"/>
      <c r="F66" s="83"/>
      <c r="G66" s="83"/>
      <c r="H66" s="83"/>
      <c r="I66" s="83"/>
      <c r="J66" s="84">
        <f>IF($F66="","",SUM($G66:$I66))</f>
        <v/>
      </c>
      <c r="K66" s="84">
        <f>IF($F66="","",$F66-$J66)</f>
        <v/>
      </c>
      <c r="L66" s="81"/>
      <c r="M66" s="116">
        <f>IF($F66="","",IF($J66&gt;=$F66,"🟢 Paid in full",IF($J66&gt;0,"🟠 Partial","🔴 Unpaid")))</f>
        <v/>
      </c>
    </row>
    <row r="67" spans="1:13" ht="20" customHeight="1">
      <c r="A67" s="7"/>
      <c r="B67" s="85">
        <v>60</v>
      </c>
      <c r="C67" s="87"/>
      <c r="D67" s="86"/>
      <c r="E67" s="88"/>
      <c r="F67" s="90"/>
      <c r="G67" s="90"/>
      <c r="H67" s="90"/>
      <c r="I67" s="90"/>
      <c r="J67" s="84">
        <f>IF($F67="","",SUM($G67:$I67))</f>
        <v/>
      </c>
      <c r="K67" s="84">
        <f>IF($F67="","",$F67-$J67)</f>
        <v/>
      </c>
      <c r="L67" s="88"/>
      <c r="M67" s="116">
        <f>IF($F67="","",IF($J67&gt;=$F67,"🟢 Paid in full",IF($J67&gt;0,"🟠 Partial","🔴 Unpaid")))</f>
        <v/>
      </c>
    </row>
    <row r="68" spans="1:13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</row>
    <row r="69" spans="1:13" ht="24" customHeight="1">
      <c r="A69" s="7"/>
      <c r="B69" s="91" t="s">
        <v>214</v>
      </c>
      <c r="C69" s="91"/>
      <c r="D69" s="91"/>
      <c r="E69" s="91"/>
      <c r="F69" s="94">
        <f>SUM($F$8:$F$67)</f>
        <v>0</v>
      </c>
      <c r="G69" s="94">
        <f>SUM($G$8:$G$67)</f>
        <v>0</v>
      </c>
      <c r="H69" s="94">
        <f>SUM($H$8:$H$67)</f>
        <v>0</v>
      </c>
      <c r="I69" s="94">
        <f>SUM($I$8:$I$67)</f>
        <v>0</v>
      </c>
      <c r="J69" s="94">
        <f>SUM($J$8:$J$67)</f>
        <v>0</v>
      </c>
      <c r="K69" s="94">
        <f>SUM($K$8:$K$67)</f>
        <v>0</v>
      </c>
      <c r="L69" s="93"/>
      <c r="M69" s="93"/>
    </row>
    <row r="70" spans="1:13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</row>
    <row r="71" spans="1:13" ht="22" customHeight="1">
      <c r="A71" s="7"/>
      <c r="B71" s="66" t="s">
        <v>215</v>
      </c>
      <c r="C71" s="66"/>
      <c r="D71" s="66"/>
      <c r="E71" s="66"/>
      <c r="F71" s="66"/>
      <c r="G71" s="66"/>
      <c r="H71" s="66"/>
      <c r="I71" s="66"/>
      <c r="J71" s="66"/>
      <c r="K71" s="66"/>
      <c r="L71" s="66"/>
      <c r="M71" s="66"/>
    </row>
    <row r="72" spans="1:13" ht="51.8" customHeight="1">
      <c r="A72" s="7"/>
      <c r="B72" s="21" t="s">
        <v>323</v>
      </c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</row>
    <row r="73" spans="1:1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</row>
    <row r="74" spans="1:13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</row>
    <row r="75" spans="1:13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</row>
    <row r="76" spans="1:13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</row>
    <row r="77" spans="1:13" ht="24" customHeight="1">
      <c r="A77" s="7"/>
      <c r="B77" s="26" t="s">
        <v>199</v>
      </c>
      <c r="C77" s="26"/>
      <c r="D77" s="27" t="s">
        <v>165</v>
      </c>
      <c r="E77" s="27"/>
      <c r="F77" s="28" t="s">
        <v>166</v>
      </c>
      <c r="G77" s="28"/>
      <c r="H77" s="29" t="s">
        <v>4</v>
      </c>
      <c r="I77" s="29"/>
      <c r="J77" s="30" t="s">
        <v>167</v>
      </c>
      <c r="K77" s="30"/>
      <c r="L77" s="31" t="s">
        <v>168</v>
      </c>
      <c r="M77" s="31"/>
    </row>
    <row r="78" spans="1:13" ht="24" customHeight="1">
      <c r="A78" s="7"/>
      <c r="B78" s="32" t="s">
        <v>169</v>
      </c>
      <c r="C78" s="32"/>
      <c r="D78" s="33" t="s">
        <v>170</v>
      </c>
      <c r="E78" s="33"/>
      <c r="F78" s="27" t="s">
        <v>2</v>
      </c>
      <c r="G78" s="27"/>
      <c r="H78" s="29" t="s">
        <v>324</v>
      </c>
      <c r="I78" s="29"/>
      <c r="J78" s="26" t="s">
        <v>172</v>
      </c>
      <c r="K78" s="26"/>
      <c r="L78" s="27" t="s">
        <v>173</v>
      </c>
      <c r="M78" s="27"/>
    </row>
    <row r="79" spans="1:13" ht="24" customHeight="1">
      <c r="A79" s="7"/>
      <c r="B79" s="28" t="s">
        <v>174</v>
      </c>
      <c r="C79" s="28"/>
      <c r="D79" s="29" t="s">
        <v>175</v>
      </c>
      <c r="E79" s="29"/>
      <c r="F79" s="30" t="s">
        <v>176</v>
      </c>
      <c r="G79" s="30"/>
      <c r="H79" s="31" t="s">
        <v>177</v>
      </c>
      <c r="I79" s="31"/>
      <c r="J79" s="32" t="s">
        <v>178</v>
      </c>
      <c r="K79" s="32"/>
      <c r="L79" s="33" t="s">
        <v>56</v>
      </c>
      <c r="M79" s="33"/>
    </row>
    <row r="80" spans="1:13" ht="24" customHeight="1">
      <c r="A80" s="7"/>
      <c r="B80" s="27" t="s">
        <v>179</v>
      </c>
      <c r="C80" s="27"/>
      <c r="D80" s="7"/>
      <c r="E80" s="7"/>
      <c r="F80" s="7"/>
      <c r="G80" s="7"/>
      <c r="H80" s="7"/>
      <c r="I80" s="7"/>
      <c r="J80" s="7"/>
      <c r="K80" s="7"/>
      <c r="L80" s="7"/>
      <c r="M80" s="7"/>
    </row>
    <row r="81" spans="1:13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</row>
    <row r="82" spans="1:13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</row>
    <row r="83" spans="1:1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</row>
    <row r="84" spans="1:13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</row>
    <row r="85" spans="1:13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</row>
    <row r="86" spans="1:13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</row>
    <row r="87" spans="1:13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</row>
    <row r="88" spans="1:13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</row>
    <row r="89" spans="1:13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</row>
    <row r="90" spans="1:13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</row>
    <row r="91" spans="1:13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</row>
    <row r="92" spans="1:13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</row>
  </sheetData>
  <autoFilter ref="B7:M67"/>
  <mergeCells count="31">
    <mergeCell ref="B2:J2"/>
    <mergeCell ref="B3:J3"/>
    <mergeCell ref="K3:M3"/>
    <mergeCell ref="B5:C5"/>
    <mergeCell ref="D5:E5"/>
    <mergeCell ref="F5:G5"/>
    <mergeCell ref="H5:I5"/>
    <mergeCell ref="J5:K5"/>
    <mergeCell ref="L5:M5"/>
    <mergeCell ref="B69:E69"/>
    <mergeCell ref="B71:M71"/>
    <mergeCell ref="B72:M72"/>
    <mergeCell ref="B77:C77"/>
    <mergeCell ref="D77:E77"/>
    <mergeCell ref="F77:G77"/>
    <mergeCell ref="H77:I77"/>
    <mergeCell ref="J77:K77"/>
    <mergeCell ref="L77:M77"/>
    <mergeCell ref="B78:C78"/>
    <mergeCell ref="D78:E78"/>
    <mergeCell ref="F78:G78"/>
    <mergeCell ref="H78:I78"/>
    <mergeCell ref="J78:K78"/>
    <mergeCell ref="L78:M78"/>
    <mergeCell ref="B79:C79"/>
    <mergeCell ref="D79:E79"/>
    <mergeCell ref="F79:G79"/>
    <mergeCell ref="H79:I79"/>
    <mergeCell ref="J79:K79"/>
    <mergeCell ref="L79:M79"/>
    <mergeCell ref="B80:C80"/>
  </mergeCells>
  <conditionalFormatting sqref="K8:K67">
    <cfRule type="expression" dxfId="4" priority="6">
      <formula>AND($L8&lt;&gt;"",$K8&gt;0,$L8&lt;TODAY())</formula>
    </cfRule>
    <cfRule type="expression" dxfId="5" priority="7">
      <formula>AND($L8&lt;&gt;"",$K8&gt;0,$L8&gt;=TODAY(),$L8-TODAY()&lt;=DueSoonDays)</formula>
    </cfRule>
  </conditionalFormatting>
  <conditionalFormatting sqref="L8:L67">
    <cfRule type="expression" dxfId="4" priority="4">
      <formula>AND($L8&lt;&gt;"",$K8&gt;0,$L8&lt;TODAY())</formula>
    </cfRule>
    <cfRule type="expression" dxfId="5" priority="5">
      <formula>AND($L8&lt;&gt;"",$K8&gt;0,$L8&gt;=TODAY(),$L8-TODAY()&lt;=DueSoonDays)</formula>
    </cfRule>
  </conditionalFormatting>
  <conditionalFormatting sqref="M8:M67">
    <cfRule type="expression" dxfId="0" priority="1">
      <formula>$M8="🔴 Unpaid"</formula>
    </cfRule>
    <cfRule type="expression" dxfId="1" priority="2">
      <formula>$M8="🟠 Partial"</formula>
    </cfRule>
    <cfRule type="expression" dxfId="2" priority="3">
      <formula>$M8="🟢 Paid in full"</formula>
    </cfRule>
    <cfRule type="expression" dxfId="4" priority="8">
      <formula>AND($L8&lt;&gt;"",$K8&gt;0,$L8&lt;TODAY())</formula>
    </cfRule>
    <cfRule type="expression" dxfId="5" priority="9">
      <formula>AND($L8&lt;&gt;"",$K8&gt;0,$L8&gt;=TODAY(),$L8-TODAY()&lt;=DueSoonDays)</formula>
    </cfRule>
  </conditionalFormatting>
  <dataValidations count="7">
    <dataValidation type="list" allowBlank="1" showInputMessage="1" promptTitle="Client" prompt="Pick the client (from the 👥 Clients tab)." sqref="D8:D67">
      <formula1>ClientsList</formula1>
    </dataValidation>
    <dataValidation type="date" errorStyle="warning" allowBlank="1" showInputMessage="1" showErrorMessage="1" errorTitle="That's not a date" error="Enter a date between 2000 and 2100." promptTitle="Date" prompt="Type a date, or pick one from the calendar picker." sqref="E8:E67">
      <formula1>36526</formula1>
      <formula2>73415</formula2>
    </dataValidation>
    <dataValidation type="date" errorStyle="warning" allowBlank="1" showInputMessage="1" showErrorMessage="1" errorTitle="That's not a date" error="Enter a date between 2000 and 2100." promptTitle="Date" prompt="Type a date, or pick one from the calendar picker." sqref="L8:L67">
      <formula1>36526</formula1>
      <formula2>73415</formula2>
    </dataValidation>
    <dataValidation type="decimal" operator="greaterThanOrEqual" errorStyle="warning" allowBlank="1" showInputMessage="1" showErrorMessage="1" errorTitle="Enter money" error="Please enter a positive number (no currency symbol) - the symbol comes from Setup." sqref="F8:F67">
      <formula1>0</formula1>
    </dataValidation>
    <dataValidation type="decimal" operator="greaterThanOrEqual" errorStyle="warning" allowBlank="1" showInputMessage="1" showErrorMessage="1" errorTitle="Enter money" error="Please enter a positive number (no currency symbol) - the symbol comes from Setup." sqref="G8:G67">
      <formula1>0</formula1>
    </dataValidation>
    <dataValidation type="decimal" operator="greaterThanOrEqual" errorStyle="warning" allowBlank="1" showInputMessage="1" showErrorMessage="1" errorTitle="Enter money" error="Please enter a positive number (no currency symbol) - the symbol comes from Setup." sqref="H8:H67">
      <formula1>0</formula1>
    </dataValidation>
    <dataValidation type="decimal" operator="greaterThanOrEqual" errorStyle="warning" allowBlank="1" showInputMessage="1" showErrorMessage="1" errorTitle="Enter money" error="Please enter a positive number (no currency symbol) - the symbol comes from Setup." sqref="I8:I67">
      <formula1>0</formula1>
    </dataValidation>
  </dataValidations>
  <hyperlinks>
    <hyperlink ref="K3" location="'📊 Dashboard'!A1" display="🏠  Back to Dashboard"/>
    <hyperlink ref="B77" location="'⚙️ Setup'!A1" display="Setup"/>
    <hyperlink ref="D77" location="'📊 Dashboard'!A1" display="🏠 Home"/>
    <hyperlink ref="F77" location="'👥 Clients'!A1" display="Clients"/>
    <hyperlink ref="H77" location="'📅 Events'!A1" display="Events"/>
    <hyperlink ref="J77" location="'🧮 Quote Calculator'!A1" display="Quote"/>
    <hyperlink ref="L77" location="'🍽️ Menu Costing'!A1" display="Menu"/>
    <hyperlink ref="B78" location="'📦 Inventory'!A1" display="Stock"/>
    <hyperlink ref="D78" location="'🛒 Shopping List'!A1" display="Shop"/>
    <hyperlink ref="F78" location="'💸 Expenses'!A1" display="Expenses"/>
    <hyperlink ref="H78" location="'💰 Payments'!A1" display="▶ Payments"/>
    <hyperlink ref="J78" location="'👷 Staff &amp; Labor'!A1" display="Staff"/>
    <hyperlink ref="L78" location="'🍳 Equipment'!A1" display="Equip"/>
    <hyperlink ref="B79" location="'🚚 Suppliers'!A1" display="Suppliers"/>
    <hyperlink ref="D79" location="'📆 Event Calendar'!A1" display="Calendar"/>
    <hyperlink ref="F79" location="'📈 P&amp;L &amp; Reports'!A1" display="P&amp;L"/>
    <hyperlink ref="H79" location="'🧾 Tax Tracker'!A1" display="Tax"/>
    <hyperlink ref="J79" location="'✅ Checklists'!A1" display="Checks"/>
    <hyperlink ref="L79" location="'🖨️ Invoice &amp; Proposal'!A1" display="Invoice"/>
    <hyperlink ref="B80" location="'📖 Start Here'!A1" display="Help"/>
  </hyperlinks>
  <pageMargins left="0.4" right="0.4" top="0.5" bottom="0.5" header="0.3" footer="0.3"/>
  <pageSetup paperSize="9" fitToHeight="0" orientation="landscape"/>
  <headerFooter>
    <oddHeader>&amp;L&amp;"Calibri,Bold"&amp;11Catering Business Manager&amp;R&amp;"Calibri,Italic"&amp;9Page &amp;P of &amp;N</oddHeader>
    <oddFooter>&amp;C&amp;"Calibri,Italic"&amp;8&amp;A  •  Ultimate Catering Business Spreadsheet v1.0  •  personal licence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7A5273"/>
    <pageSetUpPr fitToPage="1"/>
  </sheetPr>
  <dimension ref="A1:K82"/>
  <sheetViews>
    <sheetView showGridLines="0" zoomScale="90" zoomScaleNormal="90" workbookViewId="0">
      <pane xSplit="2" ySplit="8" topLeftCell="C9" activePane="bottomRight" state="frozen"/>
      <selection pane="topRight" activeCell="C1" sqref="C1"/>
      <selection pane="bottomLeft" activeCell="A9" sqref="A9"/>
      <selection pane="bottomRight"/>
    </sheetView>
  </sheetViews>
  <sheetFormatPr defaultRowHeight="15"/>
  <cols>
    <col min="1" max="1" width="2.85546875" customWidth="1"/>
    <col min="2" max="2" width="5.28515625" customWidth="1"/>
    <col min="3" max="3" width="18.7109375" customWidth="1"/>
    <col min="4" max="4" width="13.7109375" customWidth="1"/>
    <col min="5" max="5" width="12.7109375" customWidth="1"/>
    <col min="6" max="6" width="8.7109375" customWidth="1"/>
    <col min="7" max="7" width="10.7109375" customWidth="1"/>
    <col min="8" max="8" width="8.7109375" customWidth="1"/>
    <col min="9" max="9" width="12.7109375" customWidth="1"/>
    <col min="10" max="10" width="9.7109375" customWidth="1"/>
    <col min="11" max="11" width="22.7109375" customWidth="1"/>
  </cols>
  <sheetData>
    <row r="1" spans="1:11" ht="7" customHeight="1">
      <c r="A1" s="7"/>
      <c r="B1" s="7"/>
      <c r="C1" s="7"/>
      <c r="D1" s="7"/>
      <c r="E1" s="7"/>
      <c r="F1" s="7"/>
      <c r="G1" s="7"/>
      <c r="H1" s="7"/>
      <c r="I1" s="7"/>
      <c r="J1" s="7"/>
      <c r="K1" s="7"/>
    </row>
    <row r="2" spans="1:11" ht="30" customHeight="1">
      <c r="A2" s="7"/>
      <c r="B2" s="8" t="s">
        <v>325</v>
      </c>
      <c r="C2" s="8"/>
      <c r="D2" s="8"/>
      <c r="E2" s="8"/>
      <c r="F2" s="8"/>
      <c r="G2" s="8"/>
      <c r="H2" s="8"/>
      <c r="I2" s="7"/>
      <c r="J2" s="7"/>
      <c r="K2" s="7"/>
    </row>
    <row r="3" spans="1:11" ht="18" customHeight="1">
      <c r="A3" s="7"/>
      <c r="B3" s="9" t="s">
        <v>326</v>
      </c>
      <c r="C3" s="9"/>
      <c r="D3" s="9"/>
      <c r="E3" s="9"/>
      <c r="F3" s="9"/>
      <c r="G3" s="9"/>
      <c r="H3" s="9"/>
      <c r="I3" s="10" t="s">
        <v>97</v>
      </c>
      <c r="J3" s="10"/>
      <c r="K3" s="10"/>
    </row>
    <row r="4" spans="1:11" ht="7" customHeight="1">
      <c r="A4" s="7"/>
      <c r="B4" s="7"/>
      <c r="C4" s="7"/>
      <c r="D4" s="7"/>
      <c r="E4" s="7"/>
      <c r="F4" s="7"/>
      <c r="G4" s="7"/>
      <c r="H4" s="7"/>
      <c r="I4" s="7"/>
      <c r="J4" s="7"/>
      <c r="K4" s="7"/>
    </row>
    <row r="5" spans="1:11" ht="26" customHeight="1">
      <c r="A5" s="7"/>
      <c r="B5" s="73" t="str">
        <f>"👷 Shifts logged: "&amp;COUNTIF('👷 Staff &amp; Labor'!$C$8:$C$57,"?*")</f>
        <v>Shifts logged: 0</v>
      </c>
      <c r="C5" s="73"/>
      <c r="D5" s="121" t="str">
        <f>"⏱ Hours worked: "&amp;TEXT(SUM($F$8:$F$57)+SUM($H$8:$H$57),"0")</f>
        <v>Hours worked: 0</v>
      </c>
      <c r="E5" s="121"/>
      <c r="F5" s="75" t="str">
        <f>"💰 Labor booked: "&amp;Currency&amp;TEXT(SUM('👷 Staff &amp; Labor'!$I$8:$I$57),"#,##0")</f>
        <v>Labor booked: $0</v>
      </c>
      <c r="G5" s="75"/>
      <c r="H5" s="76" t="str">
        <f>"✅ Paid out: "&amp;Currency&amp;TEXT(SUMIF('👷 Staff &amp; Labor'!$J$8:$J$57,"✓",'👷 Staff &amp; Labor'!$I$8:$I$57),"#,##0")</f>
        <v>Paid out: $0</v>
      </c>
      <c r="I5" s="76"/>
      <c r="J5" s="108" t="str">
        <f>"🔴 Unpaid shifts: "&amp;'_Data'!$AF$26</f>
        <v>Unpaid shifts: 0</v>
      </c>
      <c r="K5" s="108"/>
    </row>
    <row r="6" spans="1:11" ht="7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</row>
    <row r="7" spans="1:11" ht="36" customHeight="1">
      <c r="A7" s="7"/>
      <c r="B7" s="18" t="s">
        <v>203</v>
      </c>
      <c r="C7" s="18" t="s">
        <v>327</v>
      </c>
      <c r="D7" s="18" t="s">
        <v>328</v>
      </c>
      <c r="E7" s="18" t="s">
        <v>220</v>
      </c>
      <c r="F7" s="18" t="s">
        <v>329</v>
      </c>
      <c r="G7" s="18" t="s">
        <v>330</v>
      </c>
      <c r="H7" s="18" t="s">
        <v>331</v>
      </c>
      <c r="I7" s="77" t="s">
        <v>332</v>
      </c>
      <c r="J7" s="18" t="s">
        <v>333</v>
      </c>
      <c r="K7" s="18" t="s">
        <v>213</v>
      </c>
    </row>
    <row r="8" spans="1:11" ht="20" customHeight="1">
      <c r="A8" s="7"/>
      <c r="B8" s="78">
        <v>1</v>
      </c>
      <c r="C8" s="79"/>
      <c r="D8" s="80"/>
      <c r="E8" s="80"/>
      <c r="F8" s="82"/>
      <c r="G8" s="83"/>
      <c r="H8" s="82"/>
      <c r="I8" s="84">
        <f>IF(OR($C8="",$G8=""),"",$F8*$G8+$H8*$G8*1.5)</f>
        <v/>
      </c>
      <c r="J8" s="118"/>
      <c r="K8" s="79"/>
    </row>
    <row r="9" spans="1:11" ht="20" customHeight="1">
      <c r="A9" s="7"/>
      <c r="B9" s="85">
        <v>2</v>
      </c>
      <c r="C9" s="86"/>
      <c r="D9" s="87"/>
      <c r="E9" s="87"/>
      <c r="F9" s="89"/>
      <c r="G9" s="90"/>
      <c r="H9" s="89"/>
      <c r="I9" s="84">
        <f>IF(OR($C9="",$G9=""),"",$F9*$G9+$H9*$G9*1.5)</f>
        <v/>
      </c>
      <c r="J9" s="119"/>
      <c r="K9" s="86"/>
    </row>
    <row r="10" spans="1:11" ht="20" customHeight="1">
      <c r="A10" s="7"/>
      <c r="B10" s="78">
        <v>3</v>
      </c>
      <c r="C10" s="79"/>
      <c r="D10" s="80"/>
      <c r="E10" s="80"/>
      <c r="F10" s="82"/>
      <c r="G10" s="83"/>
      <c r="H10" s="82"/>
      <c r="I10" s="84">
        <f>IF(OR($C10="",$G10=""),"",$F10*$G10+$H10*$G10*1.5)</f>
        <v/>
      </c>
      <c r="J10" s="118"/>
      <c r="K10" s="79"/>
    </row>
    <row r="11" spans="1:11" ht="20" customHeight="1">
      <c r="A11" s="7"/>
      <c r="B11" s="85">
        <v>4</v>
      </c>
      <c r="C11" s="86"/>
      <c r="D11" s="87"/>
      <c r="E11" s="87"/>
      <c r="F11" s="89"/>
      <c r="G11" s="90"/>
      <c r="H11" s="89"/>
      <c r="I11" s="84">
        <f>IF(OR($C11="",$G11=""),"",$F11*$G11+$H11*$G11*1.5)</f>
        <v/>
      </c>
      <c r="J11" s="119"/>
      <c r="K11" s="86"/>
    </row>
    <row r="12" spans="1:11" ht="20" customHeight="1">
      <c r="A12" s="7"/>
      <c r="B12" s="78">
        <v>5</v>
      </c>
      <c r="C12" s="79"/>
      <c r="D12" s="80"/>
      <c r="E12" s="80"/>
      <c r="F12" s="82"/>
      <c r="G12" s="83"/>
      <c r="H12" s="82"/>
      <c r="I12" s="84">
        <f>IF(OR($C12="",$G12=""),"",$F12*$G12+$H12*$G12*1.5)</f>
        <v/>
      </c>
      <c r="J12" s="118"/>
      <c r="K12" s="79"/>
    </row>
    <row r="13" spans="1:11" ht="20" customHeight="1">
      <c r="A13" s="7"/>
      <c r="B13" s="85">
        <v>6</v>
      </c>
      <c r="C13" s="86"/>
      <c r="D13" s="87"/>
      <c r="E13" s="87"/>
      <c r="F13" s="89"/>
      <c r="G13" s="90"/>
      <c r="H13" s="89"/>
      <c r="I13" s="84">
        <f>IF(OR($C13="",$G13=""),"",$F13*$G13+$H13*$G13*1.5)</f>
        <v/>
      </c>
      <c r="J13" s="119"/>
      <c r="K13" s="86"/>
    </row>
    <row r="14" spans="1:11" ht="20" customHeight="1">
      <c r="A14" s="7"/>
      <c r="B14" s="78">
        <v>7</v>
      </c>
      <c r="C14" s="79"/>
      <c r="D14" s="80"/>
      <c r="E14" s="80"/>
      <c r="F14" s="82"/>
      <c r="G14" s="83"/>
      <c r="H14" s="82"/>
      <c r="I14" s="84">
        <f>IF(OR($C14="",$G14=""),"",$F14*$G14+$H14*$G14*1.5)</f>
        <v/>
      </c>
      <c r="J14" s="118"/>
      <c r="K14" s="79"/>
    </row>
    <row r="15" spans="1:11" ht="20" customHeight="1">
      <c r="A15" s="7"/>
      <c r="B15" s="85">
        <v>8</v>
      </c>
      <c r="C15" s="86"/>
      <c r="D15" s="87"/>
      <c r="E15" s="87"/>
      <c r="F15" s="89"/>
      <c r="G15" s="90"/>
      <c r="H15" s="89"/>
      <c r="I15" s="84">
        <f>IF(OR($C15="",$G15=""),"",$F15*$G15+$H15*$G15*1.5)</f>
        <v/>
      </c>
      <c r="J15" s="119"/>
      <c r="K15" s="86"/>
    </row>
    <row r="16" spans="1:11" ht="20" customHeight="1">
      <c r="A16" s="7"/>
      <c r="B16" s="78">
        <v>9</v>
      </c>
      <c r="C16" s="79"/>
      <c r="D16" s="80"/>
      <c r="E16" s="80"/>
      <c r="F16" s="82"/>
      <c r="G16" s="83"/>
      <c r="H16" s="82"/>
      <c r="I16" s="84">
        <f>IF(OR($C16="",$G16=""),"",$F16*$G16+$H16*$G16*1.5)</f>
        <v/>
      </c>
      <c r="J16" s="118"/>
      <c r="K16" s="79"/>
    </row>
    <row r="17" spans="1:11" ht="20" customHeight="1">
      <c r="A17" s="7"/>
      <c r="B17" s="85">
        <v>10</v>
      </c>
      <c r="C17" s="86"/>
      <c r="D17" s="87"/>
      <c r="E17" s="87"/>
      <c r="F17" s="89"/>
      <c r="G17" s="90"/>
      <c r="H17" s="89"/>
      <c r="I17" s="84">
        <f>IF(OR($C17="",$G17=""),"",$F17*$G17+$H17*$G17*1.5)</f>
        <v/>
      </c>
      <c r="J17" s="119"/>
      <c r="K17" s="86"/>
    </row>
    <row r="18" spans="1:11" ht="20" customHeight="1">
      <c r="A18" s="7"/>
      <c r="B18" s="78">
        <v>11</v>
      </c>
      <c r="C18" s="79"/>
      <c r="D18" s="80"/>
      <c r="E18" s="80"/>
      <c r="F18" s="82"/>
      <c r="G18" s="83"/>
      <c r="H18" s="82"/>
      <c r="I18" s="84">
        <f>IF(OR($C18="",$G18=""),"",$F18*$G18+$H18*$G18*1.5)</f>
        <v/>
      </c>
      <c r="J18" s="118"/>
      <c r="K18" s="79"/>
    </row>
    <row r="19" spans="1:11" ht="20" customHeight="1">
      <c r="A19" s="7"/>
      <c r="B19" s="85">
        <v>12</v>
      </c>
      <c r="C19" s="86"/>
      <c r="D19" s="87"/>
      <c r="E19" s="87"/>
      <c r="F19" s="89"/>
      <c r="G19" s="90"/>
      <c r="H19" s="89"/>
      <c r="I19" s="84">
        <f>IF(OR($C19="",$G19=""),"",$F19*$G19+$H19*$G19*1.5)</f>
        <v/>
      </c>
      <c r="J19" s="119"/>
      <c r="K19" s="86"/>
    </row>
    <row r="20" spans="1:11" ht="20" customHeight="1">
      <c r="A20" s="7"/>
      <c r="B20" s="78">
        <v>13</v>
      </c>
      <c r="C20" s="79"/>
      <c r="D20" s="80"/>
      <c r="E20" s="80"/>
      <c r="F20" s="82"/>
      <c r="G20" s="83"/>
      <c r="H20" s="82"/>
      <c r="I20" s="84">
        <f>IF(OR($C20="",$G20=""),"",$F20*$G20+$H20*$G20*1.5)</f>
        <v/>
      </c>
      <c r="J20" s="118"/>
      <c r="K20" s="79"/>
    </row>
    <row r="21" spans="1:11" ht="20" customHeight="1">
      <c r="A21" s="7"/>
      <c r="B21" s="85">
        <v>14</v>
      </c>
      <c r="C21" s="86"/>
      <c r="D21" s="87"/>
      <c r="E21" s="87"/>
      <c r="F21" s="89"/>
      <c r="G21" s="90"/>
      <c r="H21" s="89"/>
      <c r="I21" s="84">
        <f>IF(OR($C21="",$G21=""),"",$F21*$G21+$H21*$G21*1.5)</f>
        <v/>
      </c>
      <c r="J21" s="119"/>
      <c r="K21" s="86"/>
    </row>
    <row r="22" spans="1:11" ht="20" customHeight="1">
      <c r="A22" s="7"/>
      <c r="B22" s="78">
        <v>15</v>
      </c>
      <c r="C22" s="79"/>
      <c r="D22" s="80"/>
      <c r="E22" s="80"/>
      <c r="F22" s="82"/>
      <c r="G22" s="83"/>
      <c r="H22" s="82"/>
      <c r="I22" s="84">
        <f>IF(OR($C22="",$G22=""),"",$F22*$G22+$H22*$G22*1.5)</f>
        <v/>
      </c>
      <c r="J22" s="118"/>
      <c r="K22" s="79"/>
    </row>
    <row r="23" spans="1:11" ht="20" customHeight="1">
      <c r="A23" s="7"/>
      <c r="B23" s="85">
        <v>16</v>
      </c>
      <c r="C23" s="86"/>
      <c r="D23" s="87"/>
      <c r="E23" s="87"/>
      <c r="F23" s="89"/>
      <c r="G23" s="90"/>
      <c r="H23" s="89"/>
      <c r="I23" s="84">
        <f>IF(OR($C23="",$G23=""),"",$F23*$G23+$H23*$G23*1.5)</f>
        <v/>
      </c>
      <c r="J23" s="119"/>
      <c r="K23" s="86"/>
    </row>
    <row r="24" spans="1:11" ht="20" customHeight="1">
      <c r="A24" s="7"/>
      <c r="B24" s="78">
        <v>17</v>
      </c>
      <c r="C24" s="79"/>
      <c r="D24" s="80"/>
      <c r="E24" s="80"/>
      <c r="F24" s="82"/>
      <c r="G24" s="83"/>
      <c r="H24" s="82"/>
      <c r="I24" s="84">
        <f>IF(OR($C24="",$G24=""),"",$F24*$G24+$H24*$G24*1.5)</f>
        <v/>
      </c>
      <c r="J24" s="118"/>
      <c r="K24" s="79"/>
    </row>
    <row r="25" spans="1:11" ht="20" customHeight="1">
      <c r="A25" s="7"/>
      <c r="B25" s="85">
        <v>18</v>
      </c>
      <c r="C25" s="86"/>
      <c r="D25" s="87"/>
      <c r="E25" s="87"/>
      <c r="F25" s="89"/>
      <c r="G25" s="90"/>
      <c r="H25" s="89"/>
      <c r="I25" s="84">
        <f>IF(OR($C25="",$G25=""),"",$F25*$G25+$H25*$G25*1.5)</f>
        <v/>
      </c>
      <c r="J25" s="119"/>
      <c r="K25" s="86"/>
    </row>
    <row r="26" spans="1:11" ht="20" customHeight="1">
      <c r="A26" s="7"/>
      <c r="B26" s="78">
        <v>19</v>
      </c>
      <c r="C26" s="79"/>
      <c r="D26" s="80"/>
      <c r="E26" s="80"/>
      <c r="F26" s="82"/>
      <c r="G26" s="83"/>
      <c r="H26" s="82"/>
      <c r="I26" s="84">
        <f>IF(OR($C26="",$G26=""),"",$F26*$G26+$H26*$G26*1.5)</f>
        <v/>
      </c>
      <c r="J26" s="118"/>
      <c r="K26" s="79"/>
    </row>
    <row r="27" spans="1:11" ht="20" customHeight="1">
      <c r="A27" s="7"/>
      <c r="B27" s="85">
        <v>20</v>
      </c>
      <c r="C27" s="86"/>
      <c r="D27" s="87"/>
      <c r="E27" s="87"/>
      <c r="F27" s="89"/>
      <c r="G27" s="90"/>
      <c r="H27" s="89"/>
      <c r="I27" s="84">
        <f>IF(OR($C27="",$G27=""),"",$F27*$G27+$H27*$G27*1.5)</f>
        <v/>
      </c>
      <c r="J27" s="119"/>
      <c r="K27" s="86"/>
    </row>
    <row r="28" spans="1:11" ht="20" customHeight="1">
      <c r="A28" s="7"/>
      <c r="B28" s="78">
        <v>21</v>
      </c>
      <c r="C28" s="79"/>
      <c r="D28" s="80"/>
      <c r="E28" s="80"/>
      <c r="F28" s="82"/>
      <c r="G28" s="83"/>
      <c r="H28" s="82"/>
      <c r="I28" s="84">
        <f>IF(OR($C28="",$G28=""),"",$F28*$G28+$H28*$G28*1.5)</f>
        <v/>
      </c>
      <c r="J28" s="118"/>
      <c r="K28" s="79"/>
    </row>
    <row r="29" spans="1:11" ht="20" customHeight="1">
      <c r="A29" s="7"/>
      <c r="B29" s="85">
        <v>22</v>
      </c>
      <c r="C29" s="86"/>
      <c r="D29" s="87"/>
      <c r="E29" s="87"/>
      <c r="F29" s="89"/>
      <c r="G29" s="90"/>
      <c r="H29" s="89"/>
      <c r="I29" s="84">
        <f>IF(OR($C29="",$G29=""),"",$F29*$G29+$H29*$G29*1.5)</f>
        <v/>
      </c>
      <c r="J29" s="119"/>
      <c r="K29" s="86"/>
    </row>
    <row r="30" spans="1:11" ht="20" customHeight="1">
      <c r="A30" s="7"/>
      <c r="B30" s="78">
        <v>23</v>
      </c>
      <c r="C30" s="79"/>
      <c r="D30" s="80"/>
      <c r="E30" s="80"/>
      <c r="F30" s="82"/>
      <c r="G30" s="83"/>
      <c r="H30" s="82"/>
      <c r="I30" s="84">
        <f>IF(OR($C30="",$G30=""),"",$F30*$G30+$H30*$G30*1.5)</f>
        <v/>
      </c>
      <c r="J30" s="118"/>
      <c r="K30" s="79"/>
    </row>
    <row r="31" spans="1:11" ht="20" customHeight="1">
      <c r="A31" s="7"/>
      <c r="B31" s="85">
        <v>24</v>
      </c>
      <c r="C31" s="86"/>
      <c r="D31" s="87"/>
      <c r="E31" s="87"/>
      <c r="F31" s="89"/>
      <c r="G31" s="90"/>
      <c r="H31" s="89"/>
      <c r="I31" s="84">
        <f>IF(OR($C31="",$G31=""),"",$F31*$G31+$H31*$G31*1.5)</f>
        <v/>
      </c>
      <c r="J31" s="119"/>
      <c r="K31" s="86"/>
    </row>
    <row r="32" spans="1:11" ht="20" customHeight="1">
      <c r="A32" s="7"/>
      <c r="B32" s="78">
        <v>25</v>
      </c>
      <c r="C32" s="79"/>
      <c r="D32" s="80"/>
      <c r="E32" s="80"/>
      <c r="F32" s="82"/>
      <c r="G32" s="83"/>
      <c r="H32" s="82"/>
      <c r="I32" s="84">
        <f>IF(OR($C32="",$G32=""),"",$F32*$G32+$H32*$G32*1.5)</f>
        <v/>
      </c>
      <c r="J32" s="118"/>
      <c r="K32" s="79"/>
    </row>
    <row r="33" spans="1:11" ht="20" customHeight="1">
      <c r="A33" s="7"/>
      <c r="B33" s="85">
        <v>26</v>
      </c>
      <c r="C33" s="86"/>
      <c r="D33" s="87"/>
      <c r="E33" s="87"/>
      <c r="F33" s="89"/>
      <c r="G33" s="90"/>
      <c r="H33" s="89"/>
      <c r="I33" s="84">
        <f>IF(OR($C33="",$G33=""),"",$F33*$G33+$H33*$G33*1.5)</f>
        <v/>
      </c>
      <c r="J33" s="119"/>
      <c r="K33" s="86"/>
    </row>
    <row r="34" spans="1:11" ht="20" customHeight="1">
      <c r="A34" s="7"/>
      <c r="B34" s="78">
        <v>27</v>
      </c>
      <c r="C34" s="79"/>
      <c r="D34" s="80"/>
      <c r="E34" s="80"/>
      <c r="F34" s="82"/>
      <c r="G34" s="83"/>
      <c r="H34" s="82"/>
      <c r="I34" s="84">
        <f>IF(OR($C34="",$G34=""),"",$F34*$G34+$H34*$G34*1.5)</f>
        <v/>
      </c>
      <c r="J34" s="118"/>
      <c r="K34" s="79"/>
    </row>
    <row r="35" spans="1:11" ht="20" customHeight="1">
      <c r="A35" s="7"/>
      <c r="B35" s="85">
        <v>28</v>
      </c>
      <c r="C35" s="86"/>
      <c r="D35" s="87"/>
      <c r="E35" s="87"/>
      <c r="F35" s="89"/>
      <c r="G35" s="90"/>
      <c r="H35" s="89"/>
      <c r="I35" s="84">
        <f>IF(OR($C35="",$G35=""),"",$F35*$G35+$H35*$G35*1.5)</f>
        <v/>
      </c>
      <c r="J35" s="119"/>
      <c r="K35" s="86"/>
    </row>
    <row r="36" spans="1:11" ht="20" customHeight="1">
      <c r="A36" s="7"/>
      <c r="B36" s="78">
        <v>29</v>
      </c>
      <c r="C36" s="79"/>
      <c r="D36" s="80"/>
      <c r="E36" s="80"/>
      <c r="F36" s="82"/>
      <c r="G36" s="83"/>
      <c r="H36" s="82"/>
      <c r="I36" s="84">
        <f>IF(OR($C36="",$G36=""),"",$F36*$G36+$H36*$G36*1.5)</f>
        <v/>
      </c>
      <c r="J36" s="118"/>
      <c r="K36" s="79"/>
    </row>
    <row r="37" spans="1:11" ht="20" customHeight="1">
      <c r="A37" s="7"/>
      <c r="B37" s="85">
        <v>30</v>
      </c>
      <c r="C37" s="86"/>
      <c r="D37" s="87"/>
      <c r="E37" s="87"/>
      <c r="F37" s="89"/>
      <c r="G37" s="90"/>
      <c r="H37" s="89"/>
      <c r="I37" s="84">
        <f>IF(OR($C37="",$G37=""),"",$F37*$G37+$H37*$G37*1.5)</f>
        <v/>
      </c>
      <c r="J37" s="119"/>
      <c r="K37" s="86"/>
    </row>
    <row r="38" spans="1:11" ht="20" customHeight="1">
      <c r="A38" s="7"/>
      <c r="B38" s="78">
        <v>31</v>
      </c>
      <c r="C38" s="79"/>
      <c r="D38" s="80"/>
      <c r="E38" s="80"/>
      <c r="F38" s="82"/>
      <c r="G38" s="83"/>
      <c r="H38" s="82"/>
      <c r="I38" s="84">
        <f>IF(OR($C38="",$G38=""),"",$F38*$G38+$H38*$G38*1.5)</f>
        <v/>
      </c>
      <c r="J38" s="118"/>
      <c r="K38" s="79"/>
    </row>
    <row r="39" spans="1:11" ht="20" customHeight="1">
      <c r="A39" s="7"/>
      <c r="B39" s="85">
        <v>32</v>
      </c>
      <c r="C39" s="86"/>
      <c r="D39" s="87"/>
      <c r="E39" s="87"/>
      <c r="F39" s="89"/>
      <c r="G39" s="90"/>
      <c r="H39" s="89"/>
      <c r="I39" s="84">
        <f>IF(OR($C39="",$G39=""),"",$F39*$G39+$H39*$G39*1.5)</f>
        <v/>
      </c>
      <c r="J39" s="119"/>
      <c r="K39" s="86"/>
    </row>
    <row r="40" spans="1:11" ht="20" customHeight="1">
      <c r="A40" s="7"/>
      <c r="B40" s="78">
        <v>33</v>
      </c>
      <c r="C40" s="79"/>
      <c r="D40" s="80"/>
      <c r="E40" s="80"/>
      <c r="F40" s="82"/>
      <c r="G40" s="83"/>
      <c r="H40" s="82"/>
      <c r="I40" s="84">
        <f>IF(OR($C40="",$G40=""),"",$F40*$G40+$H40*$G40*1.5)</f>
        <v/>
      </c>
      <c r="J40" s="118"/>
      <c r="K40" s="79"/>
    </row>
    <row r="41" spans="1:11" ht="20" customHeight="1">
      <c r="A41" s="7"/>
      <c r="B41" s="85">
        <v>34</v>
      </c>
      <c r="C41" s="86"/>
      <c r="D41" s="87"/>
      <c r="E41" s="87"/>
      <c r="F41" s="89"/>
      <c r="G41" s="90"/>
      <c r="H41" s="89"/>
      <c r="I41" s="84">
        <f>IF(OR($C41="",$G41=""),"",$F41*$G41+$H41*$G41*1.5)</f>
        <v/>
      </c>
      <c r="J41" s="119"/>
      <c r="K41" s="86"/>
    </row>
    <row r="42" spans="1:11" ht="20" customHeight="1">
      <c r="A42" s="7"/>
      <c r="B42" s="78">
        <v>35</v>
      </c>
      <c r="C42" s="79"/>
      <c r="D42" s="80"/>
      <c r="E42" s="80"/>
      <c r="F42" s="82"/>
      <c r="G42" s="83"/>
      <c r="H42" s="82"/>
      <c r="I42" s="84">
        <f>IF(OR($C42="",$G42=""),"",$F42*$G42+$H42*$G42*1.5)</f>
        <v/>
      </c>
      <c r="J42" s="118"/>
      <c r="K42" s="79"/>
    </row>
    <row r="43" spans="1:11" ht="20" customHeight="1">
      <c r="A43" s="7"/>
      <c r="B43" s="85">
        <v>36</v>
      </c>
      <c r="C43" s="86"/>
      <c r="D43" s="87"/>
      <c r="E43" s="87"/>
      <c r="F43" s="89"/>
      <c r="G43" s="90"/>
      <c r="H43" s="89"/>
      <c r="I43" s="84">
        <f>IF(OR($C43="",$G43=""),"",$F43*$G43+$H43*$G43*1.5)</f>
        <v/>
      </c>
      <c r="J43" s="119"/>
      <c r="K43" s="86"/>
    </row>
    <row r="44" spans="1:11" ht="20" customHeight="1">
      <c r="A44" s="7"/>
      <c r="B44" s="78">
        <v>37</v>
      </c>
      <c r="C44" s="79"/>
      <c r="D44" s="80"/>
      <c r="E44" s="80"/>
      <c r="F44" s="82"/>
      <c r="G44" s="83"/>
      <c r="H44" s="82"/>
      <c r="I44" s="84">
        <f>IF(OR($C44="",$G44=""),"",$F44*$G44+$H44*$G44*1.5)</f>
        <v/>
      </c>
      <c r="J44" s="118"/>
      <c r="K44" s="79"/>
    </row>
    <row r="45" spans="1:11" ht="20" customHeight="1">
      <c r="A45" s="7"/>
      <c r="B45" s="85">
        <v>38</v>
      </c>
      <c r="C45" s="86"/>
      <c r="D45" s="87"/>
      <c r="E45" s="87"/>
      <c r="F45" s="89"/>
      <c r="G45" s="90"/>
      <c r="H45" s="89"/>
      <c r="I45" s="84">
        <f>IF(OR($C45="",$G45=""),"",$F45*$G45+$H45*$G45*1.5)</f>
        <v/>
      </c>
      <c r="J45" s="119"/>
      <c r="K45" s="86"/>
    </row>
    <row r="46" spans="1:11" ht="20" customHeight="1">
      <c r="A46" s="7"/>
      <c r="B46" s="78">
        <v>39</v>
      </c>
      <c r="C46" s="79"/>
      <c r="D46" s="80"/>
      <c r="E46" s="80"/>
      <c r="F46" s="82"/>
      <c r="G46" s="83"/>
      <c r="H46" s="82"/>
      <c r="I46" s="84">
        <f>IF(OR($C46="",$G46=""),"",$F46*$G46+$H46*$G46*1.5)</f>
        <v/>
      </c>
      <c r="J46" s="118"/>
      <c r="K46" s="79"/>
    </row>
    <row r="47" spans="1:11" ht="20" customHeight="1">
      <c r="A47" s="7"/>
      <c r="B47" s="85">
        <v>40</v>
      </c>
      <c r="C47" s="86"/>
      <c r="D47" s="87"/>
      <c r="E47" s="87"/>
      <c r="F47" s="89"/>
      <c r="G47" s="90"/>
      <c r="H47" s="89"/>
      <c r="I47" s="84">
        <f>IF(OR($C47="",$G47=""),"",$F47*$G47+$H47*$G47*1.5)</f>
        <v/>
      </c>
      <c r="J47" s="119"/>
      <c r="K47" s="86"/>
    </row>
    <row r="48" spans="1:11" ht="20" customHeight="1">
      <c r="A48" s="7"/>
      <c r="B48" s="78">
        <v>41</v>
      </c>
      <c r="C48" s="79"/>
      <c r="D48" s="80"/>
      <c r="E48" s="80"/>
      <c r="F48" s="82"/>
      <c r="G48" s="83"/>
      <c r="H48" s="82"/>
      <c r="I48" s="84">
        <f>IF(OR($C48="",$G48=""),"",$F48*$G48+$H48*$G48*1.5)</f>
        <v/>
      </c>
      <c r="J48" s="118"/>
      <c r="K48" s="79"/>
    </row>
    <row r="49" spans="1:11" ht="20" customHeight="1">
      <c r="A49" s="7"/>
      <c r="B49" s="85">
        <v>42</v>
      </c>
      <c r="C49" s="86"/>
      <c r="D49" s="87"/>
      <c r="E49" s="87"/>
      <c r="F49" s="89"/>
      <c r="G49" s="90"/>
      <c r="H49" s="89"/>
      <c r="I49" s="84">
        <f>IF(OR($C49="",$G49=""),"",$F49*$G49+$H49*$G49*1.5)</f>
        <v/>
      </c>
      <c r="J49" s="119"/>
      <c r="K49" s="86"/>
    </row>
    <row r="50" spans="1:11" ht="20" customHeight="1">
      <c r="A50" s="7"/>
      <c r="B50" s="78">
        <v>43</v>
      </c>
      <c r="C50" s="79"/>
      <c r="D50" s="80"/>
      <c r="E50" s="80"/>
      <c r="F50" s="82"/>
      <c r="G50" s="83"/>
      <c r="H50" s="82"/>
      <c r="I50" s="84">
        <f>IF(OR($C50="",$G50=""),"",$F50*$G50+$H50*$G50*1.5)</f>
        <v/>
      </c>
      <c r="J50" s="118"/>
      <c r="K50" s="79"/>
    </row>
    <row r="51" spans="1:11" ht="20" customHeight="1">
      <c r="A51" s="7"/>
      <c r="B51" s="85">
        <v>44</v>
      </c>
      <c r="C51" s="86"/>
      <c r="D51" s="87"/>
      <c r="E51" s="87"/>
      <c r="F51" s="89"/>
      <c r="G51" s="90"/>
      <c r="H51" s="89"/>
      <c r="I51" s="84">
        <f>IF(OR($C51="",$G51=""),"",$F51*$G51+$H51*$G51*1.5)</f>
        <v/>
      </c>
      <c r="J51" s="119"/>
      <c r="K51" s="86"/>
    </row>
    <row r="52" spans="1:11" ht="20" customHeight="1">
      <c r="A52" s="7"/>
      <c r="B52" s="78">
        <v>45</v>
      </c>
      <c r="C52" s="79"/>
      <c r="D52" s="80"/>
      <c r="E52" s="80"/>
      <c r="F52" s="82"/>
      <c r="G52" s="83"/>
      <c r="H52" s="82"/>
      <c r="I52" s="84">
        <f>IF(OR($C52="",$G52=""),"",$F52*$G52+$H52*$G52*1.5)</f>
        <v/>
      </c>
      <c r="J52" s="118"/>
      <c r="K52" s="79"/>
    </row>
    <row r="53" spans="1:11" ht="20" customHeight="1">
      <c r="A53" s="7"/>
      <c r="B53" s="85">
        <v>46</v>
      </c>
      <c r="C53" s="86"/>
      <c r="D53" s="87"/>
      <c r="E53" s="87"/>
      <c r="F53" s="89"/>
      <c r="G53" s="90"/>
      <c r="H53" s="89"/>
      <c r="I53" s="84">
        <f>IF(OR($C53="",$G53=""),"",$F53*$G53+$H53*$G53*1.5)</f>
        <v/>
      </c>
      <c r="J53" s="119"/>
      <c r="K53" s="86"/>
    </row>
    <row r="54" spans="1:11" ht="20" customHeight="1">
      <c r="A54" s="7"/>
      <c r="B54" s="78">
        <v>47</v>
      </c>
      <c r="C54" s="79"/>
      <c r="D54" s="80"/>
      <c r="E54" s="80"/>
      <c r="F54" s="82"/>
      <c r="G54" s="83"/>
      <c r="H54" s="82"/>
      <c r="I54" s="84">
        <f>IF(OR($C54="",$G54=""),"",$F54*$G54+$H54*$G54*1.5)</f>
        <v/>
      </c>
      <c r="J54" s="118"/>
      <c r="K54" s="79"/>
    </row>
    <row r="55" spans="1:11" ht="20" customHeight="1">
      <c r="A55" s="7"/>
      <c r="B55" s="85">
        <v>48</v>
      </c>
      <c r="C55" s="86"/>
      <c r="D55" s="87"/>
      <c r="E55" s="87"/>
      <c r="F55" s="89"/>
      <c r="G55" s="90"/>
      <c r="H55" s="89"/>
      <c r="I55" s="84">
        <f>IF(OR($C55="",$G55=""),"",$F55*$G55+$H55*$G55*1.5)</f>
        <v/>
      </c>
      <c r="J55" s="119"/>
      <c r="K55" s="86"/>
    </row>
    <row r="56" spans="1:11" ht="20" customHeight="1">
      <c r="A56" s="7"/>
      <c r="B56" s="78">
        <v>49</v>
      </c>
      <c r="C56" s="79"/>
      <c r="D56" s="80"/>
      <c r="E56" s="80"/>
      <c r="F56" s="82"/>
      <c r="G56" s="83"/>
      <c r="H56" s="82"/>
      <c r="I56" s="84">
        <f>IF(OR($C56="",$G56=""),"",$F56*$G56+$H56*$G56*1.5)</f>
        <v/>
      </c>
      <c r="J56" s="118"/>
      <c r="K56" s="79"/>
    </row>
    <row r="57" spans="1:11" ht="20" customHeight="1">
      <c r="A57" s="7"/>
      <c r="B57" s="85">
        <v>50</v>
      </c>
      <c r="C57" s="86"/>
      <c r="D57" s="87"/>
      <c r="E57" s="87"/>
      <c r="F57" s="89"/>
      <c r="G57" s="90"/>
      <c r="H57" s="89"/>
      <c r="I57" s="84">
        <f>IF(OR($C57="",$G57=""),"",$F57*$G57+$H57*$G57*1.5)</f>
        <v/>
      </c>
      <c r="J57" s="119"/>
      <c r="K57" s="86"/>
    </row>
    <row r="58" spans="1:1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</row>
    <row r="59" spans="1:11" ht="24" customHeight="1">
      <c r="A59" s="7"/>
      <c r="B59" s="91" t="s">
        <v>214</v>
      </c>
      <c r="C59" s="91"/>
      <c r="D59" s="91"/>
      <c r="E59" s="91"/>
      <c r="F59" s="92">
        <f>SUM($F$8:$F$57)</f>
        <v>0</v>
      </c>
      <c r="G59" s="93"/>
      <c r="H59" s="92">
        <f>SUM($H$8:$H$57)</f>
        <v>0</v>
      </c>
      <c r="I59" s="94">
        <f>SUM($I$8:$I$57)</f>
        <v>0</v>
      </c>
      <c r="J59" s="93"/>
      <c r="K59" s="93"/>
    </row>
    <row r="60" spans="1:1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</row>
    <row r="61" spans="1:11" ht="22" customHeight="1">
      <c r="A61" s="7"/>
      <c r="B61" s="66" t="s">
        <v>215</v>
      </c>
      <c r="C61" s="66"/>
      <c r="D61" s="66"/>
      <c r="E61" s="66"/>
      <c r="F61" s="66"/>
      <c r="G61" s="66"/>
      <c r="H61" s="66"/>
      <c r="I61" s="66"/>
      <c r="J61" s="66"/>
      <c r="K61" s="66"/>
    </row>
    <row r="62" spans="1:11" ht="51.8" customHeight="1">
      <c r="A62" s="7"/>
      <c r="B62" s="21" t="s">
        <v>334</v>
      </c>
      <c r="C62" s="21"/>
      <c r="D62" s="21"/>
      <c r="E62" s="21"/>
      <c r="F62" s="21"/>
      <c r="G62" s="21"/>
      <c r="H62" s="21"/>
      <c r="I62" s="21"/>
      <c r="J62" s="21"/>
      <c r="K62" s="21"/>
    </row>
    <row r="63" spans="1:1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</row>
    <row r="64" spans="1:1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</row>
    <row r="65" spans="1:1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</row>
    <row r="66" spans="1:1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</row>
    <row r="67" spans="1:11" ht="24" customHeight="1">
      <c r="A67" s="7"/>
      <c r="B67" s="26" t="s">
        <v>199</v>
      </c>
      <c r="C67" s="26"/>
      <c r="D67" s="27" t="s">
        <v>165</v>
      </c>
      <c r="E67" s="27"/>
      <c r="F67" s="28" t="s">
        <v>166</v>
      </c>
      <c r="G67" s="28"/>
      <c r="H67" s="29" t="s">
        <v>4</v>
      </c>
      <c r="I67" s="29"/>
      <c r="J67" s="30" t="s">
        <v>167</v>
      </c>
      <c r="K67" s="30"/>
    </row>
    <row r="68" spans="1:11" ht="24" customHeight="1">
      <c r="A68" s="7"/>
      <c r="B68" s="31" t="s">
        <v>168</v>
      </c>
      <c r="C68" s="31"/>
      <c r="D68" s="32" t="s">
        <v>169</v>
      </c>
      <c r="E68" s="32"/>
      <c r="F68" s="33" t="s">
        <v>170</v>
      </c>
      <c r="G68" s="33"/>
      <c r="H68" s="27" t="s">
        <v>2</v>
      </c>
      <c r="I68" s="27"/>
      <c r="J68" s="29" t="s">
        <v>171</v>
      </c>
      <c r="K68" s="29"/>
    </row>
    <row r="69" spans="1:11" ht="24" customHeight="1">
      <c r="A69" s="7"/>
      <c r="B69" s="26" t="s">
        <v>335</v>
      </c>
      <c r="C69" s="26"/>
      <c r="D69" s="27" t="s">
        <v>173</v>
      </c>
      <c r="E69" s="27"/>
      <c r="F69" s="28" t="s">
        <v>174</v>
      </c>
      <c r="G69" s="28"/>
      <c r="H69" s="29" t="s">
        <v>175</v>
      </c>
      <c r="I69" s="29"/>
      <c r="J69" s="30" t="s">
        <v>176</v>
      </c>
      <c r="K69" s="30"/>
    </row>
    <row r="70" spans="1:11" ht="24" customHeight="1">
      <c r="A70" s="7"/>
      <c r="B70" s="31" t="s">
        <v>177</v>
      </c>
      <c r="C70" s="31"/>
      <c r="D70" s="32" t="s">
        <v>178</v>
      </c>
      <c r="E70" s="32"/>
      <c r="F70" s="33" t="s">
        <v>56</v>
      </c>
      <c r="G70" s="33"/>
      <c r="H70" s="27" t="s">
        <v>179</v>
      </c>
      <c r="I70" s="27"/>
      <c r="J70" s="7"/>
      <c r="K70" s="7"/>
    </row>
    <row r="71" spans="1:1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</row>
    <row r="72" spans="1:1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</row>
    <row r="73" spans="1:1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</row>
    <row r="74" spans="1:1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</row>
    <row r="75" spans="1:1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</row>
    <row r="76" spans="1:1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</row>
    <row r="77" spans="1:1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</row>
    <row r="78" spans="1:1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</row>
    <row r="79" spans="1:1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</row>
    <row r="80" spans="1:1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</row>
    <row r="81" spans="1:1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</row>
    <row r="82" spans="1:1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</row>
  </sheetData>
  <autoFilter ref="B7:K57"/>
  <mergeCells count="30">
    <mergeCell ref="B2:H2"/>
    <mergeCell ref="B3:H3"/>
    <mergeCell ref="I3:K3"/>
    <mergeCell ref="B5:C5"/>
    <mergeCell ref="D5:E5"/>
    <mergeCell ref="F5:G5"/>
    <mergeCell ref="H5:I5"/>
    <mergeCell ref="J5:K5"/>
    <mergeCell ref="B59:E59"/>
    <mergeCell ref="B61:K61"/>
    <mergeCell ref="B62:K62"/>
    <mergeCell ref="B67:C67"/>
    <mergeCell ref="D67:E67"/>
    <mergeCell ref="F67:G67"/>
    <mergeCell ref="H67:I67"/>
    <mergeCell ref="J67:K67"/>
    <mergeCell ref="B68:C68"/>
    <mergeCell ref="D68:E68"/>
    <mergeCell ref="F68:G68"/>
    <mergeCell ref="H68:I68"/>
    <mergeCell ref="J68:K68"/>
    <mergeCell ref="B69:C69"/>
    <mergeCell ref="D69:E69"/>
    <mergeCell ref="F69:G69"/>
    <mergeCell ref="H69:I69"/>
    <mergeCell ref="J69:K69"/>
    <mergeCell ref="B70:C70"/>
    <mergeCell ref="D70:E70"/>
    <mergeCell ref="F70:G70"/>
    <mergeCell ref="H70:I70"/>
  </mergeCells>
  <conditionalFormatting sqref="I8:I57">
    <cfRule type="expression" dxfId="4" priority="2">
      <formula>AND($I8&lt;&gt;"",$J8&lt;&gt;"✓")</formula>
    </cfRule>
  </conditionalFormatting>
  <conditionalFormatting sqref="J8:J57">
    <cfRule type="expression" dxfId="13" priority="1">
      <formula>$J8="✓"</formula>
    </cfRule>
  </conditionalFormatting>
  <dataValidations count="6">
    <dataValidation type="list" allowBlank="1" showInputMessage="1" promptTitle="Role" prompt="Head Chef, Server, Driver… editable on ⚙️ Setup." sqref="D8:D57">
      <formula1>StaffRoles</formula1>
    </dataValidation>
    <dataValidation type="list" allowBlank="1" showInputMessage="1" promptTitle="Event ID" prompt="Which event is this shift for?" sqref="E8:E57">
      <formula1>EventList</formula1>
    </dataValidation>
    <dataValidation type="whole" errorStyle="warning" allowBlank="1" showInputMessage="1" showErrorMessage="1" errorTitle="Whole numbers only" error="Please enter a whole number." sqref="F8:F57">
      <formula1>0</formula1>
      <formula2>24</formula2>
    </dataValidation>
    <dataValidation type="whole" errorStyle="warning" allowBlank="1" showInputMessage="1" showErrorMessage="1" errorTitle="Whole numbers only" error="Please enter a whole number." sqref="H8:H57">
      <formula1>0</formula1>
      <formula2>24</formula2>
    </dataValidation>
    <dataValidation type="decimal" operator="greaterThanOrEqual" errorStyle="warning" allowBlank="1" showInputMessage="1" showErrorMessage="1" errorTitle="Enter money" error="Please enter a positive number (no currency symbol) - the symbol comes from Setup." sqref="G8:G57">
      <formula1>0</formula1>
    </dataValidation>
    <dataValidation type="list" allowBlank="1" showInputMessage="1" promptTitle="Tick it off" prompt="Pick ✓ from the dropdown to tick it off (leave blank for not yet)." sqref="J8:J57">
      <formula1>Tick</formula1>
    </dataValidation>
  </dataValidations>
  <hyperlinks>
    <hyperlink ref="I3" location="'📊 Dashboard'!A1" display="🏠  Back to Dashboard"/>
    <hyperlink ref="B67" location="'⚙️ Setup'!A1" display="Setup"/>
    <hyperlink ref="D67" location="'📊 Dashboard'!A1" display="🏠 Home"/>
    <hyperlink ref="F67" location="'👥 Clients'!A1" display="Clients"/>
    <hyperlink ref="H67" location="'📅 Events'!A1" display="Events"/>
    <hyperlink ref="J67" location="'🧮 Quote Calculator'!A1" display="Quote"/>
    <hyperlink ref="B68" location="'🍽️ Menu Costing'!A1" display="Menu"/>
    <hyperlink ref="D68" location="'📦 Inventory'!A1" display="Stock"/>
    <hyperlink ref="F68" location="'🛒 Shopping List'!A1" display="Shop"/>
    <hyperlink ref="H68" location="'💸 Expenses'!A1" display="Expenses"/>
    <hyperlink ref="J68" location="'💰 Payments'!A1" display="Payments"/>
    <hyperlink ref="B69" location="'👷 Staff &amp; Labor'!A1" display="▶ Staff"/>
    <hyperlink ref="D69" location="'🍳 Equipment'!A1" display="Equip"/>
    <hyperlink ref="F69" location="'🚚 Suppliers'!A1" display="Suppliers"/>
    <hyperlink ref="H69" location="'📆 Event Calendar'!A1" display="Calendar"/>
    <hyperlink ref="J69" location="'📈 P&amp;L &amp; Reports'!A1" display="P&amp;L"/>
    <hyperlink ref="B70" location="'🧾 Tax Tracker'!A1" display="Tax"/>
    <hyperlink ref="D70" location="'✅ Checklists'!A1" display="Checks"/>
    <hyperlink ref="F70" location="'🖨️ Invoice &amp; Proposal'!A1" display="Invoice"/>
    <hyperlink ref="H70" location="'📖 Start Here'!A1" display="Help"/>
  </hyperlinks>
  <pageMargins left="0.4" right="0.4" top="0.5" bottom="0.5" header="0.3" footer="0.3"/>
  <pageSetup paperSize="9" fitToHeight="0" orientation="landscape"/>
  <headerFooter>
    <oddHeader>&amp;L&amp;"Calibri,Bold"&amp;11Catering Business Manager&amp;R&amp;"Calibri,Italic"&amp;9Page &amp;P of &amp;N</oddHeader>
    <oddFooter>&amp;C&amp;"Calibri,Italic"&amp;8&amp;A  •  Ultimate Catering Business Spreadsheet v1.0  •  personal licence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3F6E8C"/>
    <pageSetUpPr fitToPage="1"/>
  </sheetPr>
  <dimension ref="A1:L67"/>
  <sheetViews>
    <sheetView showGridLines="0" zoomScale="90" zoomScaleNormal="90" workbookViewId="0">
      <pane xSplit="2" ySplit="8" topLeftCell="C9" activePane="bottomRight" state="frozen"/>
      <selection pane="topRight" activeCell="C1" sqref="C1"/>
      <selection pane="bottomLeft" activeCell="A9" sqref="A9"/>
      <selection pane="bottomRight"/>
    </sheetView>
  </sheetViews>
  <sheetFormatPr defaultRowHeight="15"/>
  <cols>
    <col min="1" max="1" width="2.85546875" customWidth="1"/>
    <col min="2" max="2" width="5.28515625" customWidth="1"/>
    <col min="3" max="3" width="27.7109375" customWidth="1"/>
    <col min="4" max="4" width="14.7109375" customWidth="1"/>
    <col min="5" max="5" width="8.7109375" customWidth="1"/>
    <col min="6" max="6" width="10.7109375" customWidth="1"/>
    <col min="7" max="7" width="9.7109375" customWidth="1"/>
    <col min="8" max="8" width="10.7109375" customWidth="1"/>
    <col min="9" max="9" width="11.7109375" customWidth="1"/>
    <col min="10" max="10" width="12.7109375" customWidth="1"/>
    <col min="11" max="11" width="13.7109375" customWidth="1"/>
    <col min="12" max="12" width="16.7109375" customWidth="1"/>
  </cols>
  <sheetData>
    <row r="1" spans="1:12" ht="7" customHeight="1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pans="1:12" ht="30" customHeight="1">
      <c r="A2" s="7"/>
      <c r="B2" s="8" t="s">
        <v>336</v>
      </c>
      <c r="C2" s="8"/>
      <c r="D2" s="8"/>
      <c r="E2" s="8"/>
      <c r="F2" s="8"/>
      <c r="G2" s="8"/>
      <c r="H2" s="8"/>
      <c r="I2" s="8"/>
      <c r="J2" s="7"/>
      <c r="K2" s="7"/>
      <c r="L2" s="7"/>
    </row>
    <row r="3" spans="1:12" ht="18" customHeight="1">
      <c r="A3" s="7"/>
      <c r="B3" s="9" t="s">
        <v>337</v>
      </c>
      <c r="C3" s="9"/>
      <c r="D3" s="9"/>
      <c r="E3" s="9"/>
      <c r="F3" s="9"/>
      <c r="G3" s="9"/>
      <c r="H3" s="9"/>
      <c r="I3" s="9"/>
      <c r="J3" s="10" t="s">
        <v>97</v>
      </c>
      <c r="K3" s="10"/>
      <c r="L3" s="10"/>
    </row>
    <row r="4" spans="1:12" ht="7" customHeight="1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</row>
    <row r="5" spans="1:12" ht="26" customHeight="1">
      <c r="A5" s="7"/>
      <c r="B5" s="73" t="str">
        <f>"🍳 Equipment lines: "&amp;COUNTIF('🍳 Equipment'!$C$8:$C$42,"?*")</f>
        <v>Equipment lines: 0</v>
      </c>
      <c r="C5" s="73"/>
      <c r="D5" s="75" t="str">
        <f>"💰 Fleet value: "&amp;Currency&amp;TEXT('_Data'!$AF$27,"#,##0")</f>
        <v>Fleet value: $0</v>
      </c>
      <c r="E5" s="75"/>
      <c r="F5" s="115" t="str">
        <f>"🔧 Needs attention: "&amp;'_Data'!$AF$28</f>
        <v>Needs attention: 0</v>
      </c>
      <c r="G5" s="115"/>
      <c r="H5" s="108" t="str">
        <f>"💥 Damaged units: "&amp;SUM('🍳 Equipment'!$G$8:$G$42)</f>
        <v>Damaged units: 0</v>
      </c>
      <c r="I5" s="108"/>
      <c r="J5" s="7"/>
      <c r="K5" s="7"/>
      <c r="L5" s="7"/>
    </row>
    <row r="6" spans="1:12" ht="7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spans="1:12" ht="36" customHeight="1">
      <c r="A7" s="7"/>
      <c r="B7" s="18" t="s">
        <v>203</v>
      </c>
      <c r="C7" s="18" t="s">
        <v>23</v>
      </c>
      <c r="D7" s="18" t="s">
        <v>260</v>
      </c>
      <c r="E7" s="18" t="s">
        <v>338</v>
      </c>
      <c r="F7" s="18" t="s">
        <v>339</v>
      </c>
      <c r="G7" s="18" t="s">
        <v>340</v>
      </c>
      <c r="H7" s="77" t="s">
        <v>341</v>
      </c>
      <c r="I7" s="18" t="s">
        <v>342</v>
      </c>
      <c r="J7" s="77" t="s">
        <v>343</v>
      </c>
      <c r="K7" s="18" t="s">
        <v>344</v>
      </c>
      <c r="L7" s="77" t="s">
        <v>322</v>
      </c>
    </row>
    <row r="8" spans="1:12" ht="20" customHeight="1">
      <c r="A8" s="7"/>
      <c r="B8" s="78">
        <v>1</v>
      </c>
      <c r="C8" s="79"/>
      <c r="D8" s="80"/>
      <c r="E8" s="82"/>
      <c r="F8" s="82"/>
      <c r="G8" s="82"/>
      <c r="H8" s="122">
        <f>IF($C8="","",$E8-$F8-$G8)</f>
        <v/>
      </c>
      <c r="I8" s="83"/>
      <c r="J8" s="84">
        <f>IF(OR($C8="",$I8=""),"",$E8*$I8)</f>
        <v/>
      </c>
      <c r="K8" s="81"/>
      <c r="L8" s="116">
        <f>IF($C8="","",IF($G8&gt;0,"🔧 Service",IF(AND($K8&lt;&gt;"",$K8&lt;=TODAY()+30),"🟡 Soon","🟢 Ready")))</f>
        <v/>
      </c>
    </row>
    <row r="9" spans="1:12" ht="20" customHeight="1">
      <c r="A9" s="7"/>
      <c r="B9" s="85">
        <v>2</v>
      </c>
      <c r="C9" s="86"/>
      <c r="D9" s="87"/>
      <c r="E9" s="89"/>
      <c r="F9" s="89"/>
      <c r="G9" s="89"/>
      <c r="H9" s="122">
        <f>IF($C9="","",$E9-$F9-$G9)</f>
        <v/>
      </c>
      <c r="I9" s="90"/>
      <c r="J9" s="84">
        <f>IF(OR($C9="",$I9=""),"",$E9*$I9)</f>
        <v/>
      </c>
      <c r="K9" s="88"/>
      <c r="L9" s="116">
        <f>IF($C9="","",IF($G9&gt;0,"🔧 Service",IF(AND($K9&lt;&gt;"",$K9&lt;=TODAY()+30),"🟡 Soon","🟢 Ready")))</f>
        <v/>
      </c>
    </row>
    <row r="10" spans="1:12" ht="20" customHeight="1">
      <c r="A10" s="7"/>
      <c r="B10" s="78">
        <v>3</v>
      </c>
      <c r="C10" s="79"/>
      <c r="D10" s="80"/>
      <c r="E10" s="82"/>
      <c r="F10" s="82"/>
      <c r="G10" s="82"/>
      <c r="H10" s="122">
        <f>IF($C10="","",$E10-$F10-$G10)</f>
        <v/>
      </c>
      <c r="I10" s="83"/>
      <c r="J10" s="84">
        <f>IF(OR($C10="",$I10=""),"",$E10*$I10)</f>
        <v/>
      </c>
      <c r="K10" s="81"/>
      <c r="L10" s="116">
        <f>IF($C10="","",IF($G10&gt;0,"🔧 Service",IF(AND($K10&lt;&gt;"",$K10&lt;=TODAY()+30),"🟡 Soon","🟢 Ready")))</f>
        <v/>
      </c>
    </row>
    <row r="11" spans="1:12" ht="20" customHeight="1">
      <c r="A11" s="7"/>
      <c r="B11" s="85">
        <v>4</v>
      </c>
      <c r="C11" s="86"/>
      <c r="D11" s="87"/>
      <c r="E11" s="89"/>
      <c r="F11" s="89"/>
      <c r="G11" s="89"/>
      <c r="H11" s="122">
        <f>IF($C11="","",$E11-$F11-$G11)</f>
        <v/>
      </c>
      <c r="I11" s="90"/>
      <c r="J11" s="84">
        <f>IF(OR($C11="",$I11=""),"",$E11*$I11)</f>
        <v/>
      </c>
      <c r="K11" s="88"/>
      <c r="L11" s="116">
        <f>IF($C11="","",IF($G11&gt;0,"🔧 Service",IF(AND($K11&lt;&gt;"",$K11&lt;=TODAY()+30),"🟡 Soon","🟢 Ready")))</f>
        <v/>
      </c>
    </row>
    <row r="12" spans="1:12" ht="20" customHeight="1">
      <c r="A12" s="7"/>
      <c r="B12" s="78">
        <v>5</v>
      </c>
      <c r="C12" s="79"/>
      <c r="D12" s="80"/>
      <c r="E12" s="82"/>
      <c r="F12" s="82"/>
      <c r="G12" s="82"/>
      <c r="H12" s="122">
        <f>IF($C12="","",$E12-$F12-$G12)</f>
        <v/>
      </c>
      <c r="I12" s="83"/>
      <c r="J12" s="84">
        <f>IF(OR($C12="",$I12=""),"",$E12*$I12)</f>
        <v/>
      </c>
      <c r="K12" s="81"/>
      <c r="L12" s="116">
        <f>IF($C12="","",IF($G12&gt;0,"🔧 Service",IF(AND($K12&lt;&gt;"",$K12&lt;=TODAY()+30),"🟡 Soon","🟢 Ready")))</f>
        <v/>
      </c>
    </row>
    <row r="13" spans="1:12" ht="20" customHeight="1">
      <c r="A13" s="7"/>
      <c r="B13" s="85">
        <v>6</v>
      </c>
      <c r="C13" s="86"/>
      <c r="D13" s="87"/>
      <c r="E13" s="89"/>
      <c r="F13" s="89"/>
      <c r="G13" s="89"/>
      <c r="H13" s="122">
        <f>IF($C13="","",$E13-$F13-$G13)</f>
        <v/>
      </c>
      <c r="I13" s="90"/>
      <c r="J13" s="84">
        <f>IF(OR($C13="",$I13=""),"",$E13*$I13)</f>
        <v/>
      </c>
      <c r="K13" s="88"/>
      <c r="L13" s="116">
        <f>IF($C13="","",IF($G13&gt;0,"🔧 Service",IF(AND($K13&lt;&gt;"",$K13&lt;=TODAY()+30),"🟡 Soon","🟢 Ready")))</f>
        <v/>
      </c>
    </row>
    <row r="14" spans="1:12" ht="20" customHeight="1">
      <c r="A14" s="7"/>
      <c r="B14" s="78">
        <v>7</v>
      </c>
      <c r="C14" s="79"/>
      <c r="D14" s="80"/>
      <c r="E14" s="82"/>
      <c r="F14" s="82"/>
      <c r="G14" s="82"/>
      <c r="H14" s="122">
        <f>IF($C14="","",$E14-$F14-$G14)</f>
        <v/>
      </c>
      <c r="I14" s="83"/>
      <c r="J14" s="84">
        <f>IF(OR($C14="",$I14=""),"",$E14*$I14)</f>
        <v/>
      </c>
      <c r="K14" s="81"/>
      <c r="L14" s="116">
        <f>IF($C14="","",IF($G14&gt;0,"🔧 Service",IF(AND($K14&lt;&gt;"",$K14&lt;=TODAY()+30),"🟡 Soon","🟢 Ready")))</f>
        <v/>
      </c>
    </row>
    <row r="15" spans="1:12" ht="20" customHeight="1">
      <c r="A15" s="7"/>
      <c r="B15" s="85">
        <v>8</v>
      </c>
      <c r="C15" s="86"/>
      <c r="D15" s="87"/>
      <c r="E15" s="89"/>
      <c r="F15" s="89"/>
      <c r="G15" s="89"/>
      <c r="H15" s="122">
        <f>IF($C15="","",$E15-$F15-$G15)</f>
        <v/>
      </c>
      <c r="I15" s="90"/>
      <c r="J15" s="84">
        <f>IF(OR($C15="",$I15=""),"",$E15*$I15)</f>
        <v/>
      </c>
      <c r="K15" s="88"/>
      <c r="L15" s="116">
        <f>IF($C15="","",IF($G15&gt;0,"🔧 Service",IF(AND($K15&lt;&gt;"",$K15&lt;=TODAY()+30),"🟡 Soon","🟢 Ready")))</f>
        <v/>
      </c>
    </row>
    <row r="16" spans="1:12" ht="20" customHeight="1">
      <c r="A16" s="7"/>
      <c r="B16" s="78">
        <v>9</v>
      </c>
      <c r="C16" s="79"/>
      <c r="D16" s="80"/>
      <c r="E16" s="82"/>
      <c r="F16" s="82"/>
      <c r="G16" s="82"/>
      <c r="H16" s="122">
        <f>IF($C16="","",$E16-$F16-$G16)</f>
        <v/>
      </c>
      <c r="I16" s="83"/>
      <c r="J16" s="84">
        <f>IF(OR($C16="",$I16=""),"",$E16*$I16)</f>
        <v/>
      </c>
      <c r="K16" s="81"/>
      <c r="L16" s="116">
        <f>IF($C16="","",IF($G16&gt;0,"🔧 Service",IF(AND($K16&lt;&gt;"",$K16&lt;=TODAY()+30),"🟡 Soon","🟢 Ready")))</f>
        <v/>
      </c>
    </row>
    <row r="17" spans="1:12" ht="20" customHeight="1">
      <c r="A17" s="7"/>
      <c r="B17" s="85">
        <v>10</v>
      </c>
      <c r="C17" s="86"/>
      <c r="D17" s="87"/>
      <c r="E17" s="89"/>
      <c r="F17" s="89"/>
      <c r="G17" s="89"/>
      <c r="H17" s="122">
        <f>IF($C17="","",$E17-$F17-$G17)</f>
        <v/>
      </c>
      <c r="I17" s="90"/>
      <c r="J17" s="84">
        <f>IF(OR($C17="",$I17=""),"",$E17*$I17)</f>
        <v/>
      </c>
      <c r="K17" s="88"/>
      <c r="L17" s="116">
        <f>IF($C17="","",IF($G17&gt;0,"🔧 Service",IF(AND($K17&lt;&gt;"",$K17&lt;=TODAY()+30),"🟡 Soon","🟢 Ready")))</f>
        <v/>
      </c>
    </row>
    <row r="18" spans="1:12" ht="20" customHeight="1">
      <c r="A18" s="7"/>
      <c r="B18" s="78">
        <v>11</v>
      </c>
      <c r="C18" s="79"/>
      <c r="D18" s="80"/>
      <c r="E18" s="82"/>
      <c r="F18" s="82"/>
      <c r="G18" s="82"/>
      <c r="H18" s="122">
        <f>IF($C18="","",$E18-$F18-$G18)</f>
        <v/>
      </c>
      <c r="I18" s="83"/>
      <c r="J18" s="84">
        <f>IF(OR($C18="",$I18=""),"",$E18*$I18)</f>
        <v/>
      </c>
      <c r="K18" s="81"/>
      <c r="L18" s="116">
        <f>IF($C18="","",IF($G18&gt;0,"🔧 Service",IF(AND($K18&lt;&gt;"",$K18&lt;=TODAY()+30),"🟡 Soon","🟢 Ready")))</f>
        <v/>
      </c>
    </row>
    <row r="19" spans="1:12" ht="20" customHeight="1">
      <c r="A19" s="7"/>
      <c r="B19" s="85">
        <v>12</v>
      </c>
      <c r="C19" s="86"/>
      <c r="D19" s="87"/>
      <c r="E19" s="89"/>
      <c r="F19" s="89"/>
      <c r="G19" s="89"/>
      <c r="H19" s="122">
        <f>IF($C19="","",$E19-$F19-$G19)</f>
        <v/>
      </c>
      <c r="I19" s="90"/>
      <c r="J19" s="84">
        <f>IF(OR($C19="",$I19=""),"",$E19*$I19)</f>
        <v/>
      </c>
      <c r="K19" s="88"/>
      <c r="L19" s="116">
        <f>IF($C19="","",IF($G19&gt;0,"🔧 Service",IF(AND($K19&lt;&gt;"",$K19&lt;=TODAY()+30),"🟡 Soon","🟢 Ready")))</f>
        <v/>
      </c>
    </row>
    <row r="20" spans="1:12" ht="20" customHeight="1">
      <c r="A20" s="7"/>
      <c r="B20" s="78">
        <v>13</v>
      </c>
      <c r="C20" s="79"/>
      <c r="D20" s="80"/>
      <c r="E20" s="82"/>
      <c r="F20" s="82"/>
      <c r="G20" s="82"/>
      <c r="H20" s="122">
        <f>IF($C20="","",$E20-$F20-$G20)</f>
        <v/>
      </c>
      <c r="I20" s="83"/>
      <c r="J20" s="84">
        <f>IF(OR($C20="",$I20=""),"",$E20*$I20)</f>
        <v/>
      </c>
      <c r="K20" s="81"/>
      <c r="L20" s="116">
        <f>IF($C20="","",IF($G20&gt;0,"🔧 Service",IF(AND($K20&lt;&gt;"",$K20&lt;=TODAY()+30),"🟡 Soon","🟢 Ready")))</f>
        <v/>
      </c>
    </row>
    <row r="21" spans="1:12" ht="20" customHeight="1">
      <c r="A21" s="7"/>
      <c r="B21" s="85">
        <v>14</v>
      </c>
      <c r="C21" s="86"/>
      <c r="D21" s="87"/>
      <c r="E21" s="89"/>
      <c r="F21" s="89"/>
      <c r="G21" s="89"/>
      <c r="H21" s="122">
        <f>IF($C21="","",$E21-$F21-$G21)</f>
        <v/>
      </c>
      <c r="I21" s="90"/>
      <c r="J21" s="84">
        <f>IF(OR($C21="",$I21=""),"",$E21*$I21)</f>
        <v/>
      </c>
      <c r="K21" s="88"/>
      <c r="L21" s="116">
        <f>IF($C21="","",IF($G21&gt;0,"🔧 Service",IF(AND($K21&lt;&gt;"",$K21&lt;=TODAY()+30),"🟡 Soon","🟢 Ready")))</f>
        <v/>
      </c>
    </row>
    <row r="22" spans="1:12" ht="20" customHeight="1">
      <c r="A22" s="7"/>
      <c r="B22" s="78">
        <v>15</v>
      </c>
      <c r="C22" s="79"/>
      <c r="D22" s="80"/>
      <c r="E22" s="82"/>
      <c r="F22" s="82"/>
      <c r="G22" s="82"/>
      <c r="H22" s="122">
        <f>IF($C22="","",$E22-$F22-$G22)</f>
        <v/>
      </c>
      <c r="I22" s="83"/>
      <c r="J22" s="84">
        <f>IF(OR($C22="",$I22=""),"",$E22*$I22)</f>
        <v/>
      </c>
      <c r="K22" s="81"/>
      <c r="L22" s="116">
        <f>IF($C22="","",IF($G22&gt;0,"🔧 Service",IF(AND($K22&lt;&gt;"",$K22&lt;=TODAY()+30),"🟡 Soon","🟢 Ready")))</f>
        <v/>
      </c>
    </row>
    <row r="23" spans="1:12" ht="20" customHeight="1">
      <c r="A23" s="7"/>
      <c r="B23" s="85">
        <v>16</v>
      </c>
      <c r="C23" s="86"/>
      <c r="D23" s="87"/>
      <c r="E23" s="89"/>
      <c r="F23" s="89"/>
      <c r="G23" s="89"/>
      <c r="H23" s="122">
        <f>IF($C23="","",$E23-$F23-$G23)</f>
        <v/>
      </c>
      <c r="I23" s="90"/>
      <c r="J23" s="84">
        <f>IF(OR($C23="",$I23=""),"",$E23*$I23)</f>
        <v/>
      </c>
      <c r="K23" s="88"/>
      <c r="L23" s="116">
        <f>IF($C23="","",IF($G23&gt;0,"🔧 Service",IF(AND($K23&lt;&gt;"",$K23&lt;=TODAY()+30),"🟡 Soon","🟢 Ready")))</f>
        <v/>
      </c>
    </row>
    <row r="24" spans="1:12" ht="20" customHeight="1">
      <c r="A24" s="7"/>
      <c r="B24" s="78">
        <v>17</v>
      </c>
      <c r="C24" s="79"/>
      <c r="D24" s="80"/>
      <c r="E24" s="82"/>
      <c r="F24" s="82"/>
      <c r="G24" s="82"/>
      <c r="H24" s="122">
        <f>IF($C24="","",$E24-$F24-$G24)</f>
        <v/>
      </c>
      <c r="I24" s="83"/>
      <c r="J24" s="84">
        <f>IF(OR($C24="",$I24=""),"",$E24*$I24)</f>
        <v/>
      </c>
      <c r="K24" s="81"/>
      <c r="L24" s="116">
        <f>IF($C24="","",IF($G24&gt;0,"🔧 Service",IF(AND($K24&lt;&gt;"",$K24&lt;=TODAY()+30),"🟡 Soon","🟢 Ready")))</f>
        <v/>
      </c>
    </row>
    <row r="25" spans="1:12" ht="20" customHeight="1">
      <c r="A25" s="7"/>
      <c r="B25" s="85">
        <v>18</v>
      </c>
      <c r="C25" s="86"/>
      <c r="D25" s="87"/>
      <c r="E25" s="89"/>
      <c r="F25" s="89"/>
      <c r="G25" s="89"/>
      <c r="H25" s="122">
        <f>IF($C25="","",$E25-$F25-$G25)</f>
        <v/>
      </c>
      <c r="I25" s="90"/>
      <c r="J25" s="84">
        <f>IF(OR($C25="",$I25=""),"",$E25*$I25)</f>
        <v/>
      </c>
      <c r="K25" s="88"/>
      <c r="L25" s="116">
        <f>IF($C25="","",IF($G25&gt;0,"🔧 Service",IF(AND($K25&lt;&gt;"",$K25&lt;=TODAY()+30),"🟡 Soon","🟢 Ready")))</f>
        <v/>
      </c>
    </row>
    <row r="26" spans="1:12" ht="20" customHeight="1">
      <c r="A26" s="7"/>
      <c r="B26" s="78">
        <v>19</v>
      </c>
      <c r="C26" s="79"/>
      <c r="D26" s="80"/>
      <c r="E26" s="82"/>
      <c r="F26" s="82"/>
      <c r="G26" s="82"/>
      <c r="H26" s="122">
        <f>IF($C26="","",$E26-$F26-$G26)</f>
        <v/>
      </c>
      <c r="I26" s="83"/>
      <c r="J26" s="84">
        <f>IF(OR($C26="",$I26=""),"",$E26*$I26)</f>
        <v/>
      </c>
      <c r="K26" s="81"/>
      <c r="L26" s="116">
        <f>IF($C26="","",IF($G26&gt;0,"🔧 Service",IF(AND($K26&lt;&gt;"",$K26&lt;=TODAY()+30),"🟡 Soon","🟢 Ready")))</f>
        <v/>
      </c>
    </row>
    <row r="27" spans="1:12" ht="20" customHeight="1">
      <c r="A27" s="7"/>
      <c r="B27" s="85">
        <v>20</v>
      </c>
      <c r="C27" s="86"/>
      <c r="D27" s="87"/>
      <c r="E27" s="89"/>
      <c r="F27" s="89"/>
      <c r="G27" s="89"/>
      <c r="H27" s="122">
        <f>IF($C27="","",$E27-$F27-$G27)</f>
        <v/>
      </c>
      <c r="I27" s="90"/>
      <c r="J27" s="84">
        <f>IF(OR($C27="",$I27=""),"",$E27*$I27)</f>
        <v/>
      </c>
      <c r="K27" s="88"/>
      <c r="L27" s="116">
        <f>IF($C27="","",IF($G27&gt;0,"🔧 Service",IF(AND($K27&lt;&gt;"",$K27&lt;=TODAY()+30),"🟡 Soon","🟢 Ready")))</f>
        <v/>
      </c>
    </row>
    <row r="28" spans="1:12" ht="20" customHeight="1">
      <c r="A28" s="7"/>
      <c r="B28" s="78">
        <v>21</v>
      </c>
      <c r="C28" s="79"/>
      <c r="D28" s="80"/>
      <c r="E28" s="82"/>
      <c r="F28" s="82"/>
      <c r="G28" s="82"/>
      <c r="H28" s="122">
        <f>IF($C28="","",$E28-$F28-$G28)</f>
        <v/>
      </c>
      <c r="I28" s="83"/>
      <c r="J28" s="84">
        <f>IF(OR($C28="",$I28=""),"",$E28*$I28)</f>
        <v/>
      </c>
      <c r="K28" s="81"/>
      <c r="L28" s="116">
        <f>IF($C28="","",IF($G28&gt;0,"🔧 Service",IF(AND($K28&lt;&gt;"",$K28&lt;=TODAY()+30),"🟡 Soon","🟢 Ready")))</f>
        <v/>
      </c>
    </row>
    <row r="29" spans="1:12" ht="20" customHeight="1">
      <c r="A29" s="7"/>
      <c r="B29" s="85">
        <v>22</v>
      </c>
      <c r="C29" s="86"/>
      <c r="D29" s="87"/>
      <c r="E29" s="89"/>
      <c r="F29" s="89"/>
      <c r="G29" s="89"/>
      <c r="H29" s="122">
        <f>IF($C29="","",$E29-$F29-$G29)</f>
        <v/>
      </c>
      <c r="I29" s="90"/>
      <c r="J29" s="84">
        <f>IF(OR($C29="",$I29=""),"",$E29*$I29)</f>
        <v/>
      </c>
      <c r="K29" s="88"/>
      <c r="L29" s="116">
        <f>IF($C29="","",IF($G29&gt;0,"🔧 Service",IF(AND($K29&lt;&gt;"",$K29&lt;=TODAY()+30),"🟡 Soon","🟢 Ready")))</f>
        <v/>
      </c>
    </row>
    <row r="30" spans="1:12" ht="20" customHeight="1">
      <c r="A30" s="7"/>
      <c r="B30" s="78">
        <v>23</v>
      </c>
      <c r="C30" s="79"/>
      <c r="D30" s="80"/>
      <c r="E30" s="82"/>
      <c r="F30" s="82"/>
      <c r="G30" s="82"/>
      <c r="H30" s="122">
        <f>IF($C30="","",$E30-$F30-$G30)</f>
        <v/>
      </c>
      <c r="I30" s="83"/>
      <c r="J30" s="84">
        <f>IF(OR($C30="",$I30=""),"",$E30*$I30)</f>
        <v/>
      </c>
      <c r="K30" s="81"/>
      <c r="L30" s="116">
        <f>IF($C30="","",IF($G30&gt;0,"🔧 Service",IF(AND($K30&lt;&gt;"",$K30&lt;=TODAY()+30),"🟡 Soon","🟢 Ready")))</f>
        <v/>
      </c>
    </row>
    <row r="31" spans="1:12" ht="20" customHeight="1">
      <c r="A31" s="7"/>
      <c r="B31" s="85">
        <v>24</v>
      </c>
      <c r="C31" s="86"/>
      <c r="D31" s="87"/>
      <c r="E31" s="89"/>
      <c r="F31" s="89"/>
      <c r="G31" s="89"/>
      <c r="H31" s="122">
        <f>IF($C31="","",$E31-$F31-$G31)</f>
        <v/>
      </c>
      <c r="I31" s="90"/>
      <c r="J31" s="84">
        <f>IF(OR($C31="",$I31=""),"",$E31*$I31)</f>
        <v/>
      </c>
      <c r="K31" s="88"/>
      <c r="L31" s="116">
        <f>IF($C31="","",IF($G31&gt;0,"🔧 Service",IF(AND($K31&lt;&gt;"",$K31&lt;=TODAY()+30),"🟡 Soon","🟢 Ready")))</f>
        <v/>
      </c>
    </row>
    <row r="32" spans="1:12" ht="20" customHeight="1">
      <c r="A32" s="7"/>
      <c r="B32" s="78">
        <v>25</v>
      </c>
      <c r="C32" s="79"/>
      <c r="D32" s="80"/>
      <c r="E32" s="82"/>
      <c r="F32" s="82"/>
      <c r="G32" s="82"/>
      <c r="H32" s="122">
        <f>IF($C32="","",$E32-$F32-$G32)</f>
        <v/>
      </c>
      <c r="I32" s="83"/>
      <c r="J32" s="84">
        <f>IF(OR($C32="",$I32=""),"",$E32*$I32)</f>
        <v/>
      </c>
      <c r="K32" s="81"/>
      <c r="L32" s="116">
        <f>IF($C32="","",IF($G32&gt;0,"🔧 Service",IF(AND($K32&lt;&gt;"",$K32&lt;=TODAY()+30),"🟡 Soon","🟢 Ready")))</f>
        <v/>
      </c>
    </row>
    <row r="33" spans="1:12" ht="20" customHeight="1">
      <c r="A33" s="7"/>
      <c r="B33" s="85">
        <v>26</v>
      </c>
      <c r="C33" s="86"/>
      <c r="D33" s="87"/>
      <c r="E33" s="89"/>
      <c r="F33" s="89"/>
      <c r="G33" s="89"/>
      <c r="H33" s="122">
        <f>IF($C33="","",$E33-$F33-$G33)</f>
        <v/>
      </c>
      <c r="I33" s="90"/>
      <c r="J33" s="84">
        <f>IF(OR($C33="",$I33=""),"",$E33*$I33)</f>
        <v/>
      </c>
      <c r="K33" s="88"/>
      <c r="L33" s="116">
        <f>IF($C33="","",IF($G33&gt;0,"🔧 Service",IF(AND($K33&lt;&gt;"",$K33&lt;=TODAY()+30),"🟡 Soon","🟢 Ready")))</f>
        <v/>
      </c>
    </row>
    <row r="34" spans="1:12" ht="20" customHeight="1">
      <c r="A34" s="7"/>
      <c r="B34" s="78">
        <v>27</v>
      </c>
      <c r="C34" s="79"/>
      <c r="D34" s="80"/>
      <c r="E34" s="82"/>
      <c r="F34" s="82"/>
      <c r="G34" s="82"/>
      <c r="H34" s="122">
        <f>IF($C34="","",$E34-$F34-$G34)</f>
        <v/>
      </c>
      <c r="I34" s="83"/>
      <c r="J34" s="84">
        <f>IF(OR($C34="",$I34=""),"",$E34*$I34)</f>
        <v/>
      </c>
      <c r="K34" s="81"/>
      <c r="L34" s="116">
        <f>IF($C34="","",IF($G34&gt;0,"🔧 Service",IF(AND($K34&lt;&gt;"",$K34&lt;=TODAY()+30),"🟡 Soon","🟢 Ready")))</f>
        <v/>
      </c>
    </row>
    <row r="35" spans="1:12" ht="20" customHeight="1">
      <c r="A35" s="7"/>
      <c r="B35" s="85">
        <v>28</v>
      </c>
      <c r="C35" s="86"/>
      <c r="D35" s="87"/>
      <c r="E35" s="89"/>
      <c r="F35" s="89"/>
      <c r="G35" s="89"/>
      <c r="H35" s="122">
        <f>IF($C35="","",$E35-$F35-$G35)</f>
        <v/>
      </c>
      <c r="I35" s="90"/>
      <c r="J35" s="84">
        <f>IF(OR($C35="",$I35=""),"",$E35*$I35)</f>
        <v/>
      </c>
      <c r="K35" s="88"/>
      <c r="L35" s="116">
        <f>IF($C35="","",IF($G35&gt;0,"🔧 Service",IF(AND($K35&lt;&gt;"",$K35&lt;=TODAY()+30),"🟡 Soon","🟢 Ready")))</f>
        <v/>
      </c>
    </row>
    <row r="36" spans="1:12" ht="20" customHeight="1">
      <c r="A36" s="7"/>
      <c r="B36" s="78">
        <v>29</v>
      </c>
      <c r="C36" s="79"/>
      <c r="D36" s="80"/>
      <c r="E36" s="82"/>
      <c r="F36" s="82"/>
      <c r="G36" s="82"/>
      <c r="H36" s="122">
        <f>IF($C36="","",$E36-$F36-$G36)</f>
        <v/>
      </c>
      <c r="I36" s="83"/>
      <c r="J36" s="84">
        <f>IF(OR($C36="",$I36=""),"",$E36*$I36)</f>
        <v/>
      </c>
      <c r="K36" s="81"/>
      <c r="L36" s="116">
        <f>IF($C36="","",IF($G36&gt;0,"🔧 Service",IF(AND($K36&lt;&gt;"",$K36&lt;=TODAY()+30),"🟡 Soon","🟢 Ready")))</f>
        <v/>
      </c>
    </row>
    <row r="37" spans="1:12" ht="20" customHeight="1">
      <c r="A37" s="7"/>
      <c r="B37" s="85">
        <v>30</v>
      </c>
      <c r="C37" s="86"/>
      <c r="D37" s="87"/>
      <c r="E37" s="89"/>
      <c r="F37" s="89"/>
      <c r="G37" s="89"/>
      <c r="H37" s="122">
        <f>IF($C37="","",$E37-$F37-$G37)</f>
        <v/>
      </c>
      <c r="I37" s="90"/>
      <c r="J37" s="84">
        <f>IF(OR($C37="",$I37=""),"",$E37*$I37)</f>
        <v/>
      </c>
      <c r="K37" s="88"/>
      <c r="L37" s="116">
        <f>IF($C37="","",IF($G37&gt;0,"🔧 Service",IF(AND($K37&lt;&gt;"",$K37&lt;=TODAY()+30),"🟡 Soon","🟢 Ready")))</f>
        <v/>
      </c>
    </row>
    <row r="38" spans="1:12" ht="20" customHeight="1">
      <c r="A38" s="7"/>
      <c r="B38" s="78">
        <v>31</v>
      </c>
      <c r="C38" s="79"/>
      <c r="D38" s="80"/>
      <c r="E38" s="82"/>
      <c r="F38" s="82"/>
      <c r="G38" s="82"/>
      <c r="H38" s="122">
        <f>IF($C38="","",$E38-$F38-$G38)</f>
        <v/>
      </c>
      <c r="I38" s="83"/>
      <c r="J38" s="84">
        <f>IF(OR($C38="",$I38=""),"",$E38*$I38)</f>
        <v/>
      </c>
      <c r="K38" s="81"/>
      <c r="L38" s="116">
        <f>IF($C38="","",IF($G38&gt;0,"🔧 Service",IF(AND($K38&lt;&gt;"",$K38&lt;=TODAY()+30),"🟡 Soon","🟢 Ready")))</f>
        <v/>
      </c>
    </row>
    <row r="39" spans="1:12" ht="20" customHeight="1">
      <c r="A39" s="7"/>
      <c r="B39" s="85">
        <v>32</v>
      </c>
      <c r="C39" s="86"/>
      <c r="D39" s="87"/>
      <c r="E39" s="89"/>
      <c r="F39" s="89"/>
      <c r="G39" s="89"/>
      <c r="H39" s="122">
        <f>IF($C39="","",$E39-$F39-$G39)</f>
        <v/>
      </c>
      <c r="I39" s="90"/>
      <c r="J39" s="84">
        <f>IF(OR($C39="",$I39=""),"",$E39*$I39)</f>
        <v/>
      </c>
      <c r="K39" s="88"/>
      <c r="L39" s="116">
        <f>IF($C39="","",IF($G39&gt;0,"🔧 Service",IF(AND($K39&lt;&gt;"",$K39&lt;=TODAY()+30),"🟡 Soon","🟢 Ready")))</f>
        <v/>
      </c>
    </row>
    <row r="40" spans="1:12" ht="20" customHeight="1">
      <c r="A40" s="7"/>
      <c r="B40" s="78">
        <v>33</v>
      </c>
      <c r="C40" s="79"/>
      <c r="D40" s="80"/>
      <c r="E40" s="82"/>
      <c r="F40" s="82"/>
      <c r="G40" s="82"/>
      <c r="H40" s="122">
        <f>IF($C40="","",$E40-$F40-$G40)</f>
        <v/>
      </c>
      <c r="I40" s="83"/>
      <c r="J40" s="84">
        <f>IF(OR($C40="",$I40=""),"",$E40*$I40)</f>
        <v/>
      </c>
      <c r="K40" s="81"/>
      <c r="L40" s="116">
        <f>IF($C40="","",IF($G40&gt;0,"🔧 Service",IF(AND($K40&lt;&gt;"",$K40&lt;=TODAY()+30),"🟡 Soon","🟢 Ready")))</f>
        <v/>
      </c>
    </row>
    <row r="41" spans="1:12" ht="20" customHeight="1">
      <c r="A41" s="7"/>
      <c r="B41" s="85">
        <v>34</v>
      </c>
      <c r="C41" s="86"/>
      <c r="D41" s="87"/>
      <c r="E41" s="89"/>
      <c r="F41" s="89"/>
      <c r="G41" s="89"/>
      <c r="H41" s="122">
        <f>IF($C41="","",$E41-$F41-$G41)</f>
        <v/>
      </c>
      <c r="I41" s="90"/>
      <c r="J41" s="84">
        <f>IF(OR($C41="",$I41=""),"",$E41*$I41)</f>
        <v/>
      </c>
      <c r="K41" s="88"/>
      <c r="L41" s="116">
        <f>IF($C41="","",IF($G41&gt;0,"🔧 Service",IF(AND($K41&lt;&gt;"",$K41&lt;=TODAY()+30),"🟡 Soon","🟢 Ready")))</f>
        <v/>
      </c>
    </row>
    <row r="42" spans="1:12" ht="20" customHeight="1">
      <c r="A42" s="7"/>
      <c r="B42" s="78">
        <v>35</v>
      </c>
      <c r="C42" s="79"/>
      <c r="D42" s="80"/>
      <c r="E42" s="82"/>
      <c r="F42" s="82"/>
      <c r="G42" s="82"/>
      <c r="H42" s="122">
        <f>IF($C42="","",$E42-$F42-$G42)</f>
        <v/>
      </c>
      <c r="I42" s="83"/>
      <c r="J42" s="84">
        <f>IF(OR($C42="",$I42=""),"",$E42*$I42)</f>
        <v/>
      </c>
      <c r="K42" s="81"/>
      <c r="L42" s="116">
        <f>IF($C42="","",IF($G42&gt;0,"🔧 Service",IF(AND($K42&lt;&gt;"",$K42&lt;=TODAY()+30),"🟡 Soon","🟢 Ready")))</f>
        <v/>
      </c>
    </row>
    <row r="43" spans="1:12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</row>
    <row r="44" spans="1:12" ht="24" customHeight="1">
      <c r="A44" s="7"/>
      <c r="B44" s="91" t="s">
        <v>214</v>
      </c>
      <c r="C44" s="91"/>
      <c r="D44" s="91"/>
      <c r="E44" s="92">
        <f>SUM($E$8:$E$42)</f>
        <v>0</v>
      </c>
      <c r="F44" s="92">
        <f>SUM($F$8:$F$42)</f>
        <v>0</v>
      </c>
      <c r="G44" s="92">
        <f>SUM($G$8:$G$42)</f>
        <v>0</v>
      </c>
      <c r="H44" s="92">
        <f>SUM($H$8:$H$42)</f>
        <v>0</v>
      </c>
      <c r="I44" s="93"/>
      <c r="J44" s="94">
        <f>SUM($J$8:$J$42)</f>
        <v>0</v>
      </c>
      <c r="K44" s="93"/>
      <c r="L44" s="93"/>
    </row>
    <row r="45" spans="1:12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</row>
    <row r="46" spans="1:12" ht="22" customHeight="1">
      <c r="A46" s="7"/>
      <c r="B46" s="66" t="s">
        <v>215</v>
      </c>
      <c r="C46" s="66"/>
      <c r="D46" s="66"/>
      <c r="E46" s="66"/>
      <c r="F46" s="66"/>
      <c r="G46" s="66"/>
      <c r="H46" s="66"/>
      <c r="I46" s="66"/>
      <c r="J46" s="66"/>
      <c r="K46" s="66"/>
      <c r="L46" s="66"/>
    </row>
    <row r="47" spans="1:12" ht="51.8" customHeight="1">
      <c r="A47" s="7"/>
      <c r="B47" s="21" t="s">
        <v>345</v>
      </c>
      <c r="C47" s="21"/>
      <c r="D47" s="21"/>
      <c r="E47" s="21"/>
      <c r="F47" s="21"/>
      <c r="G47" s="21"/>
      <c r="H47" s="21"/>
      <c r="I47" s="21"/>
      <c r="J47" s="21"/>
      <c r="K47" s="21"/>
      <c r="L47" s="21"/>
    </row>
    <row r="48" spans="1:12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</row>
    <row r="49" spans="1:12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</row>
    <row r="50" spans="1:12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</row>
    <row r="51" spans="1:12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</row>
    <row r="52" spans="1:12" ht="24" customHeight="1">
      <c r="A52" s="7"/>
      <c r="B52" s="26" t="s">
        <v>199</v>
      </c>
      <c r="C52" s="26"/>
      <c r="D52" s="27" t="s">
        <v>165</v>
      </c>
      <c r="E52" s="27"/>
      <c r="F52" s="28" t="s">
        <v>166</v>
      </c>
      <c r="G52" s="28"/>
      <c r="H52" s="29" t="s">
        <v>4</v>
      </c>
      <c r="I52" s="29"/>
      <c r="J52" s="30" t="s">
        <v>167</v>
      </c>
      <c r="K52" s="30"/>
      <c r="L52" s="7"/>
    </row>
    <row r="53" spans="1:12" ht="24" customHeight="1">
      <c r="A53" s="7"/>
      <c r="B53" s="31" t="s">
        <v>168</v>
      </c>
      <c r="C53" s="31"/>
      <c r="D53" s="32" t="s">
        <v>169</v>
      </c>
      <c r="E53" s="32"/>
      <c r="F53" s="33" t="s">
        <v>170</v>
      </c>
      <c r="G53" s="33"/>
      <c r="H53" s="27" t="s">
        <v>2</v>
      </c>
      <c r="I53" s="27"/>
      <c r="J53" s="29" t="s">
        <v>171</v>
      </c>
      <c r="K53" s="29"/>
      <c r="L53" s="7"/>
    </row>
    <row r="54" spans="1:12" ht="24" customHeight="1">
      <c r="A54" s="7"/>
      <c r="B54" s="26" t="s">
        <v>172</v>
      </c>
      <c r="C54" s="26"/>
      <c r="D54" s="27" t="s">
        <v>346</v>
      </c>
      <c r="E54" s="27"/>
      <c r="F54" s="28" t="s">
        <v>174</v>
      </c>
      <c r="G54" s="28"/>
      <c r="H54" s="29" t="s">
        <v>175</v>
      </c>
      <c r="I54" s="29"/>
      <c r="J54" s="30" t="s">
        <v>176</v>
      </c>
      <c r="K54" s="30"/>
      <c r="L54" s="7"/>
    </row>
    <row r="55" spans="1:12" ht="24" customHeight="1">
      <c r="A55" s="7"/>
      <c r="B55" s="31" t="s">
        <v>177</v>
      </c>
      <c r="C55" s="31"/>
      <c r="D55" s="32" t="s">
        <v>178</v>
      </c>
      <c r="E55" s="32"/>
      <c r="F55" s="33" t="s">
        <v>56</v>
      </c>
      <c r="G55" s="33"/>
      <c r="H55" s="27" t="s">
        <v>179</v>
      </c>
      <c r="I55" s="27"/>
      <c r="J55" s="7"/>
      <c r="K55" s="7"/>
      <c r="L55" s="7"/>
    </row>
    <row r="56" spans="1:12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</row>
    <row r="57" spans="1:12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</row>
    <row r="58" spans="1:12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</row>
    <row r="59" spans="1:12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</row>
    <row r="60" spans="1:12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</row>
    <row r="61" spans="1:12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</row>
    <row r="62" spans="1:1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</row>
    <row r="63" spans="1:12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</row>
    <row r="64" spans="1:12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</row>
    <row r="65" spans="1:12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</row>
    <row r="66" spans="1:12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</row>
    <row r="67" spans="1:12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</row>
  </sheetData>
  <autoFilter ref="B7:L42"/>
  <mergeCells count="30">
    <mergeCell ref="B2:I2"/>
    <mergeCell ref="B3:I3"/>
    <mergeCell ref="J3:L3"/>
    <mergeCell ref="B5:C5"/>
    <mergeCell ref="D5:E5"/>
    <mergeCell ref="F5:G5"/>
    <mergeCell ref="H5:I5"/>
    <mergeCell ref="J5:L5"/>
    <mergeCell ref="B44:D44"/>
    <mergeCell ref="B46:L46"/>
    <mergeCell ref="B47:L47"/>
    <mergeCell ref="B52:C52"/>
    <mergeCell ref="D52:E52"/>
    <mergeCell ref="F52:G52"/>
    <mergeCell ref="H52:I52"/>
    <mergeCell ref="J52:K52"/>
    <mergeCell ref="B53:C53"/>
    <mergeCell ref="D53:E53"/>
    <mergeCell ref="F53:G53"/>
    <mergeCell ref="H53:I53"/>
    <mergeCell ref="J53:K53"/>
    <mergeCell ref="B54:C54"/>
    <mergeCell ref="D54:E54"/>
    <mergeCell ref="F54:G54"/>
    <mergeCell ref="H54:I54"/>
    <mergeCell ref="J54:K54"/>
    <mergeCell ref="B55:C55"/>
    <mergeCell ref="D55:E55"/>
    <mergeCell ref="F55:G55"/>
    <mergeCell ref="H55:I55"/>
  </mergeCells>
  <conditionalFormatting sqref="H8:H42">
    <cfRule type="cellIs" dxfId="4" priority="6" operator="lessThanOrEqual">
      <formula>0</formula>
    </cfRule>
  </conditionalFormatting>
  <conditionalFormatting sqref="K8:K42">
    <cfRule type="expression" dxfId="4" priority="4">
      <formula>AND($K8&lt;&gt;"",$K8&lt;TODAY())</formula>
    </cfRule>
    <cfRule type="expression" dxfId="5" priority="5">
      <formula>AND($K8&gt;=TODAY(),$K8-TODAY()&lt;=DueSoonDays)</formula>
    </cfRule>
  </conditionalFormatting>
  <conditionalFormatting sqref="L8:L42">
    <cfRule type="expression" dxfId="0" priority="1">
      <formula>$L8="🔧 Service"</formula>
    </cfRule>
    <cfRule type="expression" dxfId="1" priority="2">
      <formula>$L8="🟡 Soon"</formula>
    </cfRule>
    <cfRule type="expression" dxfId="2" priority="3">
      <formula>$L8="🟢 Ready"</formula>
    </cfRule>
  </conditionalFormatting>
  <dataValidations count="6">
    <dataValidation type="list" allowBlank="1" showInputMessage="1" promptTitle="Category" sqref="D8:D42">
      <formula1>"Serving,Furniture,Linens,Tableware,Beverage,Kitchen,Transport,Other"</formula1>
    </dataValidation>
    <dataValidation type="whole" errorStyle="warning" allowBlank="1" showInputMessage="1" showErrorMessage="1" errorTitle="Whole numbers only" error="Please enter a whole number." sqref="E8:E42">
      <formula1>0</formula1>
      <formula2>10000</formula2>
    </dataValidation>
    <dataValidation type="whole" errorStyle="warning" allowBlank="1" showInputMessage="1" showErrorMessage="1" errorTitle="Whole numbers only" error="Please enter a whole number." sqref="F8:F42">
      <formula1>0</formula1>
      <formula2>10000</formula2>
    </dataValidation>
    <dataValidation type="whole" errorStyle="warning" allowBlank="1" showInputMessage="1" showErrorMessage="1" errorTitle="Whole numbers only" error="Please enter a whole number." sqref="G8:G42">
      <formula1>0</formula1>
      <formula2>10000</formula2>
    </dataValidation>
    <dataValidation type="decimal" operator="greaterThanOrEqual" errorStyle="warning" allowBlank="1" showInputMessage="1" showErrorMessage="1" errorTitle="Enter money" error="Please enter a positive number (no currency symbol) - the symbol comes from Setup." sqref="I8:I42">
      <formula1>0</formula1>
    </dataValidation>
    <dataValidation type="date" errorStyle="warning" allowBlank="1" showInputMessage="1" showErrorMessage="1" errorTitle="That's not a date" error="Enter a date between 2000 and 2100." promptTitle="Date" prompt="Next service / inspection date." sqref="K8:K42">
      <formula1>36526</formula1>
      <formula2>73415</formula2>
    </dataValidation>
  </dataValidations>
  <hyperlinks>
    <hyperlink ref="J3" location="'📊 Dashboard'!A1" display="🏠  Back to Dashboard"/>
    <hyperlink ref="B52" location="'⚙️ Setup'!A1" display="Setup"/>
    <hyperlink ref="D52" location="'📊 Dashboard'!A1" display="🏠 Home"/>
    <hyperlink ref="F52" location="'👥 Clients'!A1" display="Clients"/>
    <hyperlink ref="H52" location="'📅 Events'!A1" display="Events"/>
    <hyperlink ref="J52" location="'🧮 Quote Calculator'!A1" display="Quote"/>
    <hyperlink ref="B53" location="'🍽️ Menu Costing'!A1" display="Menu"/>
    <hyperlink ref="D53" location="'📦 Inventory'!A1" display="Stock"/>
    <hyperlink ref="F53" location="'🛒 Shopping List'!A1" display="Shop"/>
    <hyperlink ref="H53" location="'💸 Expenses'!A1" display="Expenses"/>
    <hyperlink ref="J53" location="'💰 Payments'!A1" display="Payments"/>
    <hyperlink ref="B54" location="'👷 Staff &amp; Labor'!A1" display="Staff"/>
    <hyperlink ref="D54" location="'🍳 Equipment'!A1" display="▶ Equip"/>
    <hyperlink ref="F54" location="'🚚 Suppliers'!A1" display="Suppliers"/>
    <hyperlink ref="H54" location="'📆 Event Calendar'!A1" display="Calendar"/>
    <hyperlink ref="J54" location="'📈 P&amp;L &amp; Reports'!A1" display="P&amp;L"/>
    <hyperlink ref="B55" location="'🧾 Tax Tracker'!A1" display="Tax"/>
    <hyperlink ref="D55" location="'✅ Checklists'!A1" display="Checks"/>
    <hyperlink ref="F55" location="'🖨️ Invoice &amp; Proposal'!A1" display="Invoice"/>
    <hyperlink ref="H55" location="'📖 Start Here'!A1" display="Help"/>
  </hyperlinks>
  <pageMargins left="0.4" right="0.4" top="0.5" bottom="0.5" header="0.3" footer="0.3"/>
  <pageSetup paperSize="9" fitToHeight="0" orientation="landscape"/>
  <headerFooter>
    <oddHeader>&amp;L&amp;"Calibri,Bold"&amp;11Catering Business Manager&amp;R&amp;"Calibri,Italic"&amp;9Page &amp;P of &amp;N</oddHeader>
    <oddFooter>&amp;C&amp;"Calibri,Italic"&amp;8&amp;A  •  Ultimate Catering Business Spreadsheet v1.0  •  personal licence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B4761A"/>
    <pageSetUpPr fitToPage="1"/>
  </sheetPr>
  <dimension ref="A1:M60"/>
  <sheetViews>
    <sheetView showGridLines="0" zoomScale="90" zoomScaleNormal="90" workbookViewId="0">
      <pane xSplit="2" ySplit="8" topLeftCell="C9" activePane="bottomRight" state="frozen"/>
      <selection pane="topRight" activeCell="C1" sqref="C1"/>
      <selection pane="bottomLeft" activeCell="A9" sqref="A9"/>
      <selection pane="bottomRight"/>
    </sheetView>
  </sheetViews>
  <sheetFormatPr defaultRowHeight="15" x14ac:dyDescent="0.25"/>
  <cols>
    <col min="1" max="1" width="2.85546875" customWidth="1"/>
    <col min="2" max="2" width="5.28515625" customWidth="1"/>
    <col min="3" max="3" width="20.7109375" customWidth="1"/>
    <col min="4" max="4" width="16.7109375" customWidth="1"/>
    <col min="5" max="5" width="14.7109375" customWidth="1"/>
    <col min="6" max="6" width="29.7109375" customWidth="1"/>
    <col min="7" max="7" width="16.7109375" customWidth="1"/>
    <col min="8" max="8" width="27.7109375" customWidth="1"/>
    <col min="9" max="9" width="10.7109375" customWidth="1"/>
    <col min="10" max="10" width="10.7109375" customWidth="1"/>
    <col min="11" max="11" width="10.7109375" customWidth="1"/>
    <col min="12" max="12" width="14.7109375" customWidth="1"/>
    <col min="13" max="13" width="22.7109375" customWidth="1"/>
  </cols>
  <sheetData>
    <row r="1" spans="1:13" ht="7" customHeight="1" x14ac:dyDescent="0.25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13" ht="30" customHeight="1" x14ac:dyDescent="0.25">
      <c r="A2" s="7"/>
      <c r="B2" s="8" t="s">
        <v>347</v>
      </c>
      <c r="C2" s="8"/>
      <c r="D2" s="8"/>
      <c r="E2" s="8"/>
      <c r="F2" s="8"/>
      <c r="G2" s="8"/>
      <c r="H2" s="8"/>
      <c r="I2" s="8"/>
      <c r="J2" s="8"/>
      <c r="K2" s="7"/>
      <c r="L2" s="7"/>
      <c r="M2" s="7"/>
    </row>
    <row r="3" spans="1:13" ht="18" customHeight="1" x14ac:dyDescent="0.25">
      <c r="A3" s="7"/>
      <c r="B3" s="9" t="s">
        <v>348</v>
      </c>
      <c r="C3" s="9"/>
      <c r="D3" s="9"/>
      <c r="E3" s="9"/>
      <c r="F3" s="9"/>
      <c r="G3" s="9"/>
      <c r="H3" s="9"/>
      <c r="I3" s="9"/>
      <c r="J3" s="9"/>
      <c r="K3" s="10" t="s">
        <v>97</v>
      </c>
      <c r="L3" s="10"/>
      <c r="M3" s="10"/>
    </row>
    <row r="4" spans="1:13" ht="7" customHeight="1" x14ac:dyDescent="0.2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13" ht="26" customHeight="1" x14ac:dyDescent="0.25">
      <c r="A5" s="7"/>
      <c r="B5" s="73" t="str">
        <f>"🚚 Suppliers: "&amp;COUNTIF('🚚 Suppliers'!$C$8:$C$37,"?*")</f>
        <v>Suppliers: 0</v>
      </c>
      <c r="C5" s="73"/>
      <c r="D5" s="73"/>
      <c r="E5" s="75" t="str">
        <f>"📦 Ingredients tracked: "&amp;COUNTA('📦 Inventory'!$C$8:$C$47)</f>
        <v>Ingredients tracked: 0</v>
      </c>
      <c r="F5" s="75"/>
      <c r="G5" s="75"/>
      <c r="H5" s="108" t="str">
        <f>"🔴 Below minimum: "&amp;'_Data'!$AF$23&amp;" item(s)"</f>
        <v>Below minimum: 0 item(s)</v>
      </c>
      <c r="I5" s="108"/>
      <c r="J5" s="108"/>
      <c r="K5" s="7"/>
      <c r="L5" s="7"/>
      <c r="M5" s="7"/>
    </row>
    <row r="6" spans="1:13" ht="7" customHeight="1" x14ac:dyDescent="0.2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</row>
    <row r="7" spans="1:13" ht="36" customHeight="1" x14ac:dyDescent="0.25">
      <c r="A7" s="7"/>
      <c r="B7" s="18" t="s">
        <v>203</v>
      </c>
      <c r="C7" s="18" t="s">
        <v>287</v>
      </c>
      <c r="D7" s="18" t="s">
        <v>349</v>
      </c>
      <c r="E7" s="18" t="s">
        <v>205</v>
      </c>
      <c r="F7" s="18" t="s">
        <v>206</v>
      </c>
      <c r="G7" s="18" t="s">
        <v>350</v>
      </c>
      <c r="H7" s="18" t="s">
        <v>351</v>
      </c>
      <c r="I7" s="18" t="s">
        <v>352</v>
      </c>
      <c r="J7" s="18" t="s">
        <v>353</v>
      </c>
      <c r="K7" s="18" t="s">
        <v>354</v>
      </c>
      <c r="L7" s="18" t="s">
        <v>355</v>
      </c>
      <c r="M7" s="18" t="s">
        <v>213</v>
      </c>
    </row>
    <row r="8" spans="1:13" ht="20" customHeight="1" x14ac:dyDescent="0.25">
      <c r="A8" s="7"/>
      <c r="B8" s="78">
        <v>1</v>
      </c>
      <c r="C8" s="79"/>
      <c r="D8" s="79"/>
      <c r="E8" s="80"/>
      <c r="F8" s="79"/>
      <c r="G8" s="80"/>
      <c r="H8" s="79"/>
      <c r="I8" s="83"/>
      <c r="J8" s="123"/>
      <c r="K8" s="80"/>
      <c r="L8" s="80"/>
      <c r="M8" s="79"/>
    </row>
    <row r="9" spans="1:13" ht="20" customHeight="1" x14ac:dyDescent="0.25">
      <c r="A9" s="7"/>
      <c r="B9" s="85">
        <v>2</v>
      </c>
      <c r="C9" s="86"/>
      <c r="D9" s="86"/>
      <c r="E9" s="87"/>
      <c r="F9" s="86"/>
      <c r="G9" s="87"/>
      <c r="H9" s="86"/>
      <c r="I9" s="90"/>
      <c r="J9" s="124"/>
      <c r="K9" s="87"/>
      <c r="L9" s="87"/>
      <c r="M9" s="86"/>
    </row>
    <row r="10" spans="1:13" ht="20" customHeight="1" x14ac:dyDescent="0.25">
      <c r="A10" s="7"/>
      <c r="B10" s="78">
        <v>3</v>
      </c>
      <c r="C10" s="79"/>
      <c r="D10" s="79"/>
      <c r="E10" s="80"/>
      <c r="F10" s="79"/>
      <c r="G10" s="80"/>
      <c r="H10" s="79"/>
      <c r="I10" s="83"/>
      <c r="J10" s="123"/>
      <c r="K10" s="80"/>
      <c r="L10" s="80"/>
      <c r="M10" s="79"/>
    </row>
    <row r="11" spans="1:13" ht="20" customHeight="1" x14ac:dyDescent="0.25">
      <c r="A11" s="7"/>
      <c r="B11" s="85">
        <v>4</v>
      </c>
      <c r="C11" s="86"/>
      <c r="D11" s="86"/>
      <c r="E11" s="87"/>
      <c r="F11" s="86"/>
      <c r="G11" s="87"/>
      <c r="H11" s="86"/>
      <c r="I11" s="90"/>
      <c r="J11" s="124"/>
      <c r="K11" s="87"/>
      <c r="L11" s="87"/>
      <c r="M11" s="86"/>
    </row>
    <row r="12" spans="1:13" ht="20" customHeight="1" x14ac:dyDescent="0.25">
      <c r="A12" s="7"/>
      <c r="B12" s="78">
        <v>5</v>
      </c>
      <c r="C12" s="79"/>
      <c r="D12" s="79"/>
      <c r="E12" s="80"/>
      <c r="F12" s="79"/>
      <c r="G12" s="80"/>
      <c r="H12" s="79"/>
      <c r="I12" s="83"/>
      <c r="J12" s="123"/>
      <c r="K12" s="80"/>
      <c r="L12" s="80"/>
      <c r="M12" s="79"/>
    </row>
    <row r="13" spans="1:13" ht="20" customHeight="1" x14ac:dyDescent="0.25">
      <c r="A13" s="7"/>
      <c r="B13" s="85">
        <v>6</v>
      </c>
      <c r="C13" s="86"/>
      <c r="D13" s="86"/>
      <c r="E13" s="87"/>
      <c r="F13" s="86"/>
      <c r="G13" s="87"/>
      <c r="H13" s="86"/>
      <c r="I13" s="90"/>
      <c r="J13" s="124"/>
      <c r="K13" s="87"/>
      <c r="L13" s="87"/>
      <c r="M13" s="86"/>
    </row>
    <row r="14" spans="1:13" ht="20" customHeight="1" x14ac:dyDescent="0.25">
      <c r="A14" s="7"/>
      <c r="B14" s="78">
        <v>7</v>
      </c>
      <c r="C14" s="79"/>
      <c r="D14" s="79"/>
      <c r="E14" s="80"/>
      <c r="F14" s="79"/>
      <c r="G14" s="80"/>
      <c r="H14" s="79"/>
      <c r="I14" s="83"/>
      <c r="J14" s="123"/>
      <c r="K14" s="80"/>
      <c r="L14" s="80"/>
      <c r="M14" s="79"/>
    </row>
    <row r="15" spans="1:13" ht="20" customHeight="1" x14ac:dyDescent="0.25">
      <c r="A15" s="7"/>
      <c r="B15" s="85">
        <v>8</v>
      </c>
      <c r="C15" s="86"/>
      <c r="D15" s="86"/>
      <c r="E15" s="87"/>
      <c r="F15" s="86"/>
      <c r="G15" s="87"/>
      <c r="H15" s="86"/>
      <c r="I15" s="90"/>
      <c r="J15" s="124"/>
      <c r="K15" s="87"/>
      <c r="L15" s="87"/>
      <c r="M15" s="86"/>
    </row>
    <row r="16" spans="1:13" ht="20" customHeight="1" x14ac:dyDescent="0.25">
      <c r="A16" s="7"/>
      <c r="B16" s="78">
        <v>9</v>
      </c>
      <c r="C16" s="79"/>
      <c r="D16" s="79"/>
      <c r="E16" s="80"/>
      <c r="F16" s="79"/>
      <c r="G16" s="80"/>
      <c r="H16" s="79"/>
      <c r="I16" s="83"/>
      <c r="J16" s="123"/>
      <c r="K16" s="80"/>
      <c r="L16" s="80"/>
      <c r="M16" s="79"/>
    </row>
    <row r="17" spans="1:13" ht="20" customHeight="1" x14ac:dyDescent="0.25">
      <c r="A17" s="7"/>
      <c r="B17" s="85">
        <v>10</v>
      </c>
      <c r="C17" s="86"/>
      <c r="D17" s="86"/>
      <c r="E17" s="87"/>
      <c r="F17" s="86"/>
      <c r="G17" s="87"/>
      <c r="H17" s="86"/>
      <c r="I17" s="90"/>
      <c r="J17" s="124"/>
      <c r="K17" s="87"/>
      <c r="L17" s="87"/>
      <c r="M17" s="86"/>
    </row>
    <row r="18" spans="1:13" ht="20" customHeight="1" x14ac:dyDescent="0.25">
      <c r="A18" s="7"/>
      <c r="B18" s="78">
        <v>11</v>
      </c>
      <c r="C18" s="79"/>
      <c r="D18" s="79"/>
      <c r="E18" s="80"/>
      <c r="F18" s="79"/>
      <c r="G18" s="80"/>
      <c r="H18" s="79"/>
      <c r="I18" s="83"/>
      <c r="J18" s="123"/>
      <c r="K18" s="80"/>
      <c r="L18" s="80"/>
      <c r="M18" s="79"/>
    </row>
    <row r="19" spans="1:13" ht="20" customHeight="1" x14ac:dyDescent="0.25">
      <c r="A19" s="7"/>
      <c r="B19" s="85">
        <v>12</v>
      </c>
      <c r="C19" s="86"/>
      <c r="D19" s="86"/>
      <c r="E19" s="87"/>
      <c r="F19" s="86"/>
      <c r="G19" s="87"/>
      <c r="H19" s="86"/>
      <c r="I19" s="90"/>
      <c r="J19" s="124"/>
      <c r="K19" s="87"/>
      <c r="L19" s="87"/>
      <c r="M19" s="86"/>
    </row>
    <row r="20" spans="1:13" ht="20" customHeight="1" x14ac:dyDescent="0.25">
      <c r="A20" s="7"/>
      <c r="B20" s="78">
        <v>13</v>
      </c>
      <c r="C20" s="79"/>
      <c r="D20" s="79"/>
      <c r="E20" s="80"/>
      <c r="F20" s="79"/>
      <c r="G20" s="80"/>
      <c r="H20" s="79"/>
      <c r="I20" s="83"/>
      <c r="J20" s="123"/>
      <c r="K20" s="80"/>
      <c r="L20" s="80"/>
      <c r="M20" s="79"/>
    </row>
    <row r="21" spans="1:13" ht="20" customHeight="1" x14ac:dyDescent="0.25">
      <c r="A21" s="7"/>
      <c r="B21" s="85">
        <v>14</v>
      </c>
      <c r="C21" s="86"/>
      <c r="D21" s="86"/>
      <c r="E21" s="87"/>
      <c r="F21" s="86"/>
      <c r="G21" s="87"/>
      <c r="H21" s="86"/>
      <c r="I21" s="90"/>
      <c r="J21" s="124"/>
      <c r="K21" s="87"/>
      <c r="L21" s="87"/>
      <c r="M21" s="86"/>
    </row>
    <row r="22" spans="1:13" ht="20" customHeight="1" x14ac:dyDescent="0.25">
      <c r="A22" s="7"/>
      <c r="B22" s="78">
        <v>15</v>
      </c>
      <c r="C22" s="79"/>
      <c r="D22" s="79"/>
      <c r="E22" s="80"/>
      <c r="F22" s="79"/>
      <c r="G22" s="80"/>
      <c r="H22" s="79"/>
      <c r="I22" s="83"/>
      <c r="J22" s="123"/>
      <c r="K22" s="80"/>
      <c r="L22" s="80"/>
      <c r="M22" s="79"/>
    </row>
    <row r="23" spans="1:13" ht="20" customHeight="1" x14ac:dyDescent="0.25">
      <c r="A23" s="7"/>
      <c r="B23" s="85">
        <v>16</v>
      </c>
      <c r="C23" s="86"/>
      <c r="D23" s="86"/>
      <c r="E23" s="87"/>
      <c r="F23" s="86"/>
      <c r="G23" s="87"/>
      <c r="H23" s="86"/>
      <c r="I23" s="90"/>
      <c r="J23" s="124"/>
      <c r="K23" s="87"/>
      <c r="L23" s="87"/>
      <c r="M23" s="86"/>
    </row>
    <row r="24" spans="1:13" ht="20" customHeight="1" x14ac:dyDescent="0.25">
      <c r="A24" s="7"/>
      <c r="B24" s="78">
        <v>17</v>
      </c>
      <c r="C24" s="79"/>
      <c r="D24" s="79"/>
      <c r="E24" s="80"/>
      <c r="F24" s="79"/>
      <c r="G24" s="80"/>
      <c r="H24" s="79"/>
      <c r="I24" s="83"/>
      <c r="J24" s="123"/>
      <c r="K24" s="80"/>
      <c r="L24" s="80"/>
      <c r="M24" s="79"/>
    </row>
    <row r="25" spans="1:13" ht="20" customHeight="1" x14ac:dyDescent="0.25">
      <c r="A25" s="7"/>
      <c r="B25" s="85">
        <v>18</v>
      </c>
      <c r="C25" s="86"/>
      <c r="D25" s="86"/>
      <c r="E25" s="87"/>
      <c r="F25" s="86"/>
      <c r="G25" s="87"/>
      <c r="H25" s="86"/>
      <c r="I25" s="90"/>
      <c r="J25" s="124"/>
      <c r="K25" s="87"/>
      <c r="L25" s="87"/>
      <c r="M25" s="86"/>
    </row>
    <row r="26" spans="1:13" ht="20" customHeight="1" x14ac:dyDescent="0.25">
      <c r="A26" s="7"/>
      <c r="B26" s="78">
        <v>19</v>
      </c>
      <c r="C26" s="79"/>
      <c r="D26" s="79"/>
      <c r="E26" s="80"/>
      <c r="F26" s="79"/>
      <c r="G26" s="80"/>
      <c r="H26" s="79"/>
      <c r="I26" s="83"/>
      <c r="J26" s="123"/>
      <c r="K26" s="80"/>
      <c r="L26" s="80"/>
      <c r="M26" s="79"/>
    </row>
    <row r="27" spans="1:13" ht="20" customHeight="1" x14ac:dyDescent="0.25">
      <c r="A27" s="7"/>
      <c r="B27" s="85">
        <v>20</v>
      </c>
      <c r="C27" s="86"/>
      <c r="D27" s="86"/>
      <c r="E27" s="87"/>
      <c r="F27" s="86"/>
      <c r="G27" s="87"/>
      <c r="H27" s="86"/>
      <c r="I27" s="90"/>
      <c r="J27" s="124"/>
      <c r="K27" s="87"/>
      <c r="L27" s="87"/>
      <c r="M27" s="86"/>
    </row>
    <row r="28" spans="1:13" ht="20" customHeight="1" x14ac:dyDescent="0.25">
      <c r="A28" s="7"/>
      <c r="B28" s="78">
        <v>21</v>
      </c>
      <c r="C28" s="79"/>
      <c r="D28" s="79"/>
      <c r="E28" s="80"/>
      <c r="F28" s="79"/>
      <c r="G28" s="80"/>
      <c r="H28" s="79"/>
      <c r="I28" s="83"/>
      <c r="J28" s="123"/>
      <c r="K28" s="80"/>
      <c r="L28" s="80"/>
      <c r="M28" s="79"/>
    </row>
    <row r="29" spans="1:13" ht="20" customHeight="1" x14ac:dyDescent="0.25">
      <c r="A29" s="7"/>
      <c r="B29" s="85">
        <v>22</v>
      </c>
      <c r="C29" s="86"/>
      <c r="D29" s="86"/>
      <c r="E29" s="87"/>
      <c r="F29" s="86"/>
      <c r="G29" s="87"/>
      <c r="H29" s="86"/>
      <c r="I29" s="90"/>
      <c r="J29" s="124"/>
      <c r="K29" s="87"/>
      <c r="L29" s="87"/>
      <c r="M29" s="86"/>
    </row>
    <row r="30" spans="1:13" ht="20" customHeight="1" x14ac:dyDescent="0.25">
      <c r="A30" s="7"/>
      <c r="B30" s="78">
        <v>23</v>
      </c>
      <c r="C30" s="79"/>
      <c r="D30" s="79"/>
      <c r="E30" s="80"/>
      <c r="F30" s="79"/>
      <c r="G30" s="80"/>
      <c r="H30" s="79"/>
      <c r="I30" s="83"/>
      <c r="J30" s="123"/>
      <c r="K30" s="80"/>
      <c r="L30" s="80"/>
      <c r="M30" s="79"/>
    </row>
    <row r="31" spans="1:13" ht="20" customHeight="1" x14ac:dyDescent="0.25">
      <c r="A31" s="7"/>
      <c r="B31" s="85">
        <v>24</v>
      </c>
      <c r="C31" s="86"/>
      <c r="D31" s="86"/>
      <c r="E31" s="87"/>
      <c r="F31" s="86"/>
      <c r="G31" s="87"/>
      <c r="H31" s="86"/>
      <c r="I31" s="90"/>
      <c r="J31" s="124"/>
      <c r="K31" s="87"/>
      <c r="L31" s="87"/>
      <c r="M31" s="86"/>
    </row>
    <row r="32" spans="1:13" ht="20" customHeight="1" x14ac:dyDescent="0.25">
      <c r="A32" s="7"/>
      <c r="B32" s="78">
        <v>25</v>
      </c>
      <c r="C32" s="79"/>
      <c r="D32" s="79"/>
      <c r="E32" s="80"/>
      <c r="F32" s="79"/>
      <c r="G32" s="80"/>
      <c r="H32" s="79"/>
      <c r="I32" s="83"/>
      <c r="J32" s="123"/>
      <c r="K32" s="80"/>
      <c r="L32" s="80"/>
      <c r="M32" s="79"/>
    </row>
    <row r="33" spans="1:13" ht="20" customHeight="1" x14ac:dyDescent="0.25">
      <c r="A33" s="7"/>
      <c r="B33" s="85">
        <v>26</v>
      </c>
      <c r="C33" s="86"/>
      <c r="D33" s="86"/>
      <c r="E33" s="87"/>
      <c r="F33" s="86"/>
      <c r="G33" s="87"/>
      <c r="H33" s="86"/>
      <c r="I33" s="90"/>
      <c r="J33" s="124"/>
      <c r="K33" s="87"/>
      <c r="L33" s="87"/>
      <c r="M33" s="86"/>
    </row>
    <row r="34" spans="1:13" ht="20" customHeight="1" x14ac:dyDescent="0.25">
      <c r="A34" s="7"/>
      <c r="B34" s="78">
        <v>27</v>
      </c>
      <c r="C34" s="79"/>
      <c r="D34" s="79"/>
      <c r="E34" s="80"/>
      <c r="F34" s="79"/>
      <c r="G34" s="80"/>
      <c r="H34" s="79"/>
      <c r="I34" s="83"/>
      <c r="J34" s="123"/>
      <c r="K34" s="80"/>
      <c r="L34" s="80"/>
      <c r="M34" s="79"/>
    </row>
    <row r="35" spans="1:13" ht="20" customHeight="1" x14ac:dyDescent="0.25">
      <c r="A35" s="7"/>
      <c r="B35" s="85">
        <v>28</v>
      </c>
      <c r="C35" s="86"/>
      <c r="D35" s="86"/>
      <c r="E35" s="87"/>
      <c r="F35" s="86"/>
      <c r="G35" s="87"/>
      <c r="H35" s="86"/>
      <c r="I35" s="90"/>
      <c r="J35" s="124"/>
      <c r="K35" s="87"/>
      <c r="L35" s="87"/>
      <c r="M35" s="86"/>
    </row>
    <row r="36" spans="1:13" ht="20" customHeight="1" x14ac:dyDescent="0.25">
      <c r="A36" s="7"/>
      <c r="B36" s="78">
        <v>29</v>
      </c>
      <c r="C36" s="79"/>
      <c r="D36" s="79"/>
      <c r="E36" s="80"/>
      <c r="F36" s="79"/>
      <c r="G36" s="80"/>
      <c r="H36" s="79"/>
      <c r="I36" s="83"/>
      <c r="J36" s="123"/>
      <c r="K36" s="80"/>
      <c r="L36" s="80"/>
      <c r="M36" s="79"/>
    </row>
    <row r="37" spans="1:13" ht="20" customHeight="1" x14ac:dyDescent="0.25">
      <c r="A37" s="7"/>
      <c r="B37" s="85">
        <v>30</v>
      </c>
      <c r="C37" s="86"/>
      <c r="D37" s="86"/>
      <c r="E37" s="87"/>
      <c r="F37" s="86"/>
      <c r="G37" s="87"/>
      <c r="H37" s="86"/>
      <c r="I37" s="90"/>
      <c r="J37" s="124"/>
      <c r="K37" s="87"/>
      <c r="L37" s="87"/>
      <c r="M37" s="86"/>
    </row>
    <row r="38" spans="1:13" x14ac:dyDescent="0.2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</row>
    <row r="39" spans="1:13" ht="22" customHeight="1" x14ac:dyDescent="0.25">
      <c r="A39" s="7"/>
      <c r="B39" s="66" t="s">
        <v>215</v>
      </c>
      <c r="C39" s="66"/>
      <c r="D39" s="66"/>
      <c r="E39" s="66"/>
      <c r="F39" s="66"/>
      <c r="G39" s="66"/>
      <c r="H39" s="66"/>
      <c r="I39" s="66"/>
      <c r="J39" s="66"/>
      <c r="K39" s="66"/>
      <c r="L39" s="66"/>
      <c r="M39" s="66"/>
    </row>
    <row r="40" spans="1:13" ht="51.8" customHeight="1" x14ac:dyDescent="0.25">
      <c r="A40" s="7"/>
      <c r="B40" s="21" t="s">
        <v>356</v>
      </c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</row>
    <row r="41" spans="1:13" x14ac:dyDescent="0.2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</row>
    <row r="42" spans="1:13" x14ac:dyDescent="0.2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</row>
    <row r="43" spans="1:13" x14ac:dyDescent="0.2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</row>
    <row r="44" spans="1:13" x14ac:dyDescent="0.2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</row>
    <row r="45" spans="1:13" ht="24" customHeight="1" x14ac:dyDescent="0.25">
      <c r="A45" s="7"/>
      <c r="B45" s="26" t="s">
        <v>199</v>
      </c>
      <c r="C45" s="26"/>
      <c r="D45" s="27" t="s">
        <v>165</v>
      </c>
      <c r="E45" s="27"/>
      <c r="F45" s="28" t="s">
        <v>166</v>
      </c>
      <c r="G45" s="28"/>
      <c r="H45" s="29" t="s">
        <v>4</v>
      </c>
      <c r="I45" s="29"/>
      <c r="J45" s="30" t="s">
        <v>167</v>
      </c>
      <c r="K45" s="30"/>
      <c r="L45" s="31" t="s">
        <v>168</v>
      </c>
      <c r="M45" s="31"/>
    </row>
    <row r="46" spans="1:13" ht="24" customHeight="1" x14ac:dyDescent="0.25">
      <c r="A46" s="7"/>
      <c r="B46" s="32" t="s">
        <v>169</v>
      </c>
      <c r="C46" s="32"/>
      <c r="D46" s="33" t="s">
        <v>170</v>
      </c>
      <c r="E46" s="33"/>
      <c r="F46" s="27" t="s">
        <v>2</v>
      </c>
      <c r="G46" s="27"/>
      <c r="H46" s="29" t="s">
        <v>171</v>
      </c>
      <c r="I46" s="29"/>
      <c r="J46" s="26" t="s">
        <v>172</v>
      </c>
      <c r="K46" s="26"/>
      <c r="L46" s="27" t="s">
        <v>173</v>
      </c>
      <c r="M46" s="27"/>
    </row>
    <row r="47" spans="1:13" ht="24" customHeight="1" x14ac:dyDescent="0.25">
      <c r="A47" s="7"/>
      <c r="B47" s="28" t="s">
        <v>357</v>
      </c>
      <c r="C47" s="28"/>
      <c r="D47" s="29" t="s">
        <v>175</v>
      </c>
      <c r="E47" s="29"/>
      <c r="F47" s="30" t="s">
        <v>176</v>
      </c>
      <c r="G47" s="30"/>
      <c r="H47" s="31" t="s">
        <v>177</v>
      </c>
      <c r="I47" s="31"/>
      <c r="J47" s="32" t="s">
        <v>178</v>
      </c>
      <c r="K47" s="32"/>
      <c r="L47" s="33" t="s">
        <v>56</v>
      </c>
      <c r="M47" s="33"/>
    </row>
    <row r="48" spans="1:13" ht="24" customHeight="1" x14ac:dyDescent="0.25">
      <c r="A48" s="7"/>
      <c r="B48" s="27" t="s">
        <v>179</v>
      </c>
      <c r="C48" s="27"/>
      <c r="D48" s="7"/>
      <c r="E48" s="7"/>
      <c r="F48" s="7"/>
      <c r="G48" s="7"/>
      <c r="H48" s="7"/>
      <c r="I48" s="7"/>
      <c r="J48" s="7"/>
      <c r="K48" s="7"/>
      <c r="L48" s="7"/>
      <c r="M48" s="7"/>
    </row>
    <row r="49" spans="1:13" x14ac:dyDescent="0.2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</row>
    <row r="50" spans="1:13" x14ac:dyDescent="0.2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</row>
    <row r="51" spans="1:13" x14ac:dyDescent="0.2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</row>
    <row r="52" spans="1:13" x14ac:dyDescent="0.2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</row>
    <row r="53" spans="1:13" x14ac:dyDescent="0.2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</row>
    <row r="54" spans="1:13" x14ac:dyDescent="0.2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</row>
    <row r="55" spans="1:13" x14ac:dyDescent="0.2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</row>
    <row r="56" spans="1:13" x14ac:dyDescent="0.2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</row>
    <row r="57" spans="1:13" x14ac:dyDescent="0.2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</row>
    <row r="58" spans="1:13" x14ac:dyDescent="0.2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</row>
    <row r="59" spans="1:13" x14ac:dyDescent="0.2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</row>
    <row r="60" spans="1:13" x14ac:dyDescent="0.2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</row>
  </sheetData>
  <autoFilter ref="B7:M37"/>
  <mergeCells count="28">
    <mergeCell ref="B2:J2"/>
    <mergeCell ref="B3:J3"/>
    <mergeCell ref="K3:M3"/>
    <mergeCell ref="B5:D5"/>
    <mergeCell ref="E5:G5"/>
    <mergeCell ref="H5:J5"/>
    <mergeCell ref="K5:M5"/>
    <mergeCell ref="B39:M39"/>
    <mergeCell ref="B40:M40"/>
    <mergeCell ref="B45:C45"/>
    <mergeCell ref="D45:E45"/>
    <mergeCell ref="F45:G45"/>
    <mergeCell ref="H45:I45"/>
    <mergeCell ref="J45:K45"/>
    <mergeCell ref="L45:M45"/>
    <mergeCell ref="B46:C46"/>
    <mergeCell ref="D46:E46"/>
    <mergeCell ref="F46:G46"/>
    <mergeCell ref="H46:I46"/>
    <mergeCell ref="J46:K46"/>
    <mergeCell ref="L46:M46"/>
    <mergeCell ref="B47:C47"/>
    <mergeCell ref="D47:E47"/>
    <mergeCell ref="F47:G47"/>
    <mergeCell ref="H47:I47"/>
    <mergeCell ref="J47:K47"/>
    <mergeCell ref="L47:M47"/>
    <mergeCell ref="B48:C48"/>
  </mergeCells>
  <conditionalFormatting sqref="I8:I37">
    <cfRule type="dataBar" priority="1">
      <dataBar>
        <cfvo type="num" val="0"/>
        <cfvo type="num" val="1"/>
        <color rgb="FF3F6E8C"/>
      </dataBar>
      <extLst>
        <ext xmlns:x14="http://schemas.microsoft.com/office/spreadsheetml/2009/9/main" uri="{B025F937-C7B1-47D3-B67F-A62EFF666E3E}">
          <x14:id>{DA7ABA51-AAAA-BBBB-000E-000000000001}</x14:id>
        </ext>
      </extLst>
    </cfRule>
  </conditionalFormatting>
  <dataValidations count="3">
    <dataValidation type="list" allowBlank="1" showInputMessage="1" promptTitle="Supplies what?" prompt="Broad category of what this supplier sells." sqref="G8:G37">
      <formula1>IngredientCategories</formula1>
    </dataValidation>
    <dataValidation type="decimal" operator="greaterThanOrEqual" errorStyle="warning" allowBlank="1" showInputMessage="1" showErrorMessage="1" errorTitle="Enter money" error="Please enter a positive number (no currency symbol) - the symbol comes from Setup." sqref="I8:I37">
      <formula1>0</formula1>
    </dataValidation>
    <dataValidation type="decimal" operator="greaterThanOrEqual" errorStyle="warning" allowBlank="1" showInputMessage="1" showErrorMessage="1" errorTitle="Enter money" error="Please enter a positive number (no currency symbol) - the symbol comes from Setup." sqref="J8:J37">
      <formula1>0</formula1>
    </dataValidation>
  </dataValidations>
  <hyperlinks>
    <hyperlink ref="K3" location="'📊 Dashboard'!A1" display="🏠  Back to Dashboard"/>
    <hyperlink ref="B45" location="'⚙️ Setup'!A1" display="Setup"/>
    <hyperlink ref="D45" location="'📊 Dashboard'!A1" display="🏠 Home"/>
    <hyperlink ref="F45" location="'👥 Clients'!A1" display="Clients"/>
    <hyperlink ref="H45" location="'📅 Events'!A1" display="Events"/>
    <hyperlink ref="J45" location="'🧮 Quote Calculator'!A1" display="Quote"/>
    <hyperlink ref="L45" location="'🍽️ Menu Costing'!A1" display="Menu"/>
    <hyperlink ref="B46" location="'📦 Inventory'!A1" display="Stock"/>
    <hyperlink ref="D46" location="'🛒 Shopping List'!A1" display="Shop"/>
    <hyperlink ref="F46" location="'💸 Expenses'!A1" display="Expenses"/>
    <hyperlink ref="H46" location="'💰 Payments'!A1" display="Payments"/>
    <hyperlink ref="J46" location="'👷 Staff &amp; Labor'!A1" display="Staff"/>
    <hyperlink ref="L46" location="'🍳 Equipment'!A1" display="Equip"/>
    <hyperlink ref="B47" location="'🚚 Suppliers'!A1" display="▶ Suppliers"/>
    <hyperlink ref="D47" location="'📆 Event Calendar'!A1" display="Calendar"/>
    <hyperlink ref="F47" location="'📈 P&amp;L &amp; Reports'!A1" display="P&amp;L"/>
    <hyperlink ref="H47" location="'🧾 Tax Tracker'!A1" display="Tax"/>
    <hyperlink ref="J47" location="'✅ Checklists'!A1" display="Checks"/>
    <hyperlink ref="L47" location="'🖨️ Invoice &amp; Proposal'!A1" display="Invoice"/>
    <hyperlink ref="B48" location="'📖 Start Here'!A1" display="Help"/>
  </hyperlinks>
  <pageMargins left="0.4" right="0.4" top="0.5" bottom="0.5" header="0.3" footer="0.3"/>
  <pageSetup paperSize="9" fitToHeight="0" orientation="landscape"/>
  <headerFooter>
    <oddHeader>&amp;L&amp;"Calibri,Bold"&amp;11Catering Business Manager&amp;R&amp;"Calibri,Italic"&amp;9Page &amp;P of &amp;N</oddHeader>
    <oddFooter>&amp;C&amp;"Calibri,Italic"&amp;8&amp;A  •  Ultimate Catering Business Spreadsheet v1.0  •  personal licence</oddFoot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E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3F6E8C"/>
              <x14:negativeFillColor rgb="FFFF0000"/>
              <x14:negativeBorderColor rgb="FFFF0000"/>
              <x14:axisColor rgb="FF000000"/>
            </x14:dataBar>
          </x14:cfRule>
          <xm:sqref>I8:I37</xm:sqref>
        </x14:conditionalFormatting>
      </x14:conditionalFormattings>
    </ext>
  </extLst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rgb="FFA9822B"/>
    <pageSetUpPr fitToPage="1"/>
  </sheetPr>
  <dimension ref="A1:H33"/>
  <sheetViews>
    <sheetView showGridLines="0" zoomScale="95" zoomScaleNormal="95" workbookViewId="0"/>
  </sheetViews>
  <sheetFormatPr defaultRowHeight="15"/>
  <cols>
    <col min="1" max="1" width="2.85546875" customWidth="1"/>
    <col min="2" max="2" width="16.28515625" customWidth="1"/>
    <col min="3" max="3" width="16.28515625" customWidth="1"/>
    <col min="4" max="4" width="16.28515625" customWidth="1"/>
    <col min="5" max="5" width="16.28515625" customWidth="1"/>
    <col min="6" max="6" width="16.28515625" customWidth="1"/>
    <col min="7" max="7" width="16.28515625" customWidth="1"/>
    <col min="8" max="8" width="16.28515625" customWidth="1"/>
  </cols>
  <sheetData>
    <row r="1" spans="1:8" ht="7" customHeight="1">
      <c r="A1" s="7"/>
      <c r="B1" s="7"/>
      <c r="C1" s="7"/>
      <c r="D1" s="7"/>
      <c r="E1" s="7"/>
      <c r="F1" s="7"/>
      <c r="G1" s="7"/>
      <c r="H1" s="7"/>
    </row>
    <row r="2" spans="1:8" ht="30" customHeight="1">
      <c r="A2" s="7"/>
      <c r="B2" s="8" t="s">
        <v>358</v>
      </c>
      <c r="C2" s="8"/>
      <c r="D2" s="8"/>
      <c r="E2" s="8"/>
      <c r="F2" s="7"/>
      <c r="G2" s="7"/>
      <c r="H2" s="7"/>
    </row>
    <row r="3" spans="1:8" ht="18" customHeight="1">
      <c r="A3" s="7"/>
      <c r="B3" s="9" t="s">
        <v>359</v>
      </c>
      <c r="C3" s="9"/>
      <c r="D3" s="9"/>
      <c r="E3" s="9"/>
      <c r="F3" s="10" t="s">
        <v>97</v>
      </c>
      <c r="G3" s="10"/>
      <c r="H3" s="10"/>
    </row>
    <row r="4" spans="1:8" ht="7" customHeight="1">
      <c r="A4" s="7"/>
      <c r="B4" s="7"/>
      <c r="C4" s="7"/>
      <c r="D4" s="7"/>
      <c r="E4" s="7"/>
      <c r="F4" s="7"/>
      <c r="G4" s="7"/>
      <c r="H4" s="7"/>
    </row>
    <row r="5" spans="1:8" ht="26" customHeight="1">
      <c r="A5" s="7"/>
      <c r="B5" s="73" t="str">
        <f>"📅 "&amp;TEXT(DATE(CalYear,CalMonth,1),"mmmm")&amp;": "&amp;COUNTIFS('📅 Events'!$E$8:$E$47,"&gt;="&amp;DATE(CalYear,CalMonth,1),'📅 Events'!$E$8:$E$47,"&lt;="&amp;EOMONTH(DATE(CalYear,CalMonth,1),0),'📅 Events'!$Q$8:$Q$47,"&lt;&gt;❌ Cancelled")&amp;" event(s)"</f>
        <v>September: 0 event(s)</v>
      </c>
      <c r="C5" s="73"/>
      <c r="D5" s="121" t="str">
        <f>"👥 Guests: "&amp;SUMIFS('📅 Events'!$G$8:$G$47,'📅 Events'!$E$8:$E$47,"&gt;="&amp;DATE(CalYear,CalMonth,1),'📅 Events'!$E$8:$E$47,"&lt;="&amp;EOMONTH(DATE(CalYear,CalMonth,1),0),'📅 Events'!$Q$8:$Q$47,"&lt;&gt;❌ Cancelled")</f>
        <v>Guests: 0</v>
      </c>
      <c r="E5" s="121"/>
      <c r="F5" s="76" t="str">
        <f>"💰 Booked: "&amp;Currency&amp;TEXT(SUMIFS('📅 Events'!$L$8:$L$47,'📅 Events'!$E$8:$E$47,"&gt;="&amp;DATE(CalYear,CalMonth,1),'📅 Events'!$E$8:$E$47,"&lt;="&amp;EOMONTH(DATE(CalYear,CalMonth,1),0),'📅 Events'!$Q$8:$Q$47,"&lt;&gt;❌ Cancelled"),"#,##0")</f>
        <v>Booked: $0</v>
      </c>
      <c r="G5" s="76"/>
      <c r="H5" s="7"/>
    </row>
    <row r="6" spans="1:8" ht="7" customHeight="1">
      <c r="A6" s="7"/>
      <c r="B6" s="7"/>
      <c r="C6" s="7"/>
      <c r="D6" s="7"/>
      <c r="E6" s="7"/>
      <c r="F6" s="7"/>
      <c r="G6" s="7"/>
      <c r="H6" s="7"/>
    </row>
    <row r="7" spans="1:8">
      <c r="A7" s="7"/>
      <c r="B7" s="7"/>
      <c r="C7" s="7"/>
      <c r="D7" s="7"/>
      <c r="E7" s="7"/>
      <c r="F7" s="7"/>
      <c r="G7" s="7"/>
      <c r="H7" s="7"/>
    </row>
    <row r="8" spans="1:8">
      <c r="A8" s="7"/>
      <c r="B8" s="7"/>
      <c r="C8" s="7"/>
      <c r="D8" s="7"/>
      <c r="E8" s="7"/>
      <c r="F8" s="7"/>
      <c r="G8" s="7"/>
      <c r="H8" s="7"/>
    </row>
    <row r="9" spans="1:8">
      <c r="A9" s="7"/>
      <c r="B9" s="7"/>
      <c r="C9" s="7"/>
      <c r="D9" s="7"/>
      <c r="E9" s="7"/>
      <c r="F9" s="7"/>
      <c r="G9" s="7"/>
      <c r="H9" s="7"/>
    </row>
    <row r="10" spans="1:8">
      <c r="A10" s="7"/>
      <c r="B10" s="7"/>
      <c r="C10" s="7"/>
      <c r="D10" s="7"/>
      <c r="E10" s="7"/>
      <c r="F10" s="7"/>
      <c r="G10" s="7"/>
      <c r="H10" s="7"/>
    </row>
    <row r="11" spans="1:8" ht="20" customHeight="1">
      <c r="A11" s="7"/>
      <c r="B11" s="77" t="s">
        <v>360</v>
      </c>
      <c r="C11" s="18" t="s">
        <v>361</v>
      </c>
      <c r="D11" s="18" t="s">
        <v>362</v>
      </c>
      <c r="E11" s="18" t="s">
        <v>363</v>
      </c>
      <c r="F11" s="18" t="s">
        <v>364</v>
      </c>
      <c r="G11" s="18" t="s">
        <v>365</v>
      </c>
      <c r="H11" s="77" t="s">
        <v>366</v>
      </c>
    </row>
    <row r="12" spans="1:8" ht="62" customHeight="1">
      <c r="A12" s="7"/>
      <c r="B12" s="125">
        <f>IF(OR(0+2-WEEKDAY(DATE(CalYear,CalMonth,1),1)&lt;1,0+2-WEEKDAY(DATE(CalYear,CalMonth,1),1)&gt;DAY(EOMONTH(DATE(CalYear,CalMonth,1),0))),"",0+2-WEEKDAY(DATE(CalYear,CalMonth,1),1)&amp;IF(IFERROR(INDEX('📅 Events'!$D$8:$D$47,MATCH(1,INDEX(('📅 Events'!$E$8:$E$47=DATE(CalYear,CalMonth,0+2-WEEKDAY(DATE(CalYear,CalMonth,1),1)))*('📅 Events'!$Q$8:$Q$47&lt;&gt;"❌ Cancelled"),0),1))&amp;" • "&amp;INDEX('📅 Events'!$F$8:$F$47,MATCH(1,INDEX(('📅 Events'!$E$8:$E$47=DATE(CalYear,CalMonth,0+2-WEEKDAY(DATE(CalYear,CalMonth,1),1)))*('📅 Events'!$Q$8:$Q$47&lt;&gt;"❌ Cancelled"),0),1)),"")="","",CHAR(10)&amp;IFERROR(INDEX('📅 Events'!$D$8:$D$47,MATCH(1,INDEX(('📅 Events'!$E$8:$E$47=DATE(CalYear,CalMonth,0+2-WEEKDAY(DATE(CalYear,CalMonth,1),1)))*('📅 Events'!$Q$8:$Q$47&lt;&gt;"❌ Cancelled"),0),1))&amp;" • "&amp;INDEX('📅 Events'!$F$8:$F$47,MATCH(1,INDEX(('📅 Events'!$E$8:$E$47=DATE(CalYear,CalMonth,0+2-WEEKDAY(DATE(CalYear,CalMonth,1),1)))*('📅 Events'!$Q$8:$Q$47&lt;&gt;"❌ Cancelled"),0),1)),"")))</f>
        <v/>
      </c>
      <c r="C12" s="125">
        <f>IF(OR(1+2-WEEKDAY(DATE(CalYear,CalMonth,1),1)&lt;1,1+2-WEEKDAY(DATE(CalYear,CalMonth,1),1)&gt;DAY(EOMONTH(DATE(CalYear,CalMonth,1),0))),"",1+2-WEEKDAY(DATE(CalYear,CalMonth,1),1)&amp;IF(IFERROR(INDEX('📅 Events'!$D$8:$D$47,MATCH(1,INDEX(('📅 Events'!$E$8:$E$47=DATE(CalYear,CalMonth,1+2-WEEKDAY(DATE(CalYear,CalMonth,1),1)))*('📅 Events'!$Q$8:$Q$47&lt;&gt;"❌ Cancelled"),0),1))&amp;" • "&amp;INDEX('📅 Events'!$F$8:$F$47,MATCH(1,INDEX(('📅 Events'!$E$8:$E$47=DATE(CalYear,CalMonth,1+2-WEEKDAY(DATE(CalYear,CalMonth,1),1)))*('📅 Events'!$Q$8:$Q$47&lt;&gt;"❌ Cancelled"),0),1)),"")="","",CHAR(10)&amp;IFERROR(INDEX('📅 Events'!$D$8:$D$47,MATCH(1,INDEX(('📅 Events'!$E$8:$E$47=DATE(CalYear,CalMonth,1+2-WEEKDAY(DATE(CalYear,CalMonth,1),1)))*('📅 Events'!$Q$8:$Q$47&lt;&gt;"❌ Cancelled"),0),1))&amp;" • "&amp;INDEX('📅 Events'!$F$8:$F$47,MATCH(1,INDEX(('📅 Events'!$E$8:$E$47=DATE(CalYear,CalMonth,1+2-WEEKDAY(DATE(CalYear,CalMonth,1),1)))*('📅 Events'!$Q$8:$Q$47&lt;&gt;"❌ Cancelled"),0),1)),"")))</f>
        <v/>
      </c>
      <c r="D12" s="125">
        <f>IF(OR(2+2-WEEKDAY(DATE(CalYear,CalMonth,1),1)&lt;1,2+2-WEEKDAY(DATE(CalYear,CalMonth,1),1)&gt;DAY(EOMONTH(DATE(CalYear,CalMonth,1),0))),"",2+2-WEEKDAY(DATE(CalYear,CalMonth,1),1)&amp;IF(IFERROR(INDEX('📅 Events'!$D$8:$D$47,MATCH(1,INDEX(('📅 Events'!$E$8:$E$47=DATE(CalYear,CalMonth,2+2-WEEKDAY(DATE(CalYear,CalMonth,1),1)))*('📅 Events'!$Q$8:$Q$47&lt;&gt;"❌ Cancelled"),0),1))&amp;" • "&amp;INDEX('📅 Events'!$F$8:$F$47,MATCH(1,INDEX(('📅 Events'!$E$8:$E$47=DATE(CalYear,CalMonth,2+2-WEEKDAY(DATE(CalYear,CalMonth,1),1)))*('📅 Events'!$Q$8:$Q$47&lt;&gt;"❌ Cancelled"),0),1)),"")="","",CHAR(10)&amp;IFERROR(INDEX('📅 Events'!$D$8:$D$47,MATCH(1,INDEX(('📅 Events'!$E$8:$E$47=DATE(CalYear,CalMonth,2+2-WEEKDAY(DATE(CalYear,CalMonth,1),1)))*('📅 Events'!$Q$8:$Q$47&lt;&gt;"❌ Cancelled"),0),1))&amp;" • "&amp;INDEX('📅 Events'!$F$8:$F$47,MATCH(1,INDEX(('📅 Events'!$E$8:$E$47=DATE(CalYear,CalMonth,2+2-WEEKDAY(DATE(CalYear,CalMonth,1),1)))*('📅 Events'!$Q$8:$Q$47&lt;&gt;"❌ Cancelled"),0),1)),"")))</f>
        <v/>
      </c>
      <c r="E12" s="125">
        <f>IF(OR(3+2-WEEKDAY(DATE(CalYear,CalMonth,1),1)&lt;1,3+2-WEEKDAY(DATE(CalYear,CalMonth,1),1)&gt;DAY(EOMONTH(DATE(CalYear,CalMonth,1),0))),"",3+2-WEEKDAY(DATE(CalYear,CalMonth,1),1)&amp;IF(IFERROR(INDEX('📅 Events'!$D$8:$D$47,MATCH(1,INDEX(('📅 Events'!$E$8:$E$47=DATE(CalYear,CalMonth,3+2-WEEKDAY(DATE(CalYear,CalMonth,1),1)))*('📅 Events'!$Q$8:$Q$47&lt;&gt;"❌ Cancelled"),0),1))&amp;" • "&amp;INDEX('📅 Events'!$F$8:$F$47,MATCH(1,INDEX(('📅 Events'!$E$8:$E$47=DATE(CalYear,CalMonth,3+2-WEEKDAY(DATE(CalYear,CalMonth,1),1)))*('📅 Events'!$Q$8:$Q$47&lt;&gt;"❌ Cancelled"),0),1)),"")="","",CHAR(10)&amp;IFERROR(INDEX('📅 Events'!$D$8:$D$47,MATCH(1,INDEX(('📅 Events'!$E$8:$E$47=DATE(CalYear,CalMonth,3+2-WEEKDAY(DATE(CalYear,CalMonth,1),1)))*('📅 Events'!$Q$8:$Q$47&lt;&gt;"❌ Cancelled"),0),1))&amp;" • "&amp;INDEX('📅 Events'!$F$8:$F$47,MATCH(1,INDEX(('📅 Events'!$E$8:$E$47=DATE(CalYear,CalMonth,3+2-WEEKDAY(DATE(CalYear,CalMonth,1),1)))*('📅 Events'!$Q$8:$Q$47&lt;&gt;"❌ Cancelled"),0),1)),"")))</f>
        <v/>
      </c>
      <c r="F12" s="125">
        <f>IF(OR(4+2-WEEKDAY(DATE(CalYear,CalMonth,1),1)&lt;1,4+2-WEEKDAY(DATE(CalYear,CalMonth,1),1)&gt;DAY(EOMONTH(DATE(CalYear,CalMonth,1),0))),"",4+2-WEEKDAY(DATE(CalYear,CalMonth,1),1)&amp;IF(IFERROR(INDEX('📅 Events'!$D$8:$D$47,MATCH(1,INDEX(('📅 Events'!$E$8:$E$47=DATE(CalYear,CalMonth,4+2-WEEKDAY(DATE(CalYear,CalMonth,1),1)))*('📅 Events'!$Q$8:$Q$47&lt;&gt;"❌ Cancelled"),0),1))&amp;" • "&amp;INDEX('📅 Events'!$F$8:$F$47,MATCH(1,INDEX(('📅 Events'!$E$8:$E$47=DATE(CalYear,CalMonth,4+2-WEEKDAY(DATE(CalYear,CalMonth,1),1)))*('📅 Events'!$Q$8:$Q$47&lt;&gt;"❌ Cancelled"),0),1)),"")="","",CHAR(10)&amp;IFERROR(INDEX('📅 Events'!$D$8:$D$47,MATCH(1,INDEX(('📅 Events'!$E$8:$E$47=DATE(CalYear,CalMonth,4+2-WEEKDAY(DATE(CalYear,CalMonth,1),1)))*('📅 Events'!$Q$8:$Q$47&lt;&gt;"❌ Cancelled"),0),1))&amp;" • "&amp;INDEX('📅 Events'!$F$8:$F$47,MATCH(1,INDEX(('📅 Events'!$E$8:$E$47=DATE(CalYear,CalMonth,4+2-WEEKDAY(DATE(CalYear,CalMonth,1),1)))*('📅 Events'!$Q$8:$Q$47&lt;&gt;"❌ Cancelled"),0),1)),"")))</f>
        <v/>
      </c>
      <c r="G12" s="125">
        <f>IF(OR(5+2-WEEKDAY(DATE(CalYear,CalMonth,1),1)&lt;1,5+2-WEEKDAY(DATE(CalYear,CalMonth,1),1)&gt;DAY(EOMONTH(DATE(CalYear,CalMonth,1),0))),"",5+2-WEEKDAY(DATE(CalYear,CalMonth,1),1)&amp;IF(IFERROR(INDEX('📅 Events'!$D$8:$D$47,MATCH(1,INDEX(('📅 Events'!$E$8:$E$47=DATE(CalYear,CalMonth,5+2-WEEKDAY(DATE(CalYear,CalMonth,1),1)))*('📅 Events'!$Q$8:$Q$47&lt;&gt;"❌ Cancelled"),0),1))&amp;" • "&amp;INDEX('📅 Events'!$F$8:$F$47,MATCH(1,INDEX(('📅 Events'!$E$8:$E$47=DATE(CalYear,CalMonth,5+2-WEEKDAY(DATE(CalYear,CalMonth,1),1)))*('📅 Events'!$Q$8:$Q$47&lt;&gt;"❌ Cancelled"),0),1)),"")="","",CHAR(10)&amp;IFERROR(INDEX('📅 Events'!$D$8:$D$47,MATCH(1,INDEX(('📅 Events'!$E$8:$E$47=DATE(CalYear,CalMonth,5+2-WEEKDAY(DATE(CalYear,CalMonth,1),1)))*('📅 Events'!$Q$8:$Q$47&lt;&gt;"❌ Cancelled"),0),1))&amp;" • "&amp;INDEX('📅 Events'!$F$8:$F$47,MATCH(1,INDEX(('📅 Events'!$E$8:$E$47=DATE(CalYear,CalMonth,5+2-WEEKDAY(DATE(CalYear,CalMonth,1),1)))*('📅 Events'!$Q$8:$Q$47&lt;&gt;"❌ Cancelled"),0),1)),"")))</f>
        <v/>
      </c>
      <c r="H12" s="125">
        <f>IF(OR(6+2-WEEKDAY(DATE(CalYear,CalMonth,1),1)&lt;1,6+2-WEEKDAY(DATE(CalYear,CalMonth,1),1)&gt;DAY(EOMONTH(DATE(CalYear,CalMonth,1),0))),"",6+2-WEEKDAY(DATE(CalYear,CalMonth,1),1)&amp;IF(IFERROR(INDEX('📅 Events'!$D$8:$D$47,MATCH(1,INDEX(('📅 Events'!$E$8:$E$47=DATE(CalYear,CalMonth,6+2-WEEKDAY(DATE(CalYear,CalMonth,1),1)))*('📅 Events'!$Q$8:$Q$47&lt;&gt;"❌ Cancelled"),0),1))&amp;" • "&amp;INDEX('📅 Events'!$F$8:$F$47,MATCH(1,INDEX(('📅 Events'!$E$8:$E$47=DATE(CalYear,CalMonth,6+2-WEEKDAY(DATE(CalYear,CalMonth,1),1)))*('📅 Events'!$Q$8:$Q$47&lt;&gt;"❌ Cancelled"),0),1)),"")="","",CHAR(10)&amp;IFERROR(INDEX('📅 Events'!$D$8:$D$47,MATCH(1,INDEX(('📅 Events'!$E$8:$E$47=DATE(CalYear,CalMonth,6+2-WEEKDAY(DATE(CalYear,CalMonth,1),1)))*('📅 Events'!$Q$8:$Q$47&lt;&gt;"❌ Cancelled"),0),1))&amp;" • "&amp;INDEX('📅 Events'!$F$8:$F$47,MATCH(1,INDEX(('📅 Events'!$E$8:$E$47=DATE(CalYear,CalMonth,6+2-WEEKDAY(DATE(CalYear,CalMonth,1),1)))*('📅 Events'!$Q$8:$Q$47&lt;&gt;"❌ Cancelled"),0),1)),"")))</f>
        <v/>
      </c>
    </row>
    <row r="13" spans="1:8" ht="62" customHeight="1">
      <c r="A13" s="7"/>
      <c r="B13" s="125">
        <f>IF(OR(7+2-WEEKDAY(DATE(CalYear,CalMonth,1),1)&lt;1,7+2-WEEKDAY(DATE(CalYear,CalMonth,1),1)&gt;DAY(EOMONTH(DATE(CalYear,CalMonth,1),0))),"",7+2-WEEKDAY(DATE(CalYear,CalMonth,1),1)&amp;IF(IFERROR(INDEX('📅 Events'!$D$8:$D$47,MATCH(1,INDEX(('📅 Events'!$E$8:$E$47=DATE(CalYear,CalMonth,7+2-WEEKDAY(DATE(CalYear,CalMonth,1),1)))*('📅 Events'!$Q$8:$Q$47&lt;&gt;"❌ Cancelled"),0),1))&amp;" • "&amp;INDEX('📅 Events'!$F$8:$F$47,MATCH(1,INDEX(('📅 Events'!$E$8:$E$47=DATE(CalYear,CalMonth,7+2-WEEKDAY(DATE(CalYear,CalMonth,1),1)))*('📅 Events'!$Q$8:$Q$47&lt;&gt;"❌ Cancelled"),0),1)),"")="","",CHAR(10)&amp;IFERROR(INDEX('📅 Events'!$D$8:$D$47,MATCH(1,INDEX(('📅 Events'!$E$8:$E$47=DATE(CalYear,CalMonth,7+2-WEEKDAY(DATE(CalYear,CalMonth,1),1)))*('📅 Events'!$Q$8:$Q$47&lt;&gt;"❌ Cancelled"),0),1))&amp;" • "&amp;INDEX('📅 Events'!$F$8:$F$47,MATCH(1,INDEX(('📅 Events'!$E$8:$E$47=DATE(CalYear,CalMonth,7+2-WEEKDAY(DATE(CalYear,CalMonth,1),1)))*('📅 Events'!$Q$8:$Q$47&lt;&gt;"❌ Cancelled"),0),1)),"")))</f>
        <v/>
      </c>
      <c r="C13" s="125">
        <f>IF(OR(8+2-WEEKDAY(DATE(CalYear,CalMonth,1),1)&lt;1,8+2-WEEKDAY(DATE(CalYear,CalMonth,1),1)&gt;DAY(EOMONTH(DATE(CalYear,CalMonth,1),0))),"",8+2-WEEKDAY(DATE(CalYear,CalMonth,1),1)&amp;IF(IFERROR(INDEX('📅 Events'!$D$8:$D$47,MATCH(1,INDEX(('📅 Events'!$E$8:$E$47=DATE(CalYear,CalMonth,8+2-WEEKDAY(DATE(CalYear,CalMonth,1),1)))*('📅 Events'!$Q$8:$Q$47&lt;&gt;"❌ Cancelled"),0),1))&amp;" • "&amp;INDEX('📅 Events'!$F$8:$F$47,MATCH(1,INDEX(('📅 Events'!$E$8:$E$47=DATE(CalYear,CalMonth,8+2-WEEKDAY(DATE(CalYear,CalMonth,1),1)))*('📅 Events'!$Q$8:$Q$47&lt;&gt;"❌ Cancelled"),0),1)),"")="","",CHAR(10)&amp;IFERROR(INDEX('📅 Events'!$D$8:$D$47,MATCH(1,INDEX(('📅 Events'!$E$8:$E$47=DATE(CalYear,CalMonth,8+2-WEEKDAY(DATE(CalYear,CalMonth,1),1)))*('📅 Events'!$Q$8:$Q$47&lt;&gt;"❌ Cancelled"),0),1))&amp;" • "&amp;INDEX('📅 Events'!$F$8:$F$47,MATCH(1,INDEX(('📅 Events'!$E$8:$E$47=DATE(CalYear,CalMonth,8+2-WEEKDAY(DATE(CalYear,CalMonth,1),1)))*('📅 Events'!$Q$8:$Q$47&lt;&gt;"❌ Cancelled"),0),1)),"")))</f>
        <v/>
      </c>
      <c r="D13" s="125">
        <f>IF(OR(9+2-WEEKDAY(DATE(CalYear,CalMonth,1),1)&lt;1,9+2-WEEKDAY(DATE(CalYear,CalMonth,1),1)&gt;DAY(EOMONTH(DATE(CalYear,CalMonth,1),0))),"",9+2-WEEKDAY(DATE(CalYear,CalMonth,1),1)&amp;IF(IFERROR(INDEX('📅 Events'!$D$8:$D$47,MATCH(1,INDEX(('📅 Events'!$E$8:$E$47=DATE(CalYear,CalMonth,9+2-WEEKDAY(DATE(CalYear,CalMonth,1),1)))*('📅 Events'!$Q$8:$Q$47&lt;&gt;"❌ Cancelled"),0),1))&amp;" • "&amp;INDEX('📅 Events'!$F$8:$F$47,MATCH(1,INDEX(('📅 Events'!$E$8:$E$47=DATE(CalYear,CalMonth,9+2-WEEKDAY(DATE(CalYear,CalMonth,1),1)))*('📅 Events'!$Q$8:$Q$47&lt;&gt;"❌ Cancelled"),0),1)),"")="","",CHAR(10)&amp;IFERROR(INDEX('📅 Events'!$D$8:$D$47,MATCH(1,INDEX(('📅 Events'!$E$8:$E$47=DATE(CalYear,CalMonth,9+2-WEEKDAY(DATE(CalYear,CalMonth,1),1)))*('📅 Events'!$Q$8:$Q$47&lt;&gt;"❌ Cancelled"),0),1))&amp;" • "&amp;INDEX('📅 Events'!$F$8:$F$47,MATCH(1,INDEX(('📅 Events'!$E$8:$E$47=DATE(CalYear,CalMonth,9+2-WEEKDAY(DATE(CalYear,CalMonth,1),1)))*('📅 Events'!$Q$8:$Q$47&lt;&gt;"❌ Cancelled"),0),1)),"")))</f>
        <v/>
      </c>
      <c r="E13" s="125">
        <f>IF(OR(10+2-WEEKDAY(DATE(CalYear,CalMonth,1),1)&lt;1,10+2-WEEKDAY(DATE(CalYear,CalMonth,1),1)&gt;DAY(EOMONTH(DATE(CalYear,CalMonth,1),0))),"",10+2-WEEKDAY(DATE(CalYear,CalMonth,1),1)&amp;IF(IFERROR(INDEX('📅 Events'!$D$8:$D$47,MATCH(1,INDEX(('📅 Events'!$E$8:$E$47=DATE(CalYear,CalMonth,10+2-WEEKDAY(DATE(CalYear,CalMonth,1),1)))*('📅 Events'!$Q$8:$Q$47&lt;&gt;"❌ Cancelled"),0),1))&amp;" • "&amp;INDEX('📅 Events'!$F$8:$F$47,MATCH(1,INDEX(('📅 Events'!$E$8:$E$47=DATE(CalYear,CalMonth,10+2-WEEKDAY(DATE(CalYear,CalMonth,1),1)))*('📅 Events'!$Q$8:$Q$47&lt;&gt;"❌ Cancelled"),0),1)),"")="","",CHAR(10)&amp;IFERROR(INDEX('📅 Events'!$D$8:$D$47,MATCH(1,INDEX(('📅 Events'!$E$8:$E$47=DATE(CalYear,CalMonth,10+2-WEEKDAY(DATE(CalYear,CalMonth,1),1)))*('📅 Events'!$Q$8:$Q$47&lt;&gt;"❌ Cancelled"),0),1))&amp;" • "&amp;INDEX('📅 Events'!$F$8:$F$47,MATCH(1,INDEX(('📅 Events'!$E$8:$E$47=DATE(CalYear,CalMonth,10+2-WEEKDAY(DATE(CalYear,CalMonth,1),1)))*('📅 Events'!$Q$8:$Q$47&lt;&gt;"❌ Cancelled"),0),1)),"")))</f>
        <v/>
      </c>
      <c r="F13" s="125">
        <f>IF(OR(11+2-WEEKDAY(DATE(CalYear,CalMonth,1),1)&lt;1,11+2-WEEKDAY(DATE(CalYear,CalMonth,1),1)&gt;DAY(EOMONTH(DATE(CalYear,CalMonth,1),0))),"",11+2-WEEKDAY(DATE(CalYear,CalMonth,1),1)&amp;IF(IFERROR(INDEX('📅 Events'!$D$8:$D$47,MATCH(1,INDEX(('📅 Events'!$E$8:$E$47=DATE(CalYear,CalMonth,11+2-WEEKDAY(DATE(CalYear,CalMonth,1),1)))*('📅 Events'!$Q$8:$Q$47&lt;&gt;"❌ Cancelled"),0),1))&amp;" • "&amp;INDEX('📅 Events'!$F$8:$F$47,MATCH(1,INDEX(('📅 Events'!$E$8:$E$47=DATE(CalYear,CalMonth,11+2-WEEKDAY(DATE(CalYear,CalMonth,1),1)))*('📅 Events'!$Q$8:$Q$47&lt;&gt;"❌ Cancelled"),0),1)),"")="","",CHAR(10)&amp;IFERROR(INDEX('📅 Events'!$D$8:$D$47,MATCH(1,INDEX(('📅 Events'!$E$8:$E$47=DATE(CalYear,CalMonth,11+2-WEEKDAY(DATE(CalYear,CalMonth,1),1)))*('📅 Events'!$Q$8:$Q$47&lt;&gt;"❌ Cancelled"),0),1))&amp;" • "&amp;INDEX('📅 Events'!$F$8:$F$47,MATCH(1,INDEX(('📅 Events'!$E$8:$E$47=DATE(CalYear,CalMonth,11+2-WEEKDAY(DATE(CalYear,CalMonth,1),1)))*('📅 Events'!$Q$8:$Q$47&lt;&gt;"❌ Cancelled"),0),1)),"")))</f>
        <v/>
      </c>
      <c r="G13" s="125">
        <f>IF(OR(12+2-WEEKDAY(DATE(CalYear,CalMonth,1),1)&lt;1,12+2-WEEKDAY(DATE(CalYear,CalMonth,1),1)&gt;DAY(EOMONTH(DATE(CalYear,CalMonth,1),0))),"",12+2-WEEKDAY(DATE(CalYear,CalMonth,1),1)&amp;IF(IFERROR(INDEX('📅 Events'!$D$8:$D$47,MATCH(1,INDEX(('📅 Events'!$E$8:$E$47=DATE(CalYear,CalMonth,12+2-WEEKDAY(DATE(CalYear,CalMonth,1),1)))*('📅 Events'!$Q$8:$Q$47&lt;&gt;"❌ Cancelled"),0),1))&amp;" • "&amp;INDEX('📅 Events'!$F$8:$F$47,MATCH(1,INDEX(('📅 Events'!$E$8:$E$47=DATE(CalYear,CalMonth,12+2-WEEKDAY(DATE(CalYear,CalMonth,1),1)))*('📅 Events'!$Q$8:$Q$47&lt;&gt;"❌ Cancelled"),0),1)),"")="","",CHAR(10)&amp;IFERROR(INDEX('📅 Events'!$D$8:$D$47,MATCH(1,INDEX(('📅 Events'!$E$8:$E$47=DATE(CalYear,CalMonth,12+2-WEEKDAY(DATE(CalYear,CalMonth,1),1)))*('📅 Events'!$Q$8:$Q$47&lt;&gt;"❌ Cancelled"),0),1))&amp;" • "&amp;INDEX('📅 Events'!$F$8:$F$47,MATCH(1,INDEX(('📅 Events'!$E$8:$E$47=DATE(CalYear,CalMonth,12+2-WEEKDAY(DATE(CalYear,CalMonth,1),1)))*('📅 Events'!$Q$8:$Q$47&lt;&gt;"❌ Cancelled"),0),1)),"")))</f>
        <v/>
      </c>
      <c r="H13" s="125">
        <f>IF(OR(13+2-WEEKDAY(DATE(CalYear,CalMonth,1),1)&lt;1,13+2-WEEKDAY(DATE(CalYear,CalMonth,1),1)&gt;DAY(EOMONTH(DATE(CalYear,CalMonth,1),0))),"",13+2-WEEKDAY(DATE(CalYear,CalMonth,1),1)&amp;IF(IFERROR(INDEX('📅 Events'!$D$8:$D$47,MATCH(1,INDEX(('📅 Events'!$E$8:$E$47=DATE(CalYear,CalMonth,13+2-WEEKDAY(DATE(CalYear,CalMonth,1),1)))*('📅 Events'!$Q$8:$Q$47&lt;&gt;"❌ Cancelled"),0),1))&amp;" • "&amp;INDEX('📅 Events'!$F$8:$F$47,MATCH(1,INDEX(('📅 Events'!$E$8:$E$47=DATE(CalYear,CalMonth,13+2-WEEKDAY(DATE(CalYear,CalMonth,1),1)))*('📅 Events'!$Q$8:$Q$47&lt;&gt;"❌ Cancelled"),0),1)),"")="","",CHAR(10)&amp;IFERROR(INDEX('📅 Events'!$D$8:$D$47,MATCH(1,INDEX(('📅 Events'!$E$8:$E$47=DATE(CalYear,CalMonth,13+2-WEEKDAY(DATE(CalYear,CalMonth,1),1)))*('📅 Events'!$Q$8:$Q$47&lt;&gt;"❌ Cancelled"),0),1))&amp;" • "&amp;INDEX('📅 Events'!$F$8:$F$47,MATCH(1,INDEX(('📅 Events'!$E$8:$E$47=DATE(CalYear,CalMonth,13+2-WEEKDAY(DATE(CalYear,CalMonth,1),1)))*('📅 Events'!$Q$8:$Q$47&lt;&gt;"❌ Cancelled"),0),1)),"")))</f>
        <v/>
      </c>
    </row>
    <row r="14" spans="1:8" ht="62" customHeight="1">
      <c r="A14" s="7"/>
      <c r="B14" s="125">
        <f>IF(OR(14+2-WEEKDAY(DATE(CalYear,CalMonth,1),1)&lt;1,14+2-WEEKDAY(DATE(CalYear,CalMonth,1),1)&gt;DAY(EOMONTH(DATE(CalYear,CalMonth,1),0))),"",14+2-WEEKDAY(DATE(CalYear,CalMonth,1),1)&amp;IF(IFERROR(INDEX('📅 Events'!$D$8:$D$47,MATCH(1,INDEX(('📅 Events'!$E$8:$E$47=DATE(CalYear,CalMonth,14+2-WEEKDAY(DATE(CalYear,CalMonth,1),1)))*('📅 Events'!$Q$8:$Q$47&lt;&gt;"❌ Cancelled"),0),1))&amp;" • "&amp;INDEX('📅 Events'!$F$8:$F$47,MATCH(1,INDEX(('📅 Events'!$E$8:$E$47=DATE(CalYear,CalMonth,14+2-WEEKDAY(DATE(CalYear,CalMonth,1),1)))*('📅 Events'!$Q$8:$Q$47&lt;&gt;"❌ Cancelled"),0),1)),"")="","",CHAR(10)&amp;IFERROR(INDEX('📅 Events'!$D$8:$D$47,MATCH(1,INDEX(('📅 Events'!$E$8:$E$47=DATE(CalYear,CalMonth,14+2-WEEKDAY(DATE(CalYear,CalMonth,1),1)))*('📅 Events'!$Q$8:$Q$47&lt;&gt;"❌ Cancelled"),0),1))&amp;" • "&amp;INDEX('📅 Events'!$F$8:$F$47,MATCH(1,INDEX(('📅 Events'!$E$8:$E$47=DATE(CalYear,CalMonth,14+2-WEEKDAY(DATE(CalYear,CalMonth,1),1)))*('📅 Events'!$Q$8:$Q$47&lt;&gt;"❌ Cancelled"),0),1)),"")))</f>
        <v/>
      </c>
      <c r="C14" s="125">
        <f>IF(OR(15+2-WEEKDAY(DATE(CalYear,CalMonth,1),1)&lt;1,15+2-WEEKDAY(DATE(CalYear,CalMonth,1),1)&gt;DAY(EOMONTH(DATE(CalYear,CalMonth,1),0))),"",15+2-WEEKDAY(DATE(CalYear,CalMonth,1),1)&amp;IF(IFERROR(INDEX('📅 Events'!$D$8:$D$47,MATCH(1,INDEX(('📅 Events'!$E$8:$E$47=DATE(CalYear,CalMonth,15+2-WEEKDAY(DATE(CalYear,CalMonth,1),1)))*('📅 Events'!$Q$8:$Q$47&lt;&gt;"❌ Cancelled"),0),1))&amp;" • "&amp;INDEX('📅 Events'!$F$8:$F$47,MATCH(1,INDEX(('📅 Events'!$E$8:$E$47=DATE(CalYear,CalMonth,15+2-WEEKDAY(DATE(CalYear,CalMonth,1),1)))*('📅 Events'!$Q$8:$Q$47&lt;&gt;"❌ Cancelled"),0),1)),"")="","",CHAR(10)&amp;IFERROR(INDEX('📅 Events'!$D$8:$D$47,MATCH(1,INDEX(('📅 Events'!$E$8:$E$47=DATE(CalYear,CalMonth,15+2-WEEKDAY(DATE(CalYear,CalMonth,1),1)))*('📅 Events'!$Q$8:$Q$47&lt;&gt;"❌ Cancelled"),0),1))&amp;" • "&amp;INDEX('📅 Events'!$F$8:$F$47,MATCH(1,INDEX(('📅 Events'!$E$8:$E$47=DATE(CalYear,CalMonth,15+2-WEEKDAY(DATE(CalYear,CalMonth,1),1)))*('📅 Events'!$Q$8:$Q$47&lt;&gt;"❌ Cancelled"),0),1)),"")))</f>
        <v/>
      </c>
      <c r="D14" s="125">
        <f>IF(OR(16+2-WEEKDAY(DATE(CalYear,CalMonth,1),1)&lt;1,16+2-WEEKDAY(DATE(CalYear,CalMonth,1),1)&gt;DAY(EOMONTH(DATE(CalYear,CalMonth,1),0))),"",16+2-WEEKDAY(DATE(CalYear,CalMonth,1),1)&amp;IF(IFERROR(INDEX('📅 Events'!$D$8:$D$47,MATCH(1,INDEX(('📅 Events'!$E$8:$E$47=DATE(CalYear,CalMonth,16+2-WEEKDAY(DATE(CalYear,CalMonth,1),1)))*('📅 Events'!$Q$8:$Q$47&lt;&gt;"❌ Cancelled"),0),1))&amp;" • "&amp;INDEX('📅 Events'!$F$8:$F$47,MATCH(1,INDEX(('📅 Events'!$E$8:$E$47=DATE(CalYear,CalMonth,16+2-WEEKDAY(DATE(CalYear,CalMonth,1),1)))*('📅 Events'!$Q$8:$Q$47&lt;&gt;"❌ Cancelled"),0),1)),"")="","",CHAR(10)&amp;IFERROR(INDEX('📅 Events'!$D$8:$D$47,MATCH(1,INDEX(('📅 Events'!$E$8:$E$47=DATE(CalYear,CalMonth,16+2-WEEKDAY(DATE(CalYear,CalMonth,1),1)))*('📅 Events'!$Q$8:$Q$47&lt;&gt;"❌ Cancelled"),0),1))&amp;" • "&amp;INDEX('📅 Events'!$F$8:$F$47,MATCH(1,INDEX(('📅 Events'!$E$8:$E$47=DATE(CalYear,CalMonth,16+2-WEEKDAY(DATE(CalYear,CalMonth,1),1)))*('📅 Events'!$Q$8:$Q$47&lt;&gt;"❌ Cancelled"),0),1)),"")))</f>
        <v/>
      </c>
      <c r="E14" s="125">
        <f>IF(OR(17+2-WEEKDAY(DATE(CalYear,CalMonth,1),1)&lt;1,17+2-WEEKDAY(DATE(CalYear,CalMonth,1),1)&gt;DAY(EOMONTH(DATE(CalYear,CalMonth,1),0))),"",17+2-WEEKDAY(DATE(CalYear,CalMonth,1),1)&amp;IF(IFERROR(INDEX('📅 Events'!$D$8:$D$47,MATCH(1,INDEX(('📅 Events'!$E$8:$E$47=DATE(CalYear,CalMonth,17+2-WEEKDAY(DATE(CalYear,CalMonth,1),1)))*('📅 Events'!$Q$8:$Q$47&lt;&gt;"❌ Cancelled"),0),1))&amp;" • "&amp;INDEX('📅 Events'!$F$8:$F$47,MATCH(1,INDEX(('📅 Events'!$E$8:$E$47=DATE(CalYear,CalMonth,17+2-WEEKDAY(DATE(CalYear,CalMonth,1),1)))*('📅 Events'!$Q$8:$Q$47&lt;&gt;"❌ Cancelled"),0),1)),"")="","",CHAR(10)&amp;IFERROR(INDEX('📅 Events'!$D$8:$D$47,MATCH(1,INDEX(('📅 Events'!$E$8:$E$47=DATE(CalYear,CalMonth,17+2-WEEKDAY(DATE(CalYear,CalMonth,1),1)))*('📅 Events'!$Q$8:$Q$47&lt;&gt;"❌ Cancelled"),0),1))&amp;" • "&amp;INDEX('📅 Events'!$F$8:$F$47,MATCH(1,INDEX(('📅 Events'!$E$8:$E$47=DATE(CalYear,CalMonth,17+2-WEEKDAY(DATE(CalYear,CalMonth,1),1)))*('📅 Events'!$Q$8:$Q$47&lt;&gt;"❌ Cancelled"),0),1)),"")))</f>
        <v/>
      </c>
      <c r="F14" s="125">
        <f>IF(OR(18+2-WEEKDAY(DATE(CalYear,CalMonth,1),1)&lt;1,18+2-WEEKDAY(DATE(CalYear,CalMonth,1),1)&gt;DAY(EOMONTH(DATE(CalYear,CalMonth,1),0))),"",18+2-WEEKDAY(DATE(CalYear,CalMonth,1),1)&amp;IF(IFERROR(INDEX('📅 Events'!$D$8:$D$47,MATCH(1,INDEX(('📅 Events'!$E$8:$E$47=DATE(CalYear,CalMonth,18+2-WEEKDAY(DATE(CalYear,CalMonth,1),1)))*('📅 Events'!$Q$8:$Q$47&lt;&gt;"❌ Cancelled"),0),1))&amp;" • "&amp;INDEX('📅 Events'!$F$8:$F$47,MATCH(1,INDEX(('📅 Events'!$E$8:$E$47=DATE(CalYear,CalMonth,18+2-WEEKDAY(DATE(CalYear,CalMonth,1),1)))*('📅 Events'!$Q$8:$Q$47&lt;&gt;"❌ Cancelled"),0),1)),"")="","",CHAR(10)&amp;IFERROR(INDEX('📅 Events'!$D$8:$D$47,MATCH(1,INDEX(('📅 Events'!$E$8:$E$47=DATE(CalYear,CalMonth,18+2-WEEKDAY(DATE(CalYear,CalMonth,1),1)))*('📅 Events'!$Q$8:$Q$47&lt;&gt;"❌ Cancelled"),0),1))&amp;" • "&amp;INDEX('📅 Events'!$F$8:$F$47,MATCH(1,INDEX(('📅 Events'!$E$8:$E$47=DATE(CalYear,CalMonth,18+2-WEEKDAY(DATE(CalYear,CalMonth,1),1)))*('📅 Events'!$Q$8:$Q$47&lt;&gt;"❌ Cancelled"),0),1)),"")))</f>
        <v/>
      </c>
      <c r="G14" s="125">
        <f>IF(OR(19+2-WEEKDAY(DATE(CalYear,CalMonth,1),1)&lt;1,19+2-WEEKDAY(DATE(CalYear,CalMonth,1),1)&gt;DAY(EOMONTH(DATE(CalYear,CalMonth,1),0))),"",19+2-WEEKDAY(DATE(CalYear,CalMonth,1),1)&amp;IF(IFERROR(INDEX('📅 Events'!$D$8:$D$47,MATCH(1,INDEX(('📅 Events'!$E$8:$E$47=DATE(CalYear,CalMonth,19+2-WEEKDAY(DATE(CalYear,CalMonth,1),1)))*('📅 Events'!$Q$8:$Q$47&lt;&gt;"❌ Cancelled"),0),1))&amp;" • "&amp;INDEX('📅 Events'!$F$8:$F$47,MATCH(1,INDEX(('📅 Events'!$E$8:$E$47=DATE(CalYear,CalMonth,19+2-WEEKDAY(DATE(CalYear,CalMonth,1),1)))*('📅 Events'!$Q$8:$Q$47&lt;&gt;"❌ Cancelled"),0),1)),"")="","",CHAR(10)&amp;IFERROR(INDEX('📅 Events'!$D$8:$D$47,MATCH(1,INDEX(('📅 Events'!$E$8:$E$47=DATE(CalYear,CalMonth,19+2-WEEKDAY(DATE(CalYear,CalMonth,1),1)))*('📅 Events'!$Q$8:$Q$47&lt;&gt;"❌ Cancelled"),0),1))&amp;" • "&amp;INDEX('📅 Events'!$F$8:$F$47,MATCH(1,INDEX(('📅 Events'!$E$8:$E$47=DATE(CalYear,CalMonth,19+2-WEEKDAY(DATE(CalYear,CalMonth,1),1)))*('📅 Events'!$Q$8:$Q$47&lt;&gt;"❌ Cancelled"),0),1)),"")))</f>
        <v/>
      </c>
      <c r="H14" s="125">
        <f>IF(OR(20+2-WEEKDAY(DATE(CalYear,CalMonth,1),1)&lt;1,20+2-WEEKDAY(DATE(CalYear,CalMonth,1),1)&gt;DAY(EOMONTH(DATE(CalYear,CalMonth,1),0))),"",20+2-WEEKDAY(DATE(CalYear,CalMonth,1),1)&amp;IF(IFERROR(INDEX('📅 Events'!$D$8:$D$47,MATCH(1,INDEX(('📅 Events'!$E$8:$E$47=DATE(CalYear,CalMonth,20+2-WEEKDAY(DATE(CalYear,CalMonth,1),1)))*('📅 Events'!$Q$8:$Q$47&lt;&gt;"❌ Cancelled"),0),1))&amp;" • "&amp;INDEX('📅 Events'!$F$8:$F$47,MATCH(1,INDEX(('📅 Events'!$E$8:$E$47=DATE(CalYear,CalMonth,20+2-WEEKDAY(DATE(CalYear,CalMonth,1),1)))*('📅 Events'!$Q$8:$Q$47&lt;&gt;"❌ Cancelled"),0),1)),"")="","",CHAR(10)&amp;IFERROR(INDEX('📅 Events'!$D$8:$D$47,MATCH(1,INDEX(('📅 Events'!$E$8:$E$47=DATE(CalYear,CalMonth,20+2-WEEKDAY(DATE(CalYear,CalMonth,1),1)))*('📅 Events'!$Q$8:$Q$47&lt;&gt;"❌ Cancelled"),0),1))&amp;" • "&amp;INDEX('📅 Events'!$F$8:$F$47,MATCH(1,INDEX(('📅 Events'!$E$8:$E$47=DATE(CalYear,CalMonth,20+2-WEEKDAY(DATE(CalYear,CalMonth,1),1)))*('📅 Events'!$Q$8:$Q$47&lt;&gt;"❌ Cancelled"),0),1)),"")))</f>
        <v/>
      </c>
    </row>
    <row r="15" spans="1:8" ht="62" customHeight="1">
      <c r="A15" s="7"/>
      <c r="B15" s="125">
        <f>IF(OR(21+2-WEEKDAY(DATE(CalYear,CalMonth,1),1)&lt;1,21+2-WEEKDAY(DATE(CalYear,CalMonth,1),1)&gt;DAY(EOMONTH(DATE(CalYear,CalMonth,1),0))),"",21+2-WEEKDAY(DATE(CalYear,CalMonth,1),1)&amp;IF(IFERROR(INDEX('📅 Events'!$D$8:$D$47,MATCH(1,INDEX(('📅 Events'!$E$8:$E$47=DATE(CalYear,CalMonth,21+2-WEEKDAY(DATE(CalYear,CalMonth,1),1)))*('📅 Events'!$Q$8:$Q$47&lt;&gt;"❌ Cancelled"),0),1))&amp;" • "&amp;INDEX('📅 Events'!$F$8:$F$47,MATCH(1,INDEX(('📅 Events'!$E$8:$E$47=DATE(CalYear,CalMonth,21+2-WEEKDAY(DATE(CalYear,CalMonth,1),1)))*('📅 Events'!$Q$8:$Q$47&lt;&gt;"❌ Cancelled"),0),1)),"")="","",CHAR(10)&amp;IFERROR(INDEX('📅 Events'!$D$8:$D$47,MATCH(1,INDEX(('📅 Events'!$E$8:$E$47=DATE(CalYear,CalMonth,21+2-WEEKDAY(DATE(CalYear,CalMonth,1),1)))*('📅 Events'!$Q$8:$Q$47&lt;&gt;"❌ Cancelled"),0),1))&amp;" • "&amp;INDEX('📅 Events'!$F$8:$F$47,MATCH(1,INDEX(('📅 Events'!$E$8:$E$47=DATE(CalYear,CalMonth,21+2-WEEKDAY(DATE(CalYear,CalMonth,1),1)))*('📅 Events'!$Q$8:$Q$47&lt;&gt;"❌ Cancelled"),0),1)),"")))</f>
        <v/>
      </c>
      <c r="C15" s="125">
        <f>IF(OR(22+2-WEEKDAY(DATE(CalYear,CalMonth,1),1)&lt;1,22+2-WEEKDAY(DATE(CalYear,CalMonth,1),1)&gt;DAY(EOMONTH(DATE(CalYear,CalMonth,1),0))),"",22+2-WEEKDAY(DATE(CalYear,CalMonth,1),1)&amp;IF(IFERROR(INDEX('📅 Events'!$D$8:$D$47,MATCH(1,INDEX(('📅 Events'!$E$8:$E$47=DATE(CalYear,CalMonth,22+2-WEEKDAY(DATE(CalYear,CalMonth,1),1)))*('📅 Events'!$Q$8:$Q$47&lt;&gt;"❌ Cancelled"),0),1))&amp;" • "&amp;INDEX('📅 Events'!$F$8:$F$47,MATCH(1,INDEX(('📅 Events'!$E$8:$E$47=DATE(CalYear,CalMonth,22+2-WEEKDAY(DATE(CalYear,CalMonth,1),1)))*('📅 Events'!$Q$8:$Q$47&lt;&gt;"❌ Cancelled"),0),1)),"")="","",CHAR(10)&amp;IFERROR(INDEX('📅 Events'!$D$8:$D$47,MATCH(1,INDEX(('📅 Events'!$E$8:$E$47=DATE(CalYear,CalMonth,22+2-WEEKDAY(DATE(CalYear,CalMonth,1),1)))*('📅 Events'!$Q$8:$Q$47&lt;&gt;"❌ Cancelled"),0),1))&amp;" • "&amp;INDEX('📅 Events'!$F$8:$F$47,MATCH(1,INDEX(('📅 Events'!$E$8:$E$47=DATE(CalYear,CalMonth,22+2-WEEKDAY(DATE(CalYear,CalMonth,1),1)))*('📅 Events'!$Q$8:$Q$47&lt;&gt;"❌ Cancelled"),0),1)),"")))</f>
        <v/>
      </c>
      <c r="D15" s="125">
        <f>IF(OR(23+2-WEEKDAY(DATE(CalYear,CalMonth,1),1)&lt;1,23+2-WEEKDAY(DATE(CalYear,CalMonth,1),1)&gt;DAY(EOMONTH(DATE(CalYear,CalMonth,1),0))),"",23+2-WEEKDAY(DATE(CalYear,CalMonth,1),1)&amp;IF(IFERROR(INDEX('📅 Events'!$D$8:$D$47,MATCH(1,INDEX(('📅 Events'!$E$8:$E$47=DATE(CalYear,CalMonth,23+2-WEEKDAY(DATE(CalYear,CalMonth,1),1)))*('📅 Events'!$Q$8:$Q$47&lt;&gt;"❌ Cancelled"),0),1))&amp;" • "&amp;INDEX('📅 Events'!$F$8:$F$47,MATCH(1,INDEX(('📅 Events'!$E$8:$E$47=DATE(CalYear,CalMonth,23+2-WEEKDAY(DATE(CalYear,CalMonth,1),1)))*('📅 Events'!$Q$8:$Q$47&lt;&gt;"❌ Cancelled"),0),1)),"")="","",CHAR(10)&amp;IFERROR(INDEX('📅 Events'!$D$8:$D$47,MATCH(1,INDEX(('📅 Events'!$E$8:$E$47=DATE(CalYear,CalMonth,23+2-WEEKDAY(DATE(CalYear,CalMonth,1),1)))*('📅 Events'!$Q$8:$Q$47&lt;&gt;"❌ Cancelled"),0),1))&amp;" • "&amp;INDEX('📅 Events'!$F$8:$F$47,MATCH(1,INDEX(('📅 Events'!$E$8:$E$47=DATE(CalYear,CalMonth,23+2-WEEKDAY(DATE(CalYear,CalMonth,1),1)))*('📅 Events'!$Q$8:$Q$47&lt;&gt;"❌ Cancelled"),0),1)),"")))</f>
        <v/>
      </c>
      <c r="E15" s="125">
        <f>IF(OR(24+2-WEEKDAY(DATE(CalYear,CalMonth,1),1)&lt;1,24+2-WEEKDAY(DATE(CalYear,CalMonth,1),1)&gt;DAY(EOMONTH(DATE(CalYear,CalMonth,1),0))),"",24+2-WEEKDAY(DATE(CalYear,CalMonth,1),1)&amp;IF(IFERROR(INDEX('📅 Events'!$D$8:$D$47,MATCH(1,INDEX(('📅 Events'!$E$8:$E$47=DATE(CalYear,CalMonth,24+2-WEEKDAY(DATE(CalYear,CalMonth,1),1)))*('📅 Events'!$Q$8:$Q$47&lt;&gt;"❌ Cancelled"),0),1))&amp;" • "&amp;INDEX('📅 Events'!$F$8:$F$47,MATCH(1,INDEX(('📅 Events'!$E$8:$E$47=DATE(CalYear,CalMonth,24+2-WEEKDAY(DATE(CalYear,CalMonth,1),1)))*('📅 Events'!$Q$8:$Q$47&lt;&gt;"❌ Cancelled"),0),1)),"")="","",CHAR(10)&amp;IFERROR(INDEX('📅 Events'!$D$8:$D$47,MATCH(1,INDEX(('📅 Events'!$E$8:$E$47=DATE(CalYear,CalMonth,24+2-WEEKDAY(DATE(CalYear,CalMonth,1),1)))*('📅 Events'!$Q$8:$Q$47&lt;&gt;"❌ Cancelled"),0),1))&amp;" • "&amp;INDEX('📅 Events'!$F$8:$F$47,MATCH(1,INDEX(('📅 Events'!$E$8:$E$47=DATE(CalYear,CalMonth,24+2-WEEKDAY(DATE(CalYear,CalMonth,1),1)))*('📅 Events'!$Q$8:$Q$47&lt;&gt;"❌ Cancelled"),0),1)),"")))</f>
        <v/>
      </c>
      <c r="F15" s="125">
        <f>IF(OR(25+2-WEEKDAY(DATE(CalYear,CalMonth,1),1)&lt;1,25+2-WEEKDAY(DATE(CalYear,CalMonth,1),1)&gt;DAY(EOMONTH(DATE(CalYear,CalMonth,1),0))),"",25+2-WEEKDAY(DATE(CalYear,CalMonth,1),1)&amp;IF(IFERROR(INDEX('📅 Events'!$D$8:$D$47,MATCH(1,INDEX(('📅 Events'!$E$8:$E$47=DATE(CalYear,CalMonth,25+2-WEEKDAY(DATE(CalYear,CalMonth,1),1)))*('📅 Events'!$Q$8:$Q$47&lt;&gt;"❌ Cancelled"),0),1))&amp;" • "&amp;INDEX('📅 Events'!$F$8:$F$47,MATCH(1,INDEX(('📅 Events'!$E$8:$E$47=DATE(CalYear,CalMonth,25+2-WEEKDAY(DATE(CalYear,CalMonth,1),1)))*('📅 Events'!$Q$8:$Q$47&lt;&gt;"❌ Cancelled"),0),1)),"")="","",CHAR(10)&amp;IFERROR(INDEX('📅 Events'!$D$8:$D$47,MATCH(1,INDEX(('📅 Events'!$E$8:$E$47=DATE(CalYear,CalMonth,25+2-WEEKDAY(DATE(CalYear,CalMonth,1),1)))*('📅 Events'!$Q$8:$Q$47&lt;&gt;"❌ Cancelled"),0),1))&amp;" • "&amp;INDEX('📅 Events'!$F$8:$F$47,MATCH(1,INDEX(('📅 Events'!$E$8:$E$47=DATE(CalYear,CalMonth,25+2-WEEKDAY(DATE(CalYear,CalMonth,1),1)))*('📅 Events'!$Q$8:$Q$47&lt;&gt;"❌ Cancelled"),0),1)),"")))</f>
        <v/>
      </c>
      <c r="G15" s="125">
        <f>IF(OR(26+2-WEEKDAY(DATE(CalYear,CalMonth,1),1)&lt;1,26+2-WEEKDAY(DATE(CalYear,CalMonth,1),1)&gt;DAY(EOMONTH(DATE(CalYear,CalMonth,1),0))),"",26+2-WEEKDAY(DATE(CalYear,CalMonth,1),1)&amp;IF(IFERROR(INDEX('📅 Events'!$D$8:$D$47,MATCH(1,INDEX(('📅 Events'!$E$8:$E$47=DATE(CalYear,CalMonth,26+2-WEEKDAY(DATE(CalYear,CalMonth,1),1)))*('📅 Events'!$Q$8:$Q$47&lt;&gt;"❌ Cancelled"),0),1))&amp;" • "&amp;INDEX('📅 Events'!$F$8:$F$47,MATCH(1,INDEX(('📅 Events'!$E$8:$E$47=DATE(CalYear,CalMonth,26+2-WEEKDAY(DATE(CalYear,CalMonth,1),1)))*('📅 Events'!$Q$8:$Q$47&lt;&gt;"❌ Cancelled"),0),1)),"")="","",CHAR(10)&amp;IFERROR(INDEX('📅 Events'!$D$8:$D$47,MATCH(1,INDEX(('📅 Events'!$E$8:$E$47=DATE(CalYear,CalMonth,26+2-WEEKDAY(DATE(CalYear,CalMonth,1),1)))*('📅 Events'!$Q$8:$Q$47&lt;&gt;"❌ Cancelled"),0),1))&amp;" • "&amp;INDEX('📅 Events'!$F$8:$F$47,MATCH(1,INDEX(('📅 Events'!$E$8:$E$47=DATE(CalYear,CalMonth,26+2-WEEKDAY(DATE(CalYear,CalMonth,1),1)))*('📅 Events'!$Q$8:$Q$47&lt;&gt;"❌ Cancelled"),0),1)),"")))</f>
        <v/>
      </c>
      <c r="H15" s="125">
        <f>IF(OR(27+2-WEEKDAY(DATE(CalYear,CalMonth,1),1)&lt;1,27+2-WEEKDAY(DATE(CalYear,CalMonth,1),1)&gt;DAY(EOMONTH(DATE(CalYear,CalMonth,1),0))),"",27+2-WEEKDAY(DATE(CalYear,CalMonth,1),1)&amp;IF(IFERROR(INDEX('📅 Events'!$D$8:$D$47,MATCH(1,INDEX(('📅 Events'!$E$8:$E$47=DATE(CalYear,CalMonth,27+2-WEEKDAY(DATE(CalYear,CalMonth,1),1)))*('📅 Events'!$Q$8:$Q$47&lt;&gt;"❌ Cancelled"),0),1))&amp;" • "&amp;INDEX('📅 Events'!$F$8:$F$47,MATCH(1,INDEX(('📅 Events'!$E$8:$E$47=DATE(CalYear,CalMonth,27+2-WEEKDAY(DATE(CalYear,CalMonth,1),1)))*('📅 Events'!$Q$8:$Q$47&lt;&gt;"❌ Cancelled"),0),1)),"")="","",CHAR(10)&amp;IFERROR(INDEX('📅 Events'!$D$8:$D$47,MATCH(1,INDEX(('📅 Events'!$E$8:$E$47=DATE(CalYear,CalMonth,27+2-WEEKDAY(DATE(CalYear,CalMonth,1),1)))*('📅 Events'!$Q$8:$Q$47&lt;&gt;"❌ Cancelled"),0),1))&amp;" • "&amp;INDEX('📅 Events'!$F$8:$F$47,MATCH(1,INDEX(('📅 Events'!$E$8:$E$47=DATE(CalYear,CalMonth,27+2-WEEKDAY(DATE(CalYear,CalMonth,1),1)))*('📅 Events'!$Q$8:$Q$47&lt;&gt;"❌ Cancelled"),0),1)),"")))</f>
        <v/>
      </c>
    </row>
    <row r="16" spans="1:8" ht="62" customHeight="1">
      <c r="A16" s="7"/>
      <c r="B16" s="125">
        <f>IF(OR(28+2-WEEKDAY(DATE(CalYear,CalMonth,1),1)&lt;1,28+2-WEEKDAY(DATE(CalYear,CalMonth,1),1)&gt;DAY(EOMONTH(DATE(CalYear,CalMonth,1),0))),"",28+2-WEEKDAY(DATE(CalYear,CalMonth,1),1)&amp;IF(IFERROR(INDEX('📅 Events'!$D$8:$D$47,MATCH(1,INDEX(('📅 Events'!$E$8:$E$47=DATE(CalYear,CalMonth,28+2-WEEKDAY(DATE(CalYear,CalMonth,1),1)))*('📅 Events'!$Q$8:$Q$47&lt;&gt;"❌ Cancelled"),0),1))&amp;" • "&amp;INDEX('📅 Events'!$F$8:$F$47,MATCH(1,INDEX(('📅 Events'!$E$8:$E$47=DATE(CalYear,CalMonth,28+2-WEEKDAY(DATE(CalYear,CalMonth,1),1)))*('📅 Events'!$Q$8:$Q$47&lt;&gt;"❌ Cancelled"),0),1)),"")="","",CHAR(10)&amp;IFERROR(INDEX('📅 Events'!$D$8:$D$47,MATCH(1,INDEX(('📅 Events'!$E$8:$E$47=DATE(CalYear,CalMonth,28+2-WEEKDAY(DATE(CalYear,CalMonth,1),1)))*('📅 Events'!$Q$8:$Q$47&lt;&gt;"❌ Cancelled"),0),1))&amp;" • "&amp;INDEX('📅 Events'!$F$8:$F$47,MATCH(1,INDEX(('📅 Events'!$E$8:$E$47=DATE(CalYear,CalMonth,28+2-WEEKDAY(DATE(CalYear,CalMonth,1),1)))*('📅 Events'!$Q$8:$Q$47&lt;&gt;"❌ Cancelled"),0),1)),"")))</f>
        <v/>
      </c>
      <c r="C16" s="125">
        <f>IF(OR(29+2-WEEKDAY(DATE(CalYear,CalMonth,1),1)&lt;1,29+2-WEEKDAY(DATE(CalYear,CalMonth,1),1)&gt;DAY(EOMONTH(DATE(CalYear,CalMonth,1),0))),"",29+2-WEEKDAY(DATE(CalYear,CalMonth,1),1)&amp;IF(IFERROR(INDEX('📅 Events'!$D$8:$D$47,MATCH(1,INDEX(('📅 Events'!$E$8:$E$47=DATE(CalYear,CalMonth,29+2-WEEKDAY(DATE(CalYear,CalMonth,1),1)))*('📅 Events'!$Q$8:$Q$47&lt;&gt;"❌ Cancelled"),0),1))&amp;" • "&amp;INDEX('📅 Events'!$F$8:$F$47,MATCH(1,INDEX(('📅 Events'!$E$8:$E$47=DATE(CalYear,CalMonth,29+2-WEEKDAY(DATE(CalYear,CalMonth,1),1)))*('📅 Events'!$Q$8:$Q$47&lt;&gt;"❌ Cancelled"),0),1)),"")="","",CHAR(10)&amp;IFERROR(INDEX('📅 Events'!$D$8:$D$47,MATCH(1,INDEX(('📅 Events'!$E$8:$E$47=DATE(CalYear,CalMonth,29+2-WEEKDAY(DATE(CalYear,CalMonth,1),1)))*('📅 Events'!$Q$8:$Q$47&lt;&gt;"❌ Cancelled"),0),1))&amp;" • "&amp;INDEX('📅 Events'!$F$8:$F$47,MATCH(1,INDEX(('📅 Events'!$E$8:$E$47=DATE(CalYear,CalMonth,29+2-WEEKDAY(DATE(CalYear,CalMonth,1),1)))*('📅 Events'!$Q$8:$Q$47&lt;&gt;"❌ Cancelled"),0),1)),"")))</f>
        <v/>
      </c>
      <c r="D16" s="125">
        <f>IF(OR(30+2-WEEKDAY(DATE(CalYear,CalMonth,1),1)&lt;1,30+2-WEEKDAY(DATE(CalYear,CalMonth,1),1)&gt;DAY(EOMONTH(DATE(CalYear,CalMonth,1),0))),"",30+2-WEEKDAY(DATE(CalYear,CalMonth,1),1)&amp;IF(IFERROR(INDEX('📅 Events'!$D$8:$D$47,MATCH(1,INDEX(('📅 Events'!$E$8:$E$47=DATE(CalYear,CalMonth,30+2-WEEKDAY(DATE(CalYear,CalMonth,1),1)))*('📅 Events'!$Q$8:$Q$47&lt;&gt;"❌ Cancelled"),0),1))&amp;" • "&amp;INDEX('📅 Events'!$F$8:$F$47,MATCH(1,INDEX(('📅 Events'!$E$8:$E$47=DATE(CalYear,CalMonth,30+2-WEEKDAY(DATE(CalYear,CalMonth,1),1)))*('📅 Events'!$Q$8:$Q$47&lt;&gt;"❌ Cancelled"),0),1)),"")="","",CHAR(10)&amp;IFERROR(INDEX('📅 Events'!$D$8:$D$47,MATCH(1,INDEX(('📅 Events'!$E$8:$E$47=DATE(CalYear,CalMonth,30+2-WEEKDAY(DATE(CalYear,CalMonth,1),1)))*('📅 Events'!$Q$8:$Q$47&lt;&gt;"❌ Cancelled"),0),1))&amp;" • "&amp;INDEX('📅 Events'!$F$8:$F$47,MATCH(1,INDEX(('📅 Events'!$E$8:$E$47=DATE(CalYear,CalMonth,30+2-WEEKDAY(DATE(CalYear,CalMonth,1),1)))*('📅 Events'!$Q$8:$Q$47&lt;&gt;"❌ Cancelled"),0),1)),"")))</f>
        <v/>
      </c>
      <c r="E16" s="125">
        <f>IF(OR(31+2-WEEKDAY(DATE(CalYear,CalMonth,1),1)&lt;1,31+2-WEEKDAY(DATE(CalYear,CalMonth,1),1)&gt;DAY(EOMONTH(DATE(CalYear,CalMonth,1),0))),"",31+2-WEEKDAY(DATE(CalYear,CalMonth,1),1)&amp;IF(IFERROR(INDEX('📅 Events'!$D$8:$D$47,MATCH(1,INDEX(('📅 Events'!$E$8:$E$47=DATE(CalYear,CalMonth,31+2-WEEKDAY(DATE(CalYear,CalMonth,1),1)))*('📅 Events'!$Q$8:$Q$47&lt;&gt;"❌ Cancelled"),0),1))&amp;" • "&amp;INDEX('📅 Events'!$F$8:$F$47,MATCH(1,INDEX(('📅 Events'!$E$8:$E$47=DATE(CalYear,CalMonth,31+2-WEEKDAY(DATE(CalYear,CalMonth,1),1)))*('📅 Events'!$Q$8:$Q$47&lt;&gt;"❌ Cancelled"),0),1)),"")="","",CHAR(10)&amp;IFERROR(INDEX('📅 Events'!$D$8:$D$47,MATCH(1,INDEX(('📅 Events'!$E$8:$E$47=DATE(CalYear,CalMonth,31+2-WEEKDAY(DATE(CalYear,CalMonth,1),1)))*('📅 Events'!$Q$8:$Q$47&lt;&gt;"❌ Cancelled"),0),1))&amp;" • "&amp;INDEX('📅 Events'!$F$8:$F$47,MATCH(1,INDEX(('📅 Events'!$E$8:$E$47=DATE(CalYear,CalMonth,31+2-WEEKDAY(DATE(CalYear,CalMonth,1),1)))*('📅 Events'!$Q$8:$Q$47&lt;&gt;"❌ Cancelled"),0),1)),"")))</f>
        <v/>
      </c>
      <c r="F16" s="125">
        <f>IF(OR(32+2-WEEKDAY(DATE(CalYear,CalMonth,1),1)&lt;1,32+2-WEEKDAY(DATE(CalYear,CalMonth,1),1)&gt;DAY(EOMONTH(DATE(CalYear,CalMonth,1),0))),"",32+2-WEEKDAY(DATE(CalYear,CalMonth,1),1)&amp;IF(IFERROR(INDEX('📅 Events'!$D$8:$D$47,MATCH(1,INDEX(('📅 Events'!$E$8:$E$47=DATE(CalYear,CalMonth,32+2-WEEKDAY(DATE(CalYear,CalMonth,1),1)))*('📅 Events'!$Q$8:$Q$47&lt;&gt;"❌ Cancelled"),0),1))&amp;" • "&amp;INDEX('📅 Events'!$F$8:$F$47,MATCH(1,INDEX(('📅 Events'!$E$8:$E$47=DATE(CalYear,CalMonth,32+2-WEEKDAY(DATE(CalYear,CalMonth,1),1)))*('📅 Events'!$Q$8:$Q$47&lt;&gt;"❌ Cancelled"),0),1)),"")="","",CHAR(10)&amp;IFERROR(INDEX('📅 Events'!$D$8:$D$47,MATCH(1,INDEX(('📅 Events'!$E$8:$E$47=DATE(CalYear,CalMonth,32+2-WEEKDAY(DATE(CalYear,CalMonth,1),1)))*('📅 Events'!$Q$8:$Q$47&lt;&gt;"❌ Cancelled"),0),1))&amp;" • "&amp;INDEX('📅 Events'!$F$8:$F$47,MATCH(1,INDEX(('📅 Events'!$E$8:$E$47=DATE(CalYear,CalMonth,32+2-WEEKDAY(DATE(CalYear,CalMonth,1),1)))*('📅 Events'!$Q$8:$Q$47&lt;&gt;"❌ Cancelled"),0),1)),"")))</f>
        <v/>
      </c>
      <c r="G16" s="125">
        <f>IF(OR(33+2-WEEKDAY(DATE(CalYear,CalMonth,1),1)&lt;1,33+2-WEEKDAY(DATE(CalYear,CalMonth,1),1)&gt;DAY(EOMONTH(DATE(CalYear,CalMonth,1),0))),"",33+2-WEEKDAY(DATE(CalYear,CalMonth,1),1)&amp;IF(IFERROR(INDEX('📅 Events'!$D$8:$D$47,MATCH(1,INDEX(('📅 Events'!$E$8:$E$47=DATE(CalYear,CalMonth,33+2-WEEKDAY(DATE(CalYear,CalMonth,1),1)))*('📅 Events'!$Q$8:$Q$47&lt;&gt;"❌ Cancelled"),0),1))&amp;" • "&amp;INDEX('📅 Events'!$F$8:$F$47,MATCH(1,INDEX(('📅 Events'!$E$8:$E$47=DATE(CalYear,CalMonth,33+2-WEEKDAY(DATE(CalYear,CalMonth,1),1)))*('📅 Events'!$Q$8:$Q$47&lt;&gt;"❌ Cancelled"),0),1)),"")="","",CHAR(10)&amp;IFERROR(INDEX('📅 Events'!$D$8:$D$47,MATCH(1,INDEX(('📅 Events'!$E$8:$E$47=DATE(CalYear,CalMonth,33+2-WEEKDAY(DATE(CalYear,CalMonth,1),1)))*('📅 Events'!$Q$8:$Q$47&lt;&gt;"❌ Cancelled"),0),1))&amp;" • "&amp;INDEX('📅 Events'!$F$8:$F$47,MATCH(1,INDEX(('📅 Events'!$E$8:$E$47=DATE(CalYear,CalMonth,33+2-WEEKDAY(DATE(CalYear,CalMonth,1),1)))*('📅 Events'!$Q$8:$Q$47&lt;&gt;"❌ Cancelled"),0),1)),"")))</f>
        <v/>
      </c>
      <c r="H16" s="125">
        <f>IF(OR(34+2-WEEKDAY(DATE(CalYear,CalMonth,1),1)&lt;1,34+2-WEEKDAY(DATE(CalYear,CalMonth,1),1)&gt;DAY(EOMONTH(DATE(CalYear,CalMonth,1),0))),"",34+2-WEEKDAY(DATE(CalYear,CalMonth,1),1)&amp;IF(IFERROR(INDEX('📅 Events'!$D$8:$D$47,MATCH(1,INDEX(('📅 Events'!$E$8:$E$47=DATE(CalYear,CalMonth,34+2-WEEKDAY(DATE(CalYear,CalMonth,1),1)))*('📅 Events'!$Q$8:$Q$47&lt;&gt;"❌ Cancelled"),0),1))&amp;" • "&amp;INDEX('📅 Events'!$F$8:$F$47,MATCH(1,INDEX(('📅 Events'!$E$8:$E$47=DATE(CalYear,CalMonth,34+2-WEEKDAY(DATE(CalYear,CalMonth,1),1)))*('📅 Events'!$Q$8:$Q$47&lt;&gt;"❌ Cancelled"),0),1)),"")="","",CHAR(10)&amp;IFERROR(INDEX('📅 Events'!$D$8:$D$47,MATCH(1,INDEX(('📅 Events'!$E$8:$E$47=DATE(CalYear,CalMonth,34+2-WEEKDAY(DATE(CalYear,CalMonth,1),1)))*('📅 Events'!$Q$8:$Q$47&lt;&gt;"❌ Cancelled"),0),1))&amp;" • "&amp;INDEX('📅 Events'!$F$8:$F$47,MATCH(1,INDEX(('📅 Events'!$E$8:$E$47=DATE(CalYear,CalMonth,34+2-WEEKDAY(DATE(CalYear,CalMonth,1),1)))*('📅 Events'!$Q$8:$Q$47&lt;&gt;"❌ Cancelled"),0),1)),"")))</f>
        <v/>
      </c>
    </row>
    <row r="17" spans="1:8" ht="62" customHeight="1">
      <c r="A17" s="7"/>
      <c r="B17" s="125">
        <f>IF(OR(35+2-WEEKDAY(DATE(CalYear,CalMonth,1),1)&lt;1,35+2-WEEKDAY(DATE(CalYear,CalMonth,1),1)&gt;DAY(EOMONTH(DATE(CalYear,CalMonth,1),0))),"",35+2-WEEKDAY(DATE(CalYear,CalMonth,1),1)&amp;IF(IFERROR(INDEX('📅 Events'!$D$8:$D$47,MATCH(1,INDEX(('📅 Events'!$E$8:$E$47=DATE(CalYear,CalMonth,35+2-WEEKDAY(DATE(CalYear,CalMonth,1),1)))*('📅 Events'!$Q$8:$Q$47&lt;&gt;"❌ Cancelled"),0),1))&amp;" • "&amp;INDEX('📅 Events'!$F$8:$F$47,MATCH(1,INDEX(('📅 Events'!$E$8:$E$47=DATE(CalYear,CalMonth,35+2-WEEKDAY(DATE(CalYear,CalMonth,1),1)))*('📅 Events'!$Q$8:$Q$47&lt;&gt;"❌ Cancelled"),0),1)),"")="","",CHAR(10)&amp;IFERROR(INDEX('📅 Events'!$D$8:$D$47,MATCH(1,INDEX(('📅 Events'!$E$8:$E$47=DATE(CalYear,CalMonth,35+2-WEEKDAY(DATE(CalYear,CalMonth,1),1)))*('📅 Events'!$Q$8:$Q$47&lt;&gt;"❌ Cancelled"),0),1))&amp;" • "&amp;INDEX('📅 Events'!$F$8:$F$47,MATCH(1,INDEX(('📅 Events'!$E$8:$E$47=DATE(CalYear,CalMonth,35+2-WEEKDAY(DATE(CalYear,CalMonth,1),1)))*('📅 Events'!$Q$8:$Q$47&lt;&gt;"❌ Cancelled"),0),1)),"")))</f>
        <v/>
      </c>
      <c r="C17" s="125">
        <f>IF(OR(36+2-WEEKDAY(DATE(CalYear,CalMonth,1),1)&lt;1,36+2-WEEKDAY(DATE(CalYear,CalMonth,1),1)&gt;DAY(EOMONTH(DATE(CalYear,CalMonth,1),0))),"",36+2-WEEKDAY(DATE(CalYear,CalMonth,1),1)&amp;IF(IFERROR(INDEX('📅 Events'!$D$8:$D$47,MATCH(1,INDEX(('📅 Events'!$E$8:$E$47=DATE(CalYear,CalMonth,36+2-WEEKDAY(DATE(CalYear,CalMonth,1),1)))*('📅 Events'!$Q$8:$Q$47&lt;&gt;"❌ Cancelled"),0),1))&amp;" • "&amp;INDEX('📅 Events'!$F$8:$F$47,MATCH(1,INDEX(('📅 Events'!$E$8:$E$47=DATE(CalYear,CalMonth,36+2-WEEKDAY(DATE(CalYear,CalMonth,1),1)))*('📅 Events'!$Q$8:$Q$47&lt;&gt;"❌ Cancelled"),0),1)),"")="","",CHAR(10)&amp;IFERROR(INDEX('📅 Events'!$D$8:$D$47,MATCH(1,INDEX(('📅 Events'!$E$8:$E$47=DATE(CalYear,CalMonth,36+2-WEEKDAY(DATE(CalYear,CalMonth,1),1)))*('📅 Events'!$Q$8:$Q$47&lt;&gt;"❌ Cancelled"),0),1))&amp;" • "&amp;INDEX('📅 Events'!$F$8:$F$47,MATCH(1,INDEX(('📅 Events'!$E$8:$E$47=DATE(CalYear,CalMonth,36+2-WEEKDAY(DATE(CalYear,CalMonth,1),1)))*('📅 Events'!$Q$8:$Q$47&lt;&gt;"❌ Cancelled"),0),1)),"")))</f>
        <v/>
      </c>
      <c r="D17" s="125">
        <f>IF(OR(37+2-WEEKDAY(DATE(CalYear,CalMonth,1),1)&lt;1,37+2-WEEKDAY(DATE(CalYear,CalMonth,1),1)&gt;DAY(EOMONTH(DATE(CalYear,CalMonth,1),0))),"",37+2-WEEKDAY(DATE(CalYear,CalMonth,1),1)&amp;IF(IFERROR(INDEX('📅 Events'!$D$8:$D$47,MATCH(1,INDEX(('📅 Events'!$E$8:$E$47=DATE(CalYear,CalMonth,37+2-WEEKDAY(DATE(CalYear,CalMonth,1),1)))*('📅 Events'!$Q$8:$Q$47&lt;&gt;"❌ Cancelled"),0),1))&amp;" • "&amp;INDEX('📅 Events'!$F$8:$F$47,MATCH(1,INDEX(('📅 Events'!$E$8:$E$47=DATE(CalYear,CalMonth,37+2-WEEKDAY(DATE(CalYear,CalMonth,1),1)))*('📅 Events'!$Q$8:$Q$47&lt;&gt;"❌ Cancelled"),0),1)),"")="","",CHAR(10)&amp;IFERROR(INDEX('📅 Events'!$D$8:$D$47,MATCH(1,INDEX(('📅 Events'!$E$8:$E$47=DATE(CalYear,CalMonth,37+2-WEEKDAY(DATE(CalYear,CalMonth,1),1)))*('📅 Events'!$Q$8:$Q$47&lt;&gt;"❌ Cancelled"),0),1))&amp;" • "&amp;INDEX('📅 Events'!$F$8:$F$47,MATCH(1,INDEX(('📅 Events'!$E$8:$E$47=DATE(CalYear,CalMonth,37+2-WEEKDAY(DATE(CalYear,CalMonth,1),1)))*('📅 Events'!$Q$8:$Q$47&lt;&gt;"❌ Cancelled"),0),1)),"")))</f>
        <v/>
      </c>
      <c r="E17" s="125">
        <f>IF(OR(38+2-WEEKDAY(DATE(CalYear,CalMonth,1),1)&lt;1,38+2-WEEKDAY(DATE(CalYear,CalMonth,1),1)&gt;DAY(EOMONTH(DATE(CalYear,CalMonth,1),0))),"",38+2-WEEKDAY(DATE(CalYear,CalMonth,1),1)&amp;IF(IFERROR(INDEX('📅 Events'!$D$8:$D$47,MATCH(1,INDEX(('📅 Events'!$E$8:$E$47=DATE(CalYear,CalMonth,38+2-WEEKDAY(DATE(CalYear,CalMonth,1),1)))*('📅 Events'!$Q$8:$Q$47&lt;&gt;"❌ Cancelled"),0),1))&amp;" • "&amp;INDEX('📅 Events'!$F$8:$F$47,MATCH(1,INDEX(('📅 Events'!$E$8:$E$47=DATE(CalYear,CalMonth,38+2-WEEKDAY(DATE(CalYear,CalMonth,1),1)))*('📅 Events'!$Q$8:$Q$47&lt;&gt;"❌ Cancelled"),0),1)),"")="","",CHAR(10)&amp;IFERROR(INDEX('📅 Events'!$D$8:$D$47,MATCH(1,INDEX(('📅 Events'!$E$8:$E$47=DATE(CalYear,CalMonth,38+2-WEEKDAY(DATE(CalYear,CalMonth,1),1)))*('📅 Events'!$Q$8:$Q$47&lt;&gt;"❌ Cancelled"),0),1))&amp;" • "&amp;INDEX('📅 Events'!$F$8:$F$47,MATCH(1,INDEX(('📅 Events'!$E$8:$E$47=DATE(CalYear,CalMonth,38+2-WEEKDAY(DATE(CalYear,CalMonth,1),1)))*('📅 Events'!$Q$8:$Q$47&lt;&gt;"❌ Cancelled"),0),1)),"")))</f>
        <v/>
      </c>
      <c r="F17" s="125">
        <f>IF(OR(39+2-WEEKDAY(DATE(CalYear,CalMonth,1),1)&lt;1,39+2-WEEKDAY(DATE(CalYear,CalMonth,1),1)&gt;DAY(EOMONTH(DATE(CalYear,CalMonth,1),0))),"",39+2-WEEKDAY(DATE(CalYear,CalMonth,1),1)&amp;IF(IFERROR(INDEX('📅 Events'!$D$8:$D$47,MATCH(1,INDEX(('📅 Events'!$E$8:$E$47=DATE(CalYear,CalMonth,39+2-WEEKDAY(DATE(CalYear,CalMonth,1),1)))*('📅 Events'!$Q$8:$Q$47&lt;&gt;"❌ Cancelled"),0),1))&amp;" • "&amp;INDEX('📅 Events'!$F$8:$F$47,MATCH(1,INDEX(('📅 Events'!$E$8:$E$47=DATE(CalYear,CalMonth,39+2-WEEKDAY(DATE(CalYear,CalMonth,1),1)))*('📅 Events'!$Q$8:$Q$47&lt;&gt;"❌ Cancelled"),0),1)),"")="","",CHAR(10)&amp;IFERROR(INDEX('📅 Events'!$D$8:$D$47,MATCH(1,INDEX(('📅 Events'!$E$8:$E$47=DATE(CalYear,CalMonth,39+2-WEEKDAY(DATE(CalYear,CalMonth,1),1)))*('📅 Events'!$Q$8:$Q$47&lt;&gt;"❌ Cancelled"),0),1))&amp;" • "&amp;INDEX('📅 Events'!$F$8:$F$47,MATCH(1,INDEX(('📅 Events'!$E$8:$E$47=DATE(CalYear,CalMonth,39+2-WEEKDAY(DATE(CalYear,CalMonth,1),1)))*('📅 Events'!$Q$8:$Q$47&lt;&gt;"❌ Cancelled"),0),1)),"")))</f>
        <v/>
      </c>
      <c r="G17" s="125">
        <f>IF(OR(40+2-WEEKDAY(DATE(CalYear,CalMonth,1),1)&lt;1,40+2-WEEKDAY(DATE(CalYear,CalMonth,1),1)&gt;DAY(EOMONTH(DATE(CalYear,CalMonth,1),0))),"",40+2-WEEKDAY(DATE(CalYear,CalMonth,1),1)&amp;IF(IFERROR(INDEX('📅 Events'!$D$8:$D$47,MATCH(1,INDEX(('📅 Events'!$E$8:$E$47=DATE(CalYear,CalMonth,40+2-WEEKDAY(DATE(CalYear,CalMonth,1),1)))*('📅 Events'!$Q$8:$Q$47&lt;&gt;"❌ Cancelled"),0),1))&amp;" • "&amp;INDEX('📅 Events'!$F$8:$F$47,MATCH(1,INDEX(('📅 Events'!$E$8:$E$47=DATE(CalYear,CalMonth,40+2-WEEKDAY(DATE(CalYear,CalMonth,1),1)))*('📅 Events'!$Q$8:$Q$47&lt;&gt;"❌ Cancelled"),0),1)),"")="","",CHAR(10)&amp;IFERROR(INDEX('📅 Events'!$D$8:$D$47,MATCH(1,INDEX(('📅 Events'!$E$8:$E$47=DATE(CalYear,CalMonth,40+2-WEEKDAY(DATE(CalYear,CalMonth,1),1)))*('📅 Events'!$Q$8:$Q$47&lt;&gt;"❌ Cancelled"),0),1))&amp;" • "&amp;INDEX('📅 Events'!$F$8:$F$47,MATCH(1,INDEX(('📅 Events'!$E$8:$E$47=DATE(CalYear,CalMonth,40+2-WEEKDAY(DATE(CalYear,CalMonth,1),1)))*('📅 Events'!$Q$8:$Q$47&lt;&gt;"❌ Cancelled"),0),1)),"")))</f>
        <v/>
      </c>
      <c r="H17" s="125">
        <f>IF(OR(41+2-WEEKDAY(DATE(CalYear,CalMonth,1),1)&lt;1,41+2-WEEKDAY(DATE(CalYear,CalMonth,1),1)&gt;DAY(EOMONTH(DATE(CalYear,CalMonth,1),0))),"",41+2-WEEKDAY(DATE(CalYear,CalMonth,1),1)&amp;IF(IFERROR(INDEX('📅 Events'!$D$8:$D$47,MATCH(1,INDEX(('📅 Events'!$E$8:$E$47=DATE(CalYear,CalMonth,41+2-WEEKDAY(DATE(CalYear,CalMonth,1),1)))*('📅 Events'!$Q$8:$Q$47&lt;&gt;"❌ Cancelled"),0),1))&amp;" • "&amp;INDEX('📅 Events'!$F$8:$F$47,MATCH(1,INDEX(('📅 Events'!$E$8:$E$47=DATE(CalYear,CalMonth,41+2-WEEKDAY(DATE(CalYear,CalMonth,1),1)))*('📅 Events'!$Q$8:$Q$47&lt;&gt;"❌ Cancelled"),0),1)),"")="","",CHAR(10)&amp;IFERROR(INDEX('📅 Events'!$D$8:$D$47,MATCH(1,INDEX(('📅 Events'!$E$8:$E$47=DATE(CalYear,CalMonth,41+2-WEEKDAY(DATE(CalYear,CalMonth,1),1)))*('📅 Events'!$Q$8:$Q$47&lt;&gt;"❌ Cancelled"),0),1))&amp;" • "&amp;INDEX('📅 Events'!$F$8:$F$47,MATCH(1,INDEX(('📅 Events'!$E$8:$E$47=DATE(CalYear,CalMonth,41+2-WEEKDAY(DATE(CalYear,CalMonth,1),1)))*('📅 Events'!$Q$8:$Q$47&lt;&gt;"❌ Cancelled"),0),1)),"")))</f>
        <v/>
      </c>
    </row>
    <row r="18" spans="1:8">
      <c r="A18" s="7"/>
      <c r="B18" s="7"/>
      <c r="C18" s="7"/>
      <c r="D18" s="7"/>
      <c r="E18" s="7"/>
      <c r="F18" s="7"/>
      <c r="G18" s="7"/>
      <c r="H18" s="7"/>
    </row>
    <row r="19" spans="1:8" ht="22" customHeight="1">
      <c r="A19" s="7"/>
      <c r="B19" s="66" t="s">
        <v>367</v>
      </c>
      <c r="C19" s="66"/>
      <c r="D19" s="66"/>
      <c r="E19" s="66"/>
      <c r="F19" s="66"/>
      <c r="G19" s="66"/>
      <c r="H19" s="66"/>
    </row>
    <row r="20" spans="1:8" ht="20" customHeight="1">
      <c r="A20" s="7"/>
      <c r="B20" s="126" t="s">
        <v>368</v>
      </c>
      <c r="C20" s="127" t="s">
        <v>369</v>
      </c>
      <c r="D20" s="127"/>
      <c r="E20" s="127"/>
      <c r="F20" s="127"/>
      <c r="G20" s="127"/>
      <c r="H20" s="127"/>
    </row>
    <row r="21" spans="1:8" ht="20" customHeight="1">
      <c r="A21" s="7"/>
      <c r="B21" s="128" t="s">
        <v>370</v>
      </c>
      <c r="C21" s="127" t="s">
        <v>371</v>
      </c>
      <c r="D21" s="127"/>
      <c r="E21" s="127"/>
      <c r="F21" s="127"/>
      <c r="G21" s="127"/>
      <c r="H21" s="127"/>
    </row>
    <row r="22" spans="1:8" ht="20" customHeight="1">
      <c r="A22" s="7"/>
      <c r="B22" s="129" t="s">
        <v>372</v>
      </c>
      <c r="C22" s="127" t="s">
        <v>373</v>
      </c>
      <c r="D22" s="127"/>
      <c r="E22" s="127"/>
      <c r="F22" s="127"/>
      <c r="G22" s="127"/>
      <c r="H22" s="127"/>
    </row>
    <row r="23" spans="1:8">
      <c r="A23" s="7"/>
      <c r="B23" s="7"/>
      <c r="C23" s="7"/>
      <c r="D23" s="7"/>
      <c r="E23" s="7"/>
      <c r="F23" s="7"/>
      <c r="G23" s="7"/>
      <c r="H23" s="7"/>
    </row>
    <row r="24" spans="1:8" ht="20" customHeight="1">
      <c r="A24" s="7"/>
      <c r="B24" s="21" t="s">
        <v>374</v>
      </c>
      <c r="C24" s="21"/>
      <c r="D24" s="21"/>
      <c r="E24" s="21"/>
      <c r="F24" s="21"/>
      <c r="G24" s="21"/>
      <c r="H24" s="21"/>
    </row>
    <row r="25" spans="1:8" ht="20" customHeight="1">
      <c r="A25" s="7"/>
      <c r="B25" s="21"/>
      <c r="C25" s="21"/>
      <c r="D25" s="21"/>
      <c r="E25" s="21"/>
      <c r="F25" s="21"/>
      <c r="G25" s="21"/>
      <c r="H25" s="21"/>
    </row>
    <row r="26" spans="1:8">
      <c r="A26" s="7"/>
      <c r="B26" s="7"/>
      <c r="C26" s="7"/>
      <c r="D26" s="7"/>
      <c r="E26" s="7"/>
      <c r="F26" s="7"/>
      <c r="G26" s="7"/>
      <c r="H26" s="7"/>
    </row>
    <row r="27" spans="1:8" ht="24" customHeight="1">
      <c r="A27" s="7"/>
      <c r="B27" s="26" t="s">
        <v>199</v>
      </c>
      <c r="C27" s="26"/>
      <c r="D27" s="27" t="s">
        <v>165</v>
      </c>
      <c r="E27" s="27"/>
      <c r="F27" s="28" t="s">
        <v>166</v>
      </c>
      <c r="G27" s="28"/>
      <c r="H27" s="7"/>
    </row>
    <row r="28" spans="1:8" ht="24" customHeight="1">
      <c r="A28" s="7"/>
      <c r="B28" s="29" t="s">
        <v>4</v>
      </c>
      <c r="C28" s="29"/>
      <c r="D28" s="30" t="s">
        <v>167</v>
      </c>
      <c r="E28" s="30"/>
      <c r="F28" s="31" t="s">
        <v>168</v>
      </c>
      <c r="G28" s="31"/>
      <c r="H28" s="7"/>
    </row>
    <row r="29" spans="1:8" ht="24" customHeight="1">
      <c r="A29" s="7"/>
      <c r="B29" s="32" t="s">
        <v>169</v>
      </c>
      <c r="C29" s="32"/>
      <c r="D29" s="33" t="s">
        <v>170</v>
      </c>
      <c r="E29" s="33"/>
      <c r="F29" s="27" t="s">
        <v>2</v>
      </c>
      <c r="G29" s="27"/>
      <c r="H29" s="7"/>
    </row>
    <row r="30" spans="1:8" ht="24" customHeight="1">
      <c r="A30" s="7"/>
      <c r="B30" s="29" t="s">
        <v>171</v>
      </c>
      <c r="C30" s="29"/>
      <c r="D30" s="26" t="s">
        <v>172</v>
      </c>
      <c r="E30" s="26"/>
      <c r="F30" s="27" t="s">
        <v>173</v>
      </c>
      <c r="G30" s="27"/>
      <c r="H30" s="7"/>
    </row>
    <row r="31" spans="1:8" ht="24" customHeight="1">
      <c r="A31" s="7"/>
      <c r="B31" s="28" t="s">
        <v>174</v>
      </c>
      <c r="C31" s="28"/>
      <c r="D31" s="29" t="s">
        <v>375</v>
      </c>
      <c r="E31" s="29"/>
      <c r="F31" s="30" t="s">
        <v>176</v>
      </c>
      <c r="G31" s="30"/>
      <c r="H31" s="7"/>
    </row>
    <row r="32" spans="1:8" ht="24" customHeight="1">
      <c r="B32" s="31" t="s">
        <v>177</v>
      </c>
      <c r="C32" s="31"/>
      <c r="D32" s="32" t="s">
        <v>178</v>
      </c>
      <c r="E32" s="32"/>
      <c r="F32" s="33" t="s">
        <v>56</v>
      </c>
      <c r="G32" s="33"/>
    </row>
    <row r="33" spans="2:3" ht="24" customHeight="1">
      <c r="B33" s="27" t="s">
        <v>179</v>
      </c>
      <c r="C33" s="27"/>
    </row>
  </sheetData>
  <mergeCells count="30">
    <mergeCell ref="B2:E2"/>
    <mergeCell ref="B3:E3"/>
    <mergeCell ref="F3:H3"/>
    <mergeCell ref="B5:C5"/>
    <mergeCell ref="D5:E5"/>
    <mergeCell ref="F5:G5"/>
    <mergeCell ref="B19:H19"/>
    <mergeCell ref="C20:H20"/>
    <mergeCell ref="C21:H21"/>
    <mergeCell ref="C22:H22"/>
    <mergeCell ref="B24:H25"/>
    <mergeCell ref="B27:C27"/>
    <mergeCell ref="D27:E27"/>
    <mergeCell ref="F27:G27"/>
    <mergeCell ref="B28:C28"/>
    <mergeCell ref="D28:E28"/>
    <mergeCell ref="F28:G28"/>
    <mergeCell ref="B29:C29"/>
    <mergeCell ref="D29:E29"/>
    <mergeCell ref="F29:G29"/>
    <mergeCell ref="B30:C30"/>
    <mergeCell ref="D30:E30"/>
    <mergeCell ref="F30:G30"/>
    <mergeCell ref="B31:C31"/>
    <mergeCell ref="D31:E31"/>
    <mergeCell ref="F31:G31"/>
    <mergeCell ref="B32:C32"/>
    <mergeCell ref="D32:E32"/>
    <mergeCell ref="F32:G32"/>
    <mergeCell ref="B33:C33"/>
  </mergeCells>
  <conditionalFormatting sqref="B12:H17">
    <cfRule type="expression" dxfId="14" priority="1">
      <formula>ISNUMBER(SEARCH("•",B12))</formula>
    </cfRule>
  </conditionalFormatting>
  <hyperlinks>
    <hyperlink ref="F3" location="'📊 Dashboard'!A1" display="🏠  Back to Dashboard"/>
    <hyperlink ref="B27" location="'⚙️ Setup'!A1" display="Setup"/>
    <hyperlink ref="D27" location="'📊 Dashboard'!A1" display="🏠 Home"/>
    <hyperlink ref="F27" location="'👥 Clients'!A1" display="Clients"/>
    <hyperlink ref="B28" location="'📅 Events'!A1" display="Events"/>
    <hyperlink ref="D28" location="'🧮 Quote Calculator'!A1" display="Quote"/>
    <hyperlink ref="F28" location="'🍽️ Menu Costing'!A1" display="Menu"/>
    <hyperlink ref="B29" location="'📦 Inventory'!A1" display="Stock"/>
    <hyperlink ref="D29" location="'🛒 Shopping List'!A1" display="Shop"/>
    <hyperlink ref="F29" location="'💸 Expenses'!A1" display="Expenses"/>
    <hyperlink ref="B30" location="'💰 Payments'!A1" display="Payments"/>
    <hyperlink ref="D30" location="'👷 Staff &amp; Labor'!A1" display="Staff"/>
    <hyperlink ref="F30" location="'🍳 Equipment'!A1" display="Equip"/>
    <hyperlink ref="B31" location="'🚚 Suppliers'!A1" display="Suppliers"/>
    <hyperlink ref="D31" location="'📆 Event Calendar'!A1" display="▶ Calendar"/>
    <hyperlink ref="F31" location="'📈 P&amp;L &amp; Reports'!A1" display="P&amp;L"/>
    <hyperlink ref="B32" location="'🧾 Tax Tracker'!A1" display="Tax"/>
    <hyperlink ref="D32" location="'✅ Checklists'!A1" display="Checks"/>
    <hyperlink ref="F32" location="'🖨️ Invoice &amp; Proposal'!A1" display="Invoice"/>
    <hyperlink ref="B33" location="'📖 Start Here'!A1" display="Help"/>
  </hyperlinks>
  <pageMargins left="0.4" right="0.4" top="0.5" bottom="0.5" header="0.3" footer="0.3"/>
  <pageSetup paperSize="9" fitToHeight="0" orientation="landscape"/>
  <headerFooter>
    <oddHeader>&amp;L&amp;"Calibri,Bold"&amp;11Catering Business Manager&amp;R&amp;"Calibri,Italic"&amp;9Page &amp;P of &amp;N</oddHeader>
    <oddFooter>&amp;C&amp;"Calibri,Italic"&amp;8&amp;A  •  Ultimate Catering Business Spreadsheet v1.0  •  personal licence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4B3626"/>
    <pageSetUpPr fitToPage="1"/>
  </sheetPr>
  <dimension ref="A1:N75"/>
  <sheetViews>
    <sheetView showGridLines="0" zoomScale="85" zoomScaleNormal="85" workbookViewId="0">
      <pane topLeftCell="A1" activePane="bottomLeft" state="frozen"/>
      <selection pane="bottomLeft"/>
    </sheetView>
  </sheetViews>
  <sheetFormatPr defaultRowHeight="15"/>
  <cols>
    <col min="1" max="1" width="2.85546875" customWidth="1"/>
    <col min="2" max="2" width="13.7109375" customWidth="1"/>
    <col min="3" max="3" width="13.7109375" customWidth="1"/>
    <col min="4" max="4" width="13.7109375" customWidth="1"/>
    <col min="5" max="5" width="13.7109375" customWidth="1"/>
    <col min="6" max="6" width="11.7109375" customWidth="1"/>
    <col min="7" max="7" width="3.7109375" customWidth="1"/>
    <col min="8" max="8" width="20.7109375" customWidth="1"/>
    <col min="9" max="9" width="13.7109375" customWidth="1"/>
    <col min="10" max="10" width="3.7109375" customWidth="1"/>
    <col min="11" max="11" width="22.7109375" customWidth="1"/>
    <col min="12" max="12" width="12.7109375" customWidth="1"/>
    <col min="13" max="13" width="3.7109375" customWidth="1"/>
    <col min="14" max="14" width="4.7109375" customWidth="1"/>
  </cols>
  <sheetData>
    <row r="1" spans="1:14" ht="7" customHeight="1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</row>
    <row r="2" spans="1:14" ht="30" customHeight="1">
      <c r="A2" s="7"/>
      <c r="B2" s="8" t="s">
        <v>376</v>
      </c>
      <c r="C2" s="8"/>
      <c r="D2" s="8"/>
      <c r="E2" s="8"/>
      <c r="F2" s="8"/>
      <c r="G2" s="8"/>
      <c r="H2" s="8"/>
      <c r="I2" s="8"/>
      <c r="J2" s="8"/>
      <c r="K2" s="8"/>
      <c r="L2" s="7"/>
      <c r="M2" s="7"/>
      <c r="N2" s="7"/>
    </row>
    <row r="3" spans="1:14" ht="18" customHeight="1">
      <c r="A3" s="7"/>
      <c r="B3" s="9" t="s">
        <v>377</v>
      </c>
      <c r="C3" s="9"/>
      <c r="D3" s="9"/>
      <c r="E3" s="9"/>
      <c r="F3" s="9"/>
      <c r="G3" s="9"/>
      <c r="H3" s="9"/>
      <c r="I3" s="9"/>
      <c r="J3" s="9"/>
      <c r="K3" s="9"/>
      <c r="L3" s="10" t="s">
        <v>97</v>
      </c>
      <c r="M3" s="10"/>
      <c r="N3" s="10"/>
    </row>
    <row r="4" spans="1:14" ht="7" customHeight="1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spans="1:14" ht="26" customHeight="1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</row>
    <row r="6" spans="1:14" ht="7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</row>
    <row r="7" spans="1:14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</row>
    <row r="8" spans="1:14" ht="22" customHeight="1">
      <c r="A8" s="7"/>
      <c r="B8" s="66" t="str">
        <f>"  📊  ANNUAL P&amp;L  ·  "&amp;ReportYear</f>
        <v>  📊  ANNUAL P&amp;L  ·  2026</v>
      </c>
      <c r="C8" s="66"/>
      <c r="D8" s="66"/>
      <c r="E8" s="66"/>
      <c r="F8" s="66"/>
      <c r="G8" s="7"/>
      <c r="H8" s="7"/>
      <c r="I8" s="7"/>
      <c r="J8" s="7"/>
      <c r="K8" s="7"/>
      <c r="L8" s="7"/>
      <c r="M8" s="7"/>
      <c r="N8" s="7"/>
    </row>
    <row r="9" spans="1:14" ht="22" customHeight="1">
      <c r="A9" s="7"/>
      <c r="B9" s="130" t="s">
        <v>378</v>
      </c>
      <c r="C9" s="130"/>
      <c r="D9" s="103">
        <f>SUM('_Data'!$I$2:$I$13)</f>
        <v>0</v>
      </c>
      <c r="E9" s="103"/>
      <c r="F9" s="103"/>
      <c r="G9" s="7"/>
      <c r="H9" s="7"/>
      <c r="I9" s="7"/>
      <c r="J9" s="7"/>
      <c r="K9" s="7"/>
      <c r="L9" s="7"/>
      <c r="M9" s="7"/>
      <c r="N9" s="7"/>
    </row>
    <row r="10" spans="1:14" ht="22" customHeight="1">
      <c r="A10" s="7"/>
      <c r="B10" s="130" t="s">
        <v>379</v>
      </c>
      <c r="C10" s="130"/>
      <c r="D10" s="103">
        <f>'_Data'!$AF$17</f>
        <v>0</v>
      </c>
      <c r="E10" s="103"/>
      <c r="F10" s="103"/>
      <c r="G10" s="7"/>
      <c r="H10" s="7"/>
      <c r="I10" s="7"/>
      <c r="J10" s="7"/>
      <c r="K10" s="7"/>
      <c r="L10" s="7"/>
      <c r="M10" s="7"/>
      <c r="N10" s="7"/>
    </row>
    <row r="11" spans="1:14" ht="28" customHeight="1">
      <c r="A11" s="7"/>
      <c r="B11" s="104" t="s">
        <v>380</v>
      </c>
      <c r="C11" s="104"/>
      <c r="D11" s="131">
        <f>IF($D$9="","",$D$9-$D$10)</f>
        <v>0</v>
      </c>
      <c r="E11" s="131"/>
      <c r="F11" s="131"/>
      <c r="G11" s="7"/>
      <c r="H11" s="7"/>
      <c r="I11" s="7"/>
      <c r="J11" s="7"/>
      <c r="K11" s="7"/>
      <c r="L11" s="7"/>
      <c r="M11" s="7"/>
      <c r="N11" s="7"/>
    </row>
    <row r="12" spans="1:14" ht="22" customHeight="1">
      <c r="A12" s="7"/>
      <c r="B12" s="130" t="s">
        <v>381</v>
      </c>
      <c r="C12" s="130"/>
      <c r="D12" s="103">
        <f>'_Data'!$AF$3-'_Data'!$AF$17</f>
        <v>0</v>
      </c>
      <c r="E12" s="103"/>
      <c r="F12" s="103"/>
      <c r="G12" s="7"/>
      <c r="H12" s="7"/>
      <c r="I12" s="7"/>
      <c r="J12" s="7"/>
      <c r="K12" s="7"/>
      <c r="L12" s="7"/>
      <c r="M12" s="7"/>
      <c r="N12" s="7"/>
    </row>
    <row r="13" spans="1:14" ht="28" customHeight="1">
      <c r="A13" s="7"/>
      <c r="B13" s="104" t="s">
        <v>183</v>
      </c>
      <c r="C13" s="104"/>
      <c r="D13" s="131">
        <f>IF($D$12="","",$D$10-$D$12)</f>
        <v>0</v>
      </c>
      <c r="E13" s="131"/>
      <c r="F13" s="131"/>
      <c r="G13" s="7"/>
      <c r="H13" s="7"/>
      <c r="I13" s="7"/>
      <c r="J13" s="7"/>
      <c r="K13" s="7"/>
      <c r="L13" s="7"/>
      <c r="M13" s="7"/>
      <c r="N13" s="7"/>
    </row>
    <row r="14" spans="1:14" ht="22" customHeight="1">
      <c r="A14" s="7"/>
      <c r="B14" s="130" t="s">
        <v>382</v>
      </c>
      <c r="C14" s="130"/>
      <c r="D14" s="106">
        <f>IFERROR($D$11/$D$9,0)</f>
        <v>0</v>
      </c>
      <c r="E14" s="106"/>
      <c r="F14" s="106"/>
      <c r="G14" s="7"/>
      <c r="H14" s="7"/>
      <c r="I14" s="7"/>
      <c r="J14" s="7"/>
      <c r="K14" s="7"/>
      <c r="L14" s="7"/>
      <c r="M14" s="7"/>
      <c r="N14" s="7"/>
    </row>
    <row r="15" spans="1:14" ht="22" customHeight="1">
      <c r="A15" s="7"/>
      <c r="B15" s="130" t="s">
        <v>383</v>
      </c>
      <c r="C15" s="130"/>
      <c r="D15" s="106">
        <f>IFERROR($D$13/$D$9,0)</f>
        <v>0</v>
      </c>
      <c r="E15" s="106"/>
      <c r="F15" s="106"/>
      <c r="G15" s="7"/>
      <c r="H15" s="7"/>
      <c r="I15" s="7"/>
      <c r="J15" s="7"/>
      <c r="K15" s="7"/>
      <c r="L15" s="7"/>
      <c r="M15" s="7"/>
      <c r="N15" s="7"/>
    </row>
    <row r="16" spans="1:14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</row>
    <row r="17" spans="1:14" ht="22" customHeight="1">
      <c r="A17" s="7"/>
      <c r="B17" s="66" t="s">
        <v>384</v>
      </c>
      <c r="C17" s="66"/>
      <c r="D17" s="66"/>
      <c r="E17" s="66"/>
      <c r="F17" s="66"/>
      <c r="G17" s="7"/>
      <c r="H17" s="66" t="s">
        <v>386</v>
      </c>
      <c r="I17" s="66"/>
      <c r="J17" s="7"/>
      <c r="K17" s="66" t="s">
        <v>388</v>
      </c>
      <c r="L17" s="66"/>
      <c r="M17" s="7"/>
      <c r="N17" s="7"/>
    </row>
    <row r="18" spans="1:14" ht="26" customHeight="1">
      <c r="A18" s="7"/>
      <c r="B18" s="18" t="s">
        <v>0</v>
      </c>
      <c r="C18" s="18" t="s">
        <v>1</v>
      </c>
      <c r="D18" s="18" t="s">
        <v>2</v>
      </c>
      <c r="E18" s="18" t="s">
        <v>3</v>
      </c>
      <c r="F18" s="18" t="s">
        <v>4</v>
      </c>
      <c r="G18" s="7"/>
      <c r="H18" s="18" t="s">
        <v>30</v>
      </c>
      <c r="I18" s="18" t="s">
        <v>31</v>
      </c>
      <c r="J18" s="7"/>
      <c r="K18" s="18" t="s">
        <v>50</v>
      </c>
      <c r="L18" s="18" t="s">
        <v>389</v>
      </c>
      <c r="M18" s="7"/>
      <c r="N18" s="7"/>
    </row>
    <row r="19" spans="1:14" ht="18" customHeight="1">
      <c r="A19" s="7"/>
      <c r="B19" s="87">
        <f>'_Data'!$H$2</f>
        <v/>
      </c>
      <c r="C19" s="84">
        <f>'_Data'!$I$2</f>
        <v>0</v>
      </c>
      <c r="D19" s="84">
        <f>'_Data'!$J$2</f>
        <v>0</v>
      </c>
      <c r="E19" s="84">
        <f>'_Data'!$K$2</f>
        <v>0</v>
      </c>
      <c r="F19" s="122">
        <f>'_Data'!$L$2</f>
        <v>0</v>
      </c>
      <c r="G19" s="7"/>
      <c r="H19" s="87" t="str">
        <f>'_Data'!$N$16</f>
        <v>Wedding</v>
      </c>
      <c r="I19" s="84">
        <f>'_Data'!$O$16</f>
        <v>0</v>
      </c>
      <c r="J19" s="7"/>
      <c r="K19" s="86">
        <f>'_Data'!$T$26</f>
        <v/>
      </c>
      <c r="L19" s="122">
        <f>'_Data'!$U$26</f>
        <v>0</v>
      </c>
      <c r="M19" s="7"/>
      <c r="N19" s="7"/>
    </row>
    <row r="20" spans="1:14" ht="18" customHeight="1">
      <c r="A20" s="7"/>
      <c r="B20" s="80">
        <f>'_Data'!$H$3</f>
        <v/>
      </c>
      <c r="C20" s="84">
        <f>'_Data'!$I$3</f>
        <v>0</v>
      </c>
      <c r="D20" s="84">
        <f>'_Data'!$J$3</f>
        <v>0</v>
      </c>
      <c r="E20" s="84">
        <f>'_Data'!$K$3</f>
        <v>0</v>
      </c>
      <c r="F20" s="122">
        <f>'_Data'!$L$3</f>
        <v>0</v>
      </c>
      <c r="G20" s="7"/>
      <c r="H20" s="80" t="str">
        <f>'_Data'!$N$17</f>
        <v>Corporate</v>
      </c>
      <c r="I20" s="84">
        <f>'_Data'!$O$17</f>
        <v>0</v>
      </c>
      <c r="J20" s="7"/>
      <c r="K20" s="79">
        <f>'_Data'!$T$27</f>
        <v/>
      </c>
      <c r="L20" s="122">
        <f>'_Data'!$U$27</f>
        <v>0</v>
      </c>
      <c r="M20" s="7"/>
      <c r="N20" s="7"/>
    </row>
    <row r="21" spans="1:14" ht="18" customHeight="1">
      <c r="A21" s="7"/>
      <c r="B21" s="87">
        <f>'_Data'!$H$4</f>
        <v/>
      </c>
      <c r="C21" s="84">
        <f>'_Data'!$I$4</f>
        <v>0</v>
      </c>
      <c r="D21" s="84">
        <f>'_Data'!$J$4</f>
        <v>0</v>
      </c>
      <c r="E21" s="84">
        <f>'_Data'!$K$4</f>
        <v>0</v>
      </c>
      <c r="F21" s="122">
        <f>'_Data'!$L$4</f>
        <v>0</v>
      </c>
      <c r="G21" s="7"/>
      <c r="H21" s="87" t="str">
        <f>'_Data'!$N$18</f>
        <v>Birthday</v>
      </c>
      <c r="I21" s="84">
        <f>'_Data'!$O$18</f>
        <v>0</v>
      </c>
      <c r="J21" s="7"/>
      <c r="K21" s="86">
        <f>'_Data'!$T$28</f>
        <v/>
      </c>
      <c r="L21" s="122">
        <f>'_Data'!$U$28</f>
        <v>0</v>
      </c>
      <c r="M21" s="7"/>
      <c r="N21" s="7"/>
    </row>
    <row r="22" spans="1:14" ht="18" customHeight="1">
      <c r="A22" s="7"/>
      <c r="B22" s="80">
        <f>'_Data'!$H$5</f>
        <v/>
      </c>
      <c r="C22" s="84">
        <f>'_Data'!$I$5</f>
        <v>0</v>
      </c>
      <c r="D22" s="84">
        <f>'_Data'!$J$5</f>
        <v>0</v>
      </c>
      <c r="E22" s="84">
        <f>'_Data'!$K$5</f>
        <v>0</v>
      </c>
      <c r="F22" s="122">
        <f>'_Data'!$L$5</f>
        <v>0</v>
      </c>
      <c r="G22" s="7"/>
      <c r="H22" s="80" t="str">
        <f>'_Data'!$N$19</f>
        <v>Private Party</v>
      </c>
      <c r="I22" s="84">
        <f>'_Data'!$O$19</f>
        <v>0</v>
      </c>
      <c r="J22" s="7"/>
      <c r="K22" s="79">
        <f>'_Data'!$T$29</f>
        <v/>
      </c>
      <c r="L22" s="122">
        <f>'_Data'!$U$29</f>
        <v>0</v>
      </c>
      <c r="M22" s="7"/>
      <c r="N22" s="7"/>
    </row>
    <row r="23" spans="1:14" ht="18" customHeight="1">
      <c r="A23" s="7"/>
      <c r="B23" s="87">
        <f>'_Data'!$H$6</f>
        <v/>
      </c>
      <c r="C23" s="84">
        <f>'_Data'!$I$6</f>
        <v>0</v>
      </c>
      <c r="D23" s="84">
        <f>'_Data'!$J$6</f>
        <v>0</v>
      </c>
      <c r="E23" s="84">
        <f>'_Data'!$K$6</f>
        <v>0</v>
      </c>
      <c r="F23" s="122">
        <f>'_Data'!$L$6</f>
        <v>0</v>
      </c>
      <c r="G23" s="7"/>
      <c r="H23" s="87" t="str">
        <f>'_Data'!$N$20</f>
        <v>Buffet</v>
      </c>
      <c r="I23" s="84">
        <f>'_Data'!$O$20</f>
        <v>0</v>
      </c>
      <c r="J23" s="7"/>
      <c r="K23" s="86">
        <f>'_Data'!$T$30</f>
        <v/>
      </c>
      <c r="L23" s="122">
        <f>'_Data'!$U$30</f>
        <v>0</v>
      </c>
      <c r="M23" s="7"/>
      <c r="N23" s="7"/>
    </row>
    <row r="24" spans="1:14" ht="18" customHeight="1">
      <c r="A24" s="7"/>
      <c r="B24" s="80">
        <f>'_Data'!$H$7</f>
        <v/>
      </c>
      <c r="C24" s="84">
        <f>'_Data'!$I$7</f>
        <v>0</v>
      </c>
      <c r="D24" s="84">
        <f>'_Data'!$J$7</f>
        <v>0</v>
      </c>
      <c r="E24" s="84">
        <f>'_Data'!$K$7</f>
        <v>0</v>
      </c>
      <c r="F24" s="122">
        <f>'_Data'!$L$7</f>
        <v>0</v>
      </c>
      <c r="G24" s="7"/>
      <c r="H24" s="80" t="str">
        <f>'_Data'!$N$21</f>
        <v>Cocktail</v>
      </c>
      <c r="I24" s="84">
        <f>'_Data'!$O$21</f>
        <v>0</v>
      </c>
      <c r="J24" s="7"/>
      <c r="K24" s="79">
        <f>'_Data'!$T$31</f>
        <v/>
      </c>
      <c r="L24" s="122">
        <f>'_Data'!$U$31</f>
        <v>0</v>
      </c>
      <c r="M24" s="7"/>
      <c r="N24" s="7"/>
    </row>
    <row r="25" spans="1:14" ht="18" customHeight="1">
      <c r="A25" s="7"/>
      <c r="B25" s="87">
        <f>'_Data'!$H$8</f>
        <v/>
      </c>
      <c r="C25" s="84">
        <f>'_Data'!$I$8</f>
        <v>0</v>
      </c>
      <c r="D25" s="84">
        <f>'_Data'!$J$8</f>
        <v>0</v>
      </c>
      <c r="E25" s="84">
        <f>'_Data'!$K$8</f>
        <v>0</v>
      </c>
      <c r="F25" s="122">
        <f>'_Data'!$L$8</f>
        <v>0</v>
      </c>
      <c r="G25" s="7"/>
      <c r="H25" s="87" t="str">
        <f>'_Data'!$N$22</f>
        <v>Conference</v>
      </c>
      <c r="I25" s="84">
        <f>'_Data'!$O$22</f>
        <v>0</v>
      </c>
      <c r="J25" s="7"/>
      <c r="K25" s="86">
        <f>'_Data'!$T$32</f>
        <v/>
      </c>
      <c r="L25" s="122">
        <f>'_Data'!$U$32</f>
        <v>0</v>
      </c>
      <c r="M25" s="7"/>
      <c r="N25" s="7"/>
    </row>
    <row r="26" spans="1:14" ht="18" customHeight="1">
      <c r="A26" s="7"/>
      <c r="B26" s="80">
        <f>'_Data'!$H$9</f>
        <v/>
      </c>
      <c r="C26" s="84">
        <f>'_Data'!$I$9</f>
        <v>0</v>
      </c>
      <c r="D26" s="84">
        <f>'_Data'!$J$9</f>
        <v>0</v>
      </c>
      <c r="E26" s="84">
        <f>'_Data'!$K$9</f>
        <v>0</v>
      </c>
      <c r="F26" s="122">
        <f>'_Data'!$L$9</f>
        <v>0</v>
      </c>
      <c r="G26" s="7"/>
      <c r="H26" s="80" t="str">
        <f>'_Data'!$N$23</f>
        <v>Festival</v>
      </c>
      <c r="I26" s="84">
        <f>'_Data'!$O$23</f>
        <v>0</v>
      </c>
      <c r="J26" s="7"/>
      <c r="K26" s="79">
        <f>'_Data'!$T$33</f>
        <v/>
      </c>
      <c r="L26" s="122">
        <f>'_Data'!$U$33</f>
        <v>0</v>
      </c>
      <c r="M26" s="7"/>
      <c r="N26" s="7"/>
    </row>
    <row r="27" spans="1:14" ht="18" customHeight="1">
      <c r="A27" s="7"/>
      <c r="B27" s="87">
        <f>'_Data'!$H$10</f>
        <v/>
      </c>
      <c r="C27" s="84">
        <f>'_Data'!$I$10</f>
        <v>0</v>
      </c>
      <c r="D27" s="84">
        <f>'_Data'!$J$10</f>
        <v>0</v>
      </c>
      <c r="E27" s="84">
        <f>'_Data'!$K$10</f>
        <v>0</v>
      </c>
      <c r="F27" s="122">
        <f>'_Data'!$L$10</f>
        <v>0</v>
      </c>
      <c r="G27" s="7"/>
      <c r="H27" s="87" t="str">
        <f>'_Data'!$N$24</f>
        <v>Other</v>
      </c>
      <c r="I27" s="84">
        <f>'_Data'!$O$24</f>
        <v>0</v>
      </c>
      <c r="J27" s="7"/>
      <c r="K27" s="86">
        <f>'_Data'!$T$34</f>
        <v/>
      </c>
      <c r="L27" s="122">
        <f>'_Data'!$U$34</f>
        <v>0</v>
      </c>
      <c r="M27" s="7"/>
      <c r="N27" s="7"/>
    </row>
    <row r="28" spans="1:14" ht="18" customHeight="1">
      <c r="A28" s="7"/>
      <c r="B28" s="80">
        <f>'_Data'!$H$11</f>
        <v/>
      </c>
      <c r="C28" s="84">
        <f>'_Data'!$I$11</f>
        <v>0</v>
      </c>
      <c r="D28" s="84">
        <f>'_Data'!$J$11</f>
        <v>0</v>
      </c>
      <c r="E28" s="84">
        <f>'_Data'!$K$11</f>
        <v>0</v>
      </c>
      <c r="F28" s="122">
        <f>'_Data'!$L$11</f>
        <v>0</v>
      </c>
      <c r="G28" s="7"/>
      <c r="H28" s="7"/>
      <c r="I28" s="7"/>
      <c r="J28" s="7"/>
      <c r="K28" s="79">
        <f>'_Data'!$T$35</f>
        <v/>
      </c>
      <c r="L28" s="122">
        <f>'_Data'!$U$35</f>
        <v>0</v>
      </c>
      <c r="M28" s="7"/>
      <c r="N28" s="7"/>
    </row>
    <row r="29" spans="1:14" ht="18" customHeight="1">
      <c r="A29" s="7"/>
      <c r="B29" s="87">
        <f>'_Data'!$H$12</f>
        <v/>
      </c>
      <c r="C29" s="84">
        <f>'_Data'!$I$12</f>
        <v>0</v>
      </c>
      <c r="D29" s="84">
        <f>'_Data'!$J$12</f>
        <v>0</v>
      </c>
      <c r="E29" s="84">
        <f>'_Data'!$K$12</f>
        <v>0</v>
      </c>
      <c r="F29" s="122">
        <f>'_Data'!$L$12</f>
        <v>0</v>
      </c>
      <c r="G29" s="7"/>
      <c r="H29" s="66" t="s">
        <v>387</v>
      </c>
      <c r="I29" s="66"/>
      <c r="J29" s="7"/>
      <c r="K29" s="86">
        <f>'_Data'!$T$36</f>
        <v/>
      </c>
      <c r="L29" s="122">
        <f>'_Data'!$U$36</f>
        <v>0</v>
      </c>
      <c r="M29" s="7"/>
      <c r="N29" s="7"/>
    </row>
    <row r="30" spans="1:14" ht="18" customHeight="1">
      <c r="A30" s="7"/>
      <c r="B30" s="80">
        <f>'_Data'!$H$13</f>
        <v/>
      </c>
      <c r="C30" s="84">
        <f>'_Data'!$I$13</f>
        <v>0</v>
      </c>
      <c r="D30" s="84">
        <f>'_Data'!$J$13</f>
        <v>0</v>
      </c>
      <c r="E30" s="84">
        <f>'_Data'!$K$13</f>
        <v>0</v>
      </c>
      <c r="F30" s="122">
        <f>'_Data'!$L$13</f>
        <v>0</v>
      </c>
      <c r="G30" s="7"/>
      <c r="H30" s="18" t="s">
        <v>48</v>
      </c>
      <c r="I30" s="18" t="s">
        <v>319</v>
      </c>
      <c r="J30" s="7"/>
      <c r="K30" s="79">
        <f>'_Data'!$T$37</f>
        <v/>
      </c>
      <c r="L30" s="122">
        <f>'_Data'!$U$37</f>
        <v>0</v>
      </c>
      <c r="M30" s="7"/>
      <c r="N30" s="7"/>
    </row>
    <row r="31" spans="1:14" ht="18" customHeight="1">
      <c r="A31" s="7"/>
      <c r="B31" s="23" t="s">
        <v>385</v>
      </c>
      <c r="C31" s="132">
        <f>SUM($B$19:$B$30)</f>
        <v>0</v>
      </c>
      <c r="D31" s="132">
        <f>SUM($C$19:$C$30)</f>
        <v>0</v>
      </c>
      <c r="E31" s="132">
        <f>SUM($D$19:$D$30)</f>
        <v>0</v>
      </c>
      <c r="F31" s="133">
        <f>SUM($E$19:$E$30)</f>
        <v>0</v>
      </c>
      <c r="G31" s="7"/>
      <c r="H31" s="86">
        <f>'_Data'!$Q$26</f>
        <v/>
      </c>
      <c r="I31" s="84">
        <f>'_Data'!$R$26</f>
        <v>0</v>
      </c>
      <c r="J31" s="7"/>
      <c r="K31" s="86">
        <f>'_Data'!$T$38</f>
        <v/>
      </c>
      <c r="L31" s="122">
        <f>'_Data'!$U$38</f>
        <v>0</v>
      </c>
      <c r="M31" s="7"/>
      <c r="N31" s="7"/>
    </row>
    <row r="32" spans="1:14" ht="18" customHeight="1">
      <c r="A32" s="7"/>
      <c r="B32" s="7"/>
      <c r="C32" s="7"/>
      <c r="D32" s="7"/>
      <c r="E32" s="7"/>
      <c r="F32" s="7"/>
      <c r="G32" s="7"/>
      <c r="H32" s="79">
        <f>'_Data'!$Q$27</f>
        <v/>
      </c>
      <c r="I32" s="84">
        <f>'_Data'!$R$27</f>
        <v>0</v>
      </c>
      <c r="J32" s="7"/>
      <c r="K32" s="79">
        <f>'_Data'!$T$39</f>
        <v/>
      </c>
      <c r="L32" s="122">
        <f>'_Data'!$U$39</f>
        <v>0</v>
      </c>
      <c r="M32" s="7"/>
      <c r="N32" s="7"/>
    </row>
    <row r="33" spans="1:14" ht="18" customHeight="1">
      <c r="A33" s="7"/>
      <c r="B33" s="7"/>
      <c r="C33" s="7"/>
      <c r="D33" s="7"/>
      <c r="E33" s="7"/>
      <c r="F33" s="7"/>
      <c r="G33" s="7"/>
      <c r="H33" s="86">
        <f>'_Data'!$Q$28</f>
        <v/>
      </c>
      <c r="I33" s="84">
        <f>'_Data'!$R$28</f>
        <v>0</v>
      </c>
      <c r="J33" s="7"/>
      <c r="K33" s="7"/>
      <c r="L33" s="7"/>
      <c r="M33" s="7"/>
      <c r="N33" s="7"/>
    </row>
    <row r="34" spans="1:14" ht="18" customHeight="1">
      <c r="A34" s="7"/>
      <c r="B34" s="7"/>
      <c r="C34" s="7"/>
      <c r="D34" s="7"/>
      <c r="E34" s="7"/>
      <c r="F34" s="7"/>
      <c r="G34" s="7"/>
      <c r="H34" s="79">
        <f>'_Data'!$Q$29</f>
        <v/>
      </c>
      <c r="I34" s="84">
        <f>'_Data'!$R$29</f>
        <v>0</v>
      </c>
      <c r="J34" s="7"/>
      <c r="K34" s="7"/>
      <c r="L34" s="7"/>
      <c r="M34" s="7"/>
      <c r="N34" s="7"/>
    </row>
    <row r="35" spans="1:14" ht="18" customHeight="1">
      <c r="A35" s="7"/>
      <c r="B35" s="7"/>
      <c r="C35" s="7"/>
      <c r="D35" s="7"/>
      <c r="E35" s="7"/>
      <c r="F35" s="7"/>
      <c r="G35" s="7"/>
      <c r="H35" s="86">
        <f>'_Data'!$Q$30</f>
        <v/>
      </c>
      <c r="I35" s="84">
        <f>'_Data'!$R$30</f>
        <v>0</v>
      </c>
      <c r="J35" s="7"/>
      <c r="K35" s="7"/>
      <c r="L35" s="7"/>
      <c r="M35" s="7"/>
      <c r="N35" s="7"/>
    </row>
    <row r="36" spans="1:14" ht="18" customHeight="1">
      <c r="A36" s="7"/>
      <c r="B36" s="7"/>
      <c r="C36" s="7"/>
      <c r="D36" s="7"/>
      <c r="E36" s="7"/>
      <c r="F36" s="7"/>
      <c r="G36" s="7"/>
      <c r="H36" s="79">
        <f>'_Data'!$Q$31</f>
        <v/>
      </c>
      <c r="I36" s="84">
        <f>'_Data'!$R$31</f>
        <v>0</v>
      </c>
      <c r="J36" s="7"/>
      <c r="K36" s="7"/>
      <c r="L36" s="7"/>
      <c r="M36" s="7"/>
      <c r="N36" s="7"/>
    </row>
    <row r="37" spans="1:14" ht="18" customHeight="1">
      <c r="A37" s="7"/>
      <c r="B37" s="7"/>
      <c r="C37" s="7"/>
      <c r="D37" s="7"/>
      <c r="E37" s="7"/>
      <c r="F37" s="7"/>
      <c r="G37" s="7"/>
      <c r="H37" s="86">
        <f>'_Data'!$Q$32</f>
        <v/>
      </c>
      <c r="I37" s="84">
        <f>'_Data'!$R$32</f>
        <v>0</v>
      </c>
      <c r="J37" s="7"/>
      <c r="K37" s="7"/>
      <c r="L37" s="7"/>
      <c r="M37" s="7"/>
      <c r="N37" s="7"/>
    </row>
    <row r="38" spans="1:14" ht="18" customHeight="1">
      <c r="A38" s="7"/>
      <c r="B38" s="7"/>
      <c r="C38" s="7"/>
      <c r="D38" s="7"/>
      <c r="E38" s="7"/>
      <c r="F38" s="7"/>
      <c r="G38" s="7"/>
      <c r="H38" s="79">
        <f>'_Data'!$Q$33</f>
        <v/>
      </c>
      <c r="I38" s="84">
        <f>'_Data'!$R$33</f>
        <v>0</v>
      </c>
      <c r="J38" s="7"/>
      <c r="K38" s="7"/>
      <c r="L38" s="7"/>
      <c r="M38" s="7"/>
      <c r="N38" s="7"/>
    </row>
    <row r="39" spans="1:14" ht="18" customHeight="1">
      <c r="A39" s="7"/>
      <c r="B39" s="7"/>
      <c r="C39" s="7"/>
      <c r="D39" s="7"/>
      <c r="E39" s="7"/>
      <c r="F39" s="7"/>
      <c r="G39" s="7"/>
      <c r="H39" s="86">
        <f>'_Data'!$Q$34</f>
        <v/>
      </c>
      <c r="I39" s="84">
        <f>'_Data'!$R$34</f>
        <v>0</v>
      </c>
      <c r="J39" s="7"/>
      <c r="K39" s="7"/>
      <c r="L39" s="7"/>
      <c r="M39" s="7"/>
      <c r="N39" s="7"/>
    </row>
    <row r="40" spans="1:14" ht="18" customHeight="1">
      <c r="A40" s="7"/>
      <c r="B40" s="7"/>
      <c r="C40" s="7"/>
      <c r="D40" s="7"/>
      <c r="E40" s="7"/>
      <c r="F40" s="7"/>
      <c r="G40" s="7"/>
      <c r="H40" s="79">
        <f>'_Data'!$Q$35</f>
        <v/>
      </c>
      <c r="I40" s="84">
        <f>'_Data'!$R$35</f>
        <v>0</v>
      </c>
      <c r="J40" s="7"/>
      <c r="K40" s="7"/>
      <c r="L40" s="7"/>
      <c r="M40" s="7"/>
      <c r="N40" s="7"/>
    </row>
    <row r="41" spans="1:14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</row>
    <row r="42" spans="1:14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</row>
    <row r="43" spans="1:14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</row>
    <row r="44" spans="1:1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</row>
    <row r="45" spans="1:14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</row>
    <row r="46" spans="1:14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</row>
    <row r="47" spans="1:14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</row>
    <row r="48" spans="1:14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</row>
    <row r="49" spans="1:14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</row>
    <row r="50" spans="1:14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</row>
    <row r="51" spans="1:14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</row>
    <row r="52" spans="1:14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</row>
    <row r="53" spans="1:14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</row>
    <row r="54" spans="1:1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</row>
    <row r="55" spans="1:14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</row>
    <row r="56" spans="1:14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</row>
    <row r="57" spans="1:14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</row>
    <row r="58" spans="1:14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</row>
    <row r="59" spans="1:14" ht="20" customHeight="1">
      <c r="A59" s="7"/>
      <c r="B59" s="21" t="s">
        <v>390</v>
      </c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</row>
    <row r="60" spans="1:14" ht="20" customHeight="1">
      <c r="A60" s="7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</row>
    <row r="61" spans="1:14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</row>
    <row r="62" spans="1:14" ht="24" customHeight="1">
      <c r="A62" s="7"/>
      <c r="B62" s="26" t="s">
        <v>199</v>
      </c>
      <c r="C62" s="26"/>
      <c r="D62" s="27" t="s">
        <v>165</v>
      </c>
      <c r="E62" s="27"/>
      <c r="F62" s="28" t="s">
        <v>166</v>
      </c>
      <c r="G62" s="28"/>
      <c r="H62" s="29" t="s">
        <v>4</v>
      </c>
      <c r="I62" s="29"/>
      <c r="J62" s="30" t="s">
        <v>167</v>
      </c>
      <c r="K62" s="30"/>
      <c r="L62" s="31" t="s">
        <v>168</v>
      </c>
      <c r="M62" s="31"/>
      <c r="N62" s="7"/>
    </row>
    <row r="63" spans="1:14" ht="24" customHeight="1">
      <c r="A63" s="7"/>
      <c r="B63" s="32" t="s">
        <v>169</v>
      </c>
      <c r="C63" s="32"/>
      <c r="D63" s="33" t="s">
        <v>170</v>
      </c>
      <c r="E63" s="33"/>
      <c r="F63" s="27" t="s">
        <v>2</v>
      </c>
      <c r="G63" s="27"/>
      <c r="H63" s="29" t="s">
        <v>171</v>
      </c>
      <c r="I63" s="29"/>
      <c r="J63" s="26" t="s">
        <v>172</v>
      </c>
      <c r="K63" s="26"/>
      <c r="L63" s="27" t="s">
        <v>173</v>
      </c>
      <c r="M63" s="27"/>
      <c r="N63" s="7"/>
    </row>
    <row r="64" spans="1:14" ht="24" customHeight="1">
      <c r="A64" s="7"/>
      <c r="B64" s="28" t="s">
        <v>174</v>
      </c>
      <c r="C64" s="28"/>
      <c r="D64" s="29" t="s">
        <v>175</v>
      </c>
      <c r="E64" s="29"/>
      <c r="F64" s="30" t="s">
        <v>391</v>
      </c>
      <c r="G64" s="30"/>
      <c r="H64" s="31" t="s">
        <v>177</v>
      </c>
      <c r="I64" s="31"/>
      <c r="J64" s="32" t="s">
        <v>178</v>
      </c>
      <c r="K64" s="32"/>
      <c r="L64" s="33" t="s">
        <v>56</v>
      </c>
      <c r="M64" s="33"/>
      <c r="N64" s="7"/>
    </row>
    <row r="65" spans="1:14" ht="24" customHeight="1">
      <c r="A65" s="7"/>
      <c r="B65" s="27" t="s">
        <v>179</v>
      </c>
      <c r="C65" s="2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</row>
    <row r="66" spans="1:14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</row>
    <row r="67" spans="1:14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</row>
    <row r="68" spans="1:14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</row>
    <row r="69" spans="1:14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</row>
    <row r="70" spans="1:14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</row>
    <row r="71" spans="1:14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</row>
    <row r="72" spans="1:14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</row>
    <row r="73" spans="1:14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</row>
    <row r="74" spans="1:1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</row>
    <row r="75" spans="1:14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</row>
  </sheetData>
  <mergeCells count="42">
    <mergeCell ref="B2:K2"/>
    <mergeCell ref="B3:K3"/>
    <mergeCell ref="L3:N3"/>
    <mergeCell ref="B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7:F17"/>
    <mergeCell ref="H17:I17"/>
    <mergeCell ref="H29:I29"/>
    <mergeCell ref="K17:L17"/>
    <mergeCell ref="B59:N60"/>
    <mergeCell ref="B62:C62"/>
    <mergeCell ref="D62:E62"/>
    <mergeCell ref="F62:G62"/>
    <mergeCell ref="H62:I62"/>
    <mergeCell ref="J62:K62"/>
    <mergeCell ref="L62:M62"/>
    <mergeCell ref="B63:C63"/>
    <mergeCell ref="D63:E63"/>
    <mergeCell ref="F63:G63"/>
    <mergeCell ref="H63:I63"/>
    <mergeCell ref="J63:K63"/>
    <mergeCell ref="L63:M63"/>
    <mergeCell ref="B64:C64"/>
    <mergeCell ref="D64:E64"/>
    <mergeCell ref="F64:G64"/>
    <mergeCell ref="H64:I64"/>
    <mergeCell ref="J64:K64"/>
    <mergeCell ref="L64:M64"/>
    <mergeCell ref="B65:C65"/>
  </mergeCells>
  <conditionalFormatting sqref="E19:E30">
    <cfRule type="cellIs" dxfId="4" priority="1" operator="lessThan">
      <formula>0</formula>
    </cfRule>
  </conditionalFormatting>
  <hyperlinks>
    <hyperlink ref="L3" location="'📊 Dashboard'!A1" display="🏠  Back to Dashboard"/>
    <hyperlink ref="B62" location="'⚙️ Setup'!A1" display="Setup"/>
    <hyperlink ref="D62" location="'📊 Dashboard'!A1" display="🏠 Home"/>
    <hyperlink ref="F62" location="'👥 Clients'!A1" display="Clients"/>
    <hyperlink ref="H62" location="'📅 Events'!A1" display="Events"/>
    <hyperlink ref="J62" location="'🧮 Quote Calculator'!A1" display="Quote"/>
    <hyperlink ref="L62" location="'🍽️ Menu Costing'!A1" display="Menu"/>
    <hyperlink ref="B63" location="'📦 Inventory'!A1" display="Stock"/>
    <hyperlink ref="D63" location="'🛒 Shopping List'!A1" display="Shop"/>
    <hyperlink ref="F63" location="'💸 Expenses'!A1" display="Expenses"/>
    <hyperlink ref="H63" location="'💰 Payments'!A1" display="Payments"/>
    <hyperlink ref="J63" location="'👷 Staff &amp; Labor'!A1" display="Staff"/>
    <hyperlink ref="L63" location="'🍳 Equipment'!A1" display="Equip"/>
    <hyperlink ref="B64" location="'🚚 Suppliers'!A1" display="Suppliers"/>
    <hyperlink ref="D64" location="'📆 Event Calendar'!A1" display="Calendar"/>
    <hyperlink ref="F64" location="'📈 P&amp;L &amp; Reports'!A1" display="▶ P&amp;L"/>
    <hyperlink ref="H64" location="'🧾 Tax Tracker'!A1" display="Tax"/>
    <hyperlink ref="J64" location="'✅ Checklists'!A1" display="Checks"/>
    <hyperlink ref="L64" location="'🖨️ Invoice &amp; Proposal'!A1" display="Invoice"/>
    <hyperlink ref="B65" location="'📖 Start Here'!A1" display="Help"/>
  </hyperlinks>
  <pageMargins left="0.4" right="0.4" top="0.5" bottom="0.5" header="0.3" footer="0.3"/>
  <pageSetup paperSize="9" fitToHeight="0" orientation="landscape"/>
  <headerFooter>
    <oddHeader>&amp;L&amp;"Calibri,Bold"&amp;11Catering Business Manager&amp;R&amp;"Calibri,Italic"&amp;9Page &amp;P of &amp;N</oddHeader>
    <oddFooter>&amp;C&amp;"Calibri,Italic"&amp;8&amp;A  •  Ultimate Catering Business Spreadsheet v1.0  •  personal licence</oddFooter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7A5273"/>
    <pageSetUpPr fitToPage="1"/>
  </sheetPr>
  <dimension ref="A1:H62"/>
  <sheetViews>
    <sheetView showGridLines="0" workbookViewId="0"/>
  </sheetViews>
  <sheetFormatPr defaultRowHeight="15"/>
  <cols>
    <col min="1" max="1" width="2.85546875" customWidth="1"/>
    <col min="2" max="2" width="5.28515625" customWidth="1"/>
    <col min="3" max="3" width="14.7109375" customWidth="1"/>
    <col min="4" max="4" width="18.7109375" customWidth="1"/>
    <col min="5" max="5" width="16.7109375" customWidth="1"/>
    <col min="6" max="6" width="16.7109375" customWidth="1"/>
    <col min="7" max="7" width="15.7109375" customWidth="1"/>
    <col min="8" max="8" width="16.7109375" customWidth="1"/>
  </cols>
  <sheetData>
    <row r="1" spans="1:8" ht="7" customHeight="1">
      <c r="A1" s="7"/>
      <c r="B1" s="7"/>
      <c r="C1" s="7"/>
      <c r="D1" s="7"/>
      <c r="E1" s="7"/>
      <c r="F1" s="7"/>
      <c r="G1" s="7"/>
      <c r="H1" s="7"/>
    </row>
    <row r="2" spans="1:8" ht="30" customHeight="1">
      <c r="A2" s="7"/>
      <c r="B2" s="8" t="s">
        <v>392</v>
      </c>
      <c r="C2" s="8"/>
      <c r="D2" s="8"/>
      <c r="E2" s="8"/>
      <c r="F2" s="7"/>
      <c r="G2" s="7"/>
      <c r="H2" s="7"/>
    </row>
    <row r="3" spans="1:8" ht="18" customHeight="1">
      <c r="A3" s="7"/>
      <c r="B3" s="9" t="s">
        <v>393</v>
      </c>
      <c r="C3" s="9"/>
      <c r="D3" s="9"/>
      <c r="E3" s="9"/>
      <c r="F3" s="10" t="s">
        <v>97</v>
      </c>
      <c r="G3" s="10"/>
      <c r="H3" s="10"/>
    </row>
    <row r="4" spans="1:8" ht="7" customHeight="1">
      <c r="A4" s="7"/>
      <c r="B4" s="7"/>
      <c r="C4" s="7"/>
      <c r="D4" s="7"/>
      <c r="E4" s="7"/>
      <c r="F4" s="7"/>
      <c r="G4" s="7"/>
      <c r="H4" s="7"/>
    </row>
    <row r="5" spans="1:8" ht="26" customHeight="1">
      <c r="A5" s="7"/>
      <c r="B5" s="7"/>
      <c r="C5" s="7"/>
      <c r="D5" s="7"/>
      <c r="E5" s="7"/>
      <c r="F5" s="7"/>
      <c r="G5" s="7"/>
      <c r="H5" s="7"/>
    </row>
    <row r="6" spans="1:8" ht="7" customHeight="1">
      <c r="A6" s="7"/>
      <c r="B6" s="7"/>
      <c r="C6" s="7"/>
      <c r="D6" s="7"/>
      <c r="E6" s="7"/>
      <c r="F6" s="7"/>
      <c r="G6" s="7"/>
      <c r="H6" s="7"/>
    </row>
    <row r="7" spans="1:8">
      <c r="A7" s="7"/>
      <c r="B7" s="7"/>
      <c r="C7" s="7"/>
      <c r="D7" s="7"/>
      <c r="E7" s="7"/>
      <c r="F7" s="7"/>
      <c r="G7" s="7"/>
      <c r="H7" s="7"/>
    </row>
    <row r="8" spans="1:8" ht="22" customHeight="1">
      <c r="A8" s="7"/>
      <c r="B8" s="66" t="s">
        <v>394</v>
      </c>
      <c r="C8" s="66"/>
      <c r="D8" s="66"/>
      <c r="E8" s="66"/>
      <c r="F8" s="66"/>
      <c r="G8" s="66"/>
      <c r="H8" s="66"/>
    </row>
    <row r="9" spans="1:8" ht="24" customHeight="1">
      <c r="A9" s="7"/>
      <c r="B9" s="12" t="s">
        <v>395</v>
      </c>
      <c r="C9" s="12"/>
      <c r="D9" s="12"/>
      <c r="E9" s="12"/>
      <c r="F9" s="12"/>
      <c r="G9" s="134">
        <f>SUM('💰 Payments'!$F$8:$F$67)</f>
        <v>0</v>
      </c>
      <c r="H9" s="134"/>
    </row>
    <row r="10" spans="1:8" ht="24" customHeight="1">
      <c r="A10" s="7"/>
      <c r="B10" s="12" t="s">
        <v>396</v>
      </c>
      <c r="C10" s="12"/>
      <c r="D10" s="12"/>
      <c r="E10" s="12"/>
      <c r="F10" s="12"/>
      <c r="G10" s="135">
        <f>TaxRate</f>
        <v>0.0</v>
      </c>
      <c r="H10" s="135"/>
    </row>
    <row r="11" spans="1:8" ht="24" customHeight="1">
      <c r="A11" s="7"/>
      <c r="B11" s="12" t="s">
        <v>87</v>
      </c>
      <c r="C11" s="12"/>
      <c r="D11" s="12"/>
      <c r="E11" s="12"/>
      <c r="F11" s="12"/>
      <c r="G11" s="134">
        <f>ROUND($G$9*$G$10,2)</f>
        <v>0</v>
      </c>
      <c r="H11" s="134"/>
    </row>
    <row r="12" spans="1:8" ht="24" customHeight="1">
      <c r="A12" s="7"/>
      <c r="B12" s="12" t="s">
        <v>397</v>
      </c>
      <c r="C12" s="12"/>
      <c r="D12" s="12"/>
      <c r="E12" s="12"/>
      <c r="F12" s="12"/>
      <c r="G12" s="134">
        <f>SUM($G$20:$G$39)</f>
        <v>0</v>
      </c>
      <c r="H12" s="134"/>
    </row>
    <row r="13" spans="1:8" ht="30" customHeight="1">
      <c r="A13" s="7"/>
      <c r="B13" s="136" t="s">
        <v>398</v>
      </c>
      <c r="C13" s="136"/>
      <c r="D13" s="136"/>
      <c r="E13" s="136"/>
      <c r="F13" s="136"/>
      <c r="G13" s="137">
        <f>ROUND($G$11-$G$12,2)</f>
        <v>0</v>
      </c>
      <c r="H13" s="137"/>
    </row>
    <row r="14" spans="1:8" ht="8" customHeight="1">
      <c r="A14" s="7"/>
      <c r="B14" s="7"/>
      <c r="C14" s="7"/>
      <c r="D14" s="7"/>
      <c r="E14" s="7"/>
      <c r="F14" s="7"/>
      <c r="G14" s="7"/>
      <c r="H14" s="7"/>
    </row>
    <row r="15" spans="1:8">
      <c r="A15" s="7"/>
      <c r="B15" s="7"/>
      <c r="C15" s="7"/>
      <c r="D15" s="7"/>
      <c r="E15" s="7"/>
      <c r="F15" s="7"/>
      <c r="G15" s="7"/>
      <c r="H15" s="7"/>
    </row>
    <row r="16" spans="1:8">
      <c r="A16" s="7"/>
      <c r="B16" s="7"/>
      <c r="C16" s="7"/>
      <c r="D16" s="7"/>
      <c r="E16" s="7"/>
      <c r="F16" s="7"/>
      <c r="G16" s="7"/>
      <c r="H16" s="7"/>
    </row>
    <row r="17" spans="1:8">
      <c r="A17" s="7"/>
      <c r="B17" s="7"/>
      <c r="C17" s="7"/>
      <c r="D17" s="7"/>
      <c r="E17" s="7"/>
      <c r="F17" s="7"/>
      <c r="G17" s="7"/>
      <c r="H17" s="7"/>
    </row>
    <row r="18" spans="1:8" ht="22" customHeight="1">
      <c r="A18" s="7"/>
      <c r="B18" s="66" t="s">
        <v>399</v>
      </c>
      <c r="C18" s="66"/>
      <c r="D18" s="66"/>
      <c r="E18" s="66"/>
      <c r="F18" s="66"/>
      <c r="G18" s="66"/>
      <c r="H18" s="66"/>
    </row>
    <row r="19" spans="1:8" ht="24" customHeight="1">
      <c r="A19" s="7"/>
      <c r="B19" s="18" t="s">
        <v>203</v>
      </c>
      <c r="C19" s="18" t="s">
        <v>400</v>
      </c>
      <c r="D19" s="18" t="s">
        <v>401</v>
      </c>
      <c r="E19" s="18"/>
      <c r="F19" s="18"/>
      <c r="G19" s="18" t="s">
        <v>306</v>
      </c>
      <c r="H19" s="18" t="s">
        <v>402</v>
      </c>
    </row>
    <row r="20" spans="1:8" ht="20" customHeight="1">
      <c r="A20" s="7"/>
      <c r="B20" s="85">
        <v>1</v>
      </c>
      <c r="C20" s="88"/>
      <c r="D20" s="86"/>
      <c r="E20" s="86"/>
      <c r="F20" s="86"/>
      <c r="G20" s="90"/>
      <c r="H20" s="87"/>
    </row>
    <row r="21" spans="1:8" ht="20" customHeight="1">
      <c r="A21" s="7"/>
      <c r="B21" s="78">
        <v>2</v>
      </c>
      <c r="C21" s="81"/>
      <c r="D21" s="79"/>
      <c r="E21" s="79"/>
      <c r="F21" s="79"/>
      <c r="G21" s="83"/>
      <c r="H21" s="80"/>
    </row>
    <row r="22" spans="1:8" ht="20" customHeight="1">
      <c r="A22" s="7"/>
      <c r="B22" s="85">
        <v>3</v>
      </c>
      <c r="C22" s="88"/>
      <c r="D22" s="86"/>
      <c r="E22" s="86"/>
      <c r="F22" s="86"/>
      <c r="G22" s="90"/>
      <c r="H22" s="87"/>
    </row>
    <row r="23" spans="1:8" ht="20" customHeight="1">
      <c r="A23" s="7"/>
      <c r="B23" s="78">
        <v>4</v>
      </c>
      <c r="C23" s="81"/>
      <c r="D23" s="79"/>
      <c r="E23" s="79"/>
      <c r="F23" s="79"/>
      <c r="G23" s="83"/>
      <c r="H23" s="80"/>
    </row>
    <row r="24" spans="1:8" ht="20" customHeight="1">
      <c r="A24" s="7"/>
      <c r="B24" s="85">
        <v>5</v>
      </c>
      <c r="C24" s="88"/>
      <c r="D24" s="86"/>
      <c r="E24" s="86"/>
      <c r="F24" s="86"/>
      <c r="G24" s="90"/>
      <c r="H24" s="87"/>
    </row>
    <row r="25" spans="1:8" ht="20" customHeight="1">
      <c r="A25" s="7"/>
      <c r="B25" s="78">
        <v>6</v>
      </c>
      <c r="C25" s="81"/>
      <c r="D25" s="79"/>
      <c r="E25" s="79"/>
      <c r="F25" s="79"/>
      <c r="G25" s="83"/>
      <c r="H25" s="80"/>
    </row>
    <row r="26" spans="1:8" ht="20" customHeight="1">
      <c r="A26" s="7"/>
      <c r="B26" s="85">
        <v>7</v>
      </c>
      <c r="C26" s="88"/>
      <c r="D26" s="86"/>
      <c r="E26" s="86"/>
      <c r="F26" s="86"/>
      <c r="G26" s="90"/>
      <c r="H26" s="87"/>
    </row>
    <row r="27" spans="1:8" ht="20" customHeight="1">
      <c r="A27" s="7"/>
      <c r="B27" s="78">
        <v>8</v>
      </c>
      <c r="C27" s="81"/>
      <c r="D27" s="79"/>
      <c r="E27" s="79"/>
      <c r="F27" s="79"/>
      <c r="G27" s="83"/>
      <c r="H27" s="80"/>
    </row>
    <row r="28" spans="1:8" ht="20" customHeight="1">
      <c r="A28" s="7"/>
      <c r="B28" s="85">
        <v>9</v>
      </c>
      <c r="C28" s="88"/>
      <c r="D28" s="86"/>
      <c r="E28" s="86"/>
      <c r="F28" s="86"/>
      <c r="G28" s="90"/>
      <c r="H28" s="87"/>
    </row>
    <row r="29" spans="1:8" ht="20" customHeight="1">
      <c r="A29" s="7"/>
      <c r="B29" s="78">
        <v>10</v>
      </c>
      <c r="C29" s="81"/>
      <c r="D29" s="79"/>
      <c r="E29" s="79"/>
      <c r="F29" s="79"/>
      <c r="G29" s="83"/>
      <c r="H29" s="80"/>
    </row>
    <row r="30" spans="1:8" ht="20" customHeight="1">
      <c r="A30" s="7"/>
      <c r="B30" s="85">
        <v>11</v>
      </c>
      <c r="C30" s="88"/>
      <c r="D30" s="86"/>
      <c r="E30" s="86"/>
      <c r="F30" s="86"/>
      <c r="G30" s="90"/>
      <c r="H30" s="87"/>
    </row>
    <row r="31" spans="1:8" ht="20" customHeight="1">
      <c r="A31" s="7"/>
      <c r="B31" s="78">
        <v>12</v>
      </c>
      <c r="C31" s="81"/>
      <c r="D31" s="79"/>
      <c r="E31" s="79"/>
      <c r="F31" s="79"/>
      <c r="G31" s="83"/>
      <c r="H31" s="80"/>
    </row>
    <row r="32" spans="1:8" ht="20" customHeight="1">
      <c r="A32" s="7"/>
      <c r="B32" s="85">
        <v>13</v>
      </c>
      <c r="C32" s="88"/>
      <c r="D32" s="86"/>
      <c r="E32" s="86"/>
      <c r="F32" s="86"/>
      <c r="G32" s="90"/>
      <c r="H32" s="87"/>
    </row>
    <row r="33" spans="1:8" ht="20" customHeight="1">
      <c r="A33" s="7"/>
      <c r="B33" s="78">
        <v>14</v>
      </c>
      <c r="C33" s="81"/>
      <c r="D33" s="79"/>
      <c r="E33" s="79"/>
      <c r="F33" s="79"/>
      <c r="G33" s="83"/>
      <c r="H33" s="80"/>
    </row>
    <row r="34" spans="1:8" ht="20" customHeight="1">
      <c r="A34" s="7"/>
      <c r="B34" s="85">
        <v>15</v>
      </c>
      <c r="C34" s="88"/>
      <c r="D34" s="86"/>
      <c r="E34" s="86"/>
      <c r="F34" s="86"/>
      <c r="G34" s="90"/>
      <c r="H34" s="87"/>
    </row>
    <row r="35" spans="1:8" ht="20" customHeight="1">
      <c r="A35" s="7"/>
      <c r="B35" s="78">
        <v>16</v>
      </c>
      <c r="C35" s="81"/>
      <c r="D35" s="79"/>
      <c r="E35" s="79"/>
      <c r="F35" s="79"/>
      <c r="G35" s="83"/>
      <c r="H35" s="80"/>
    </row>
    <row r="36" spans="1:8" ht="20" customHeight="1">
      <c r="A36" s="7"/>
      <c r="B36" s="85">
        <v>17</v>
      </c>
      <c r="C36" s="88"/>
      <c r="D36" s="86"/>
      <c r="E36" s="86"/>
      <c r="F36" s="86"/>
      <c r="G36" s="90"/>
      <c r="H36" s="87"/>
    </row>
    <row r="37" spans="1:8" ht="20" customHeight="1">
      <c r="A37" s="7"/>
      <c r="B37" s="78">
        <v>18</v>
      </c>
      <c r="C37" s="81"/>
      <c r="D37" s="79"/>
      <c r="E37" s="79"/>
      <c r="F37" s="79"/>
      <c r="G37" s="83"/>
      <c r="H37" s="80"/>
    </row>
    <row r="38" spans="1:8" ht="20" customHeight="1">
      <c r="A38" s="7"/>
      <c r="B38" s="85">
        <v>19</v>
      </c>
      <c r="C38" s="88"/>
      <c r="D38" s="86"/>
      <c r="E38" s="86"/>
      <c r="F38" s="86"/>
      <c r="G38" s="90"/>
      <c r="H38" s="87"/>
    </row>
    <row r="39" spans="1:8" ht="20" customHeight="1">
      <c r="A39" s="7"/>
      <c r="B39" s="78">
        <v>20</v>
      </c>
      <c r="C39" s="81"/>
      <c r="D39" s="79"/>
      <c r="E39" s="79"/>
      <c r="F39" s="79"/>
      <c r="G39" s="83"/>
      <c r="H39" s="80"/>
    </row>
    <row r="40" spans="1:8">
      <c r="A40" s="7"/>
      <c r="B40" s="7"/>
      <c r="C40" s="7"/>
      <c r="D40" s="7"/>
      <c r="E40" s="7"/>
      <c r="F40" s="7"/>
      <c r="G40" s="7"/>
      <c r="H40" s="7"/>
    </row>
    <row r="41" spans="1:8" ht="20" customHeight="1">
      <c r="A41" s="7"/>
      <c r="B41" s="21" t="s">
        <v>403</v>
      </c>
      <c r="C41" s="21"/>
      <c r="D41" s="21"/>
      <c r="E41" s="21"/>
      <c r="F41" s="21"/>
      <c r="G41" s="21"/>
      <c r="H41" s="21"/>
    </row>
    <row r="42" spans="1:8" ht="20" customHeight="1">
      <c r="A42" s="7"/>
      <c r="B42" s="21"/>
      <c r="C42" s="21"/>
      <c r="D42" s="21"/>
      <c r="E42" s="21"/>
      <c r="F42" s="21"/>
      <c r="G42" s="21"/>
      <c r="H42" s="21"/>
    </row>
    <row r="43" spans="1:8" ht="20" customHeight="1">
      <c r="A43" s="7"/>
      <c r="B43" s="21"/>
      <c r="C43" s="21"/>
      <c r="D43" s="21"/>
      <c r="E43" s="21"/>
      <c r="F43" s="21"/>
      <c r="G43" s="21"/>
      <c r="H43" s="21"/>
    </row>
    <row r="44" spans="1:8">
      <c r="A44" s="7"/>
      <c r="B44" s="7"/>
      <c r="C44" s="7"/>
      <c r="D44" s="7"/>
      <c r="E44" s="7"/>
      <c r="F44" s="7"/>
      <c r="G44" s="7"/>
      <c r="H44" s="7"/>
    </row>
    <row r="45" spans="1:8" ht="24" customHeight="1">
      <c r="A45" s="7"/>
      <c r="B45" s="26" t="s">
        <v>199</v>
      </c>
      <c r="C45" s="26"/>
      <c r="D45" s="27" t="s">
        <v>165</v>
      </c>
      <c r="E45" s="27"/>
      <c r="F45" s="28" t="s">
        <v>166</v>
      </c>
      <c r="G45" s="28"/>
      <c r="H45" s="7"/>
    </row>
    <row r="46" spans="1:8" ht="24" customHeight="1">
      <c r="A46" s="7"/>
      <c r="B46" s="29" t="s">
        <v>4</v>
      </c>
      <c r="C46" s="29"/>
      <c r="D46" s="30" t="s">
        <v>167</v>
      </c>
      <c r="E46" s="30"/>
      <c r="F46" s="31" t="s">
        <v>168</v>
      </c>
      <c r="G46" s="31"/>
      <c r="H46" s="7"/>
    </row>
    <row r="47" spans="1:8" ht="24" customHeight="1">
      <c r="A47" s="7"/>
      <c r="B47" s="32" t="s">
        <v>169</v>
      </c>
      <c r="C47" s="32"/>
      <c r="D47" s="33" t="s">
        <v>170</v>
      </c>
      <c r="E47" s="33"/>
      <c r="F47" s="27" t="s">
        <v>2</v>
      </c>
      <c r="G47" s="27"/>
      <c r="H47" s="7"/>
    </row>
    <row r="48" spans="1:8" ht="24" customHeight="1">
      <c r="A48" s="7"/>
      <c r="B48" s="29" t="s">
        <v>171</v>
      </c>
      <c r="C48" s="29"/>
      <c r="D48" s="26" t="s">
        <v>172</v>
      </c>
      <c r="E48" s="26"/>
      <c r="F48" s="27" t="s">
        <v>173</v>
      </c>
      <c r="G48" s="27"/>
      <c r="H48" s="7"/>
    </row>
    <row r="49" spans="1:8" ht="24" customHeight="1">
      <c r="A49" s="7"/>
      <c r="B49" s="28" t="s">
        <v>174</v>
      </c>
      <c r="C49" s="28"/>
      <c r="D49" s="29" t="s">
        <v>175</v>
      </c>
      <c r="E49" s="29"/>
      <c r="F49" s="30" t="s">
        <v>176</v>
      </c>
      <c r="G49" s="30"/>
      <c r="H49" s="7"/>
    </row>
    <row r="50" spans="1:8" ht="24" customHeight="1">
      <c r="A50" s="7"/>
      <c r="B50" s="31" t="s">
        <v>404</v>
      </c>
      <c r="C50" s="31"/>
      <c r="D50" s="32" t="s">
        <v>178</v>
      </c>
      <c r="E50" s="32"/>
      <c r="F50" s="33" t="s">
        <v>56</v>
      </c>
      <c r="G50" s="33"/>
      <c r="H50" s="7"/>
    </row>
    <row r="51" spans="1:8" ht="24" customHeight="1">
      <c r="A51" s="7"/>
      <c r="B51" s="27" t="s">
        <v>179</v>
      </c>
      <c r="C51" s="27"/>
      <c r="D51" s="7"/>
      <c r="E51" s="7"/>
      <c r="F51" s="7"/>
      <c r="G51" s="7"/>
      <c r="H51" s="7"/>
    </row>
    <row r="52" spans="1:8">
      <c r="A52" s="7"/>
      <c r="B52" s="7"/>
      <c r="C52" s="7"/>
      <c r="D52" s="7"/>
      <c r="E52" s="7"/>
      <c r="F52" s="7"/>
      <c r="G52" s="7"/>
      <c r="H52" s="7"/>
    </row>
    <row r="53" spans="1:8">
      <c r="A53" s="7"/>
      <c r="B53" s="7"/>
      <c r="C53" s="7"/>
      <c r="D53" s="7"/>
      <c r="E53" s="7"/>
      <c r="F53" s="7"/>
      <c r="G53" s="7"/>
      <c r="H53" s="7"/>
    </row>
    <row r="54" spans="1:8">
      <c r="A54" s="7"/>
      <c r="B54" s="7"/>
      <c r="C54" s="7"/>
      <c r="D54" s="7"/>
      <c r="E54" s="7"/>
      <c r="F54" s="7"/>
      <c r="G54" s="7"/>
      <c r="H54" s="7"/>
    </row>
    <row r="55" spans="1:8">
      <c r="A55" s="7"/>
      <c r="B55" s="7"/>
      <c r="C55" s="7"/>
      <c r="D55" s="7"/>
      <c r="E55" s="7"/>
      <c r="F55" s="7"/>
      <c r="G55" s="7"/>
      <c r="H55" s="7"/>
    </row>
    <row r="56" spans="1:8">
      <c r="A56" s="7"/>
      <c r="B56" s="7"/>
      <c r="C56" s="7"/>
      <c r="D56" s="7"/>
      <c r="E56" s="7"/>
      <c r="F56" s="7"/>
      <c r="G56" s="7"/>
      <c r="H56" s="7"/>
    </row>
    <row r="57" spans="1:8">
      <c r="A57" s="7"/>
      <c r="B57" s="7"/>
      <c r="C57" s="7"/>
      <c r="D57" s="7"/>
      <c r="E57" s="7"/>
      <c r="F57" s="7"/>
      <c r="G57" s="7"/>
      <c r="H57" s="7"/>
    </row>
    <row r="58" spans="1:8">
      <c r="A58" s="7"/>
      <c r="B58" s="7"/>
      <c r="C58" s="7"/>
      <c r="D58" s="7"/>
      <c r="E58" s="7"/>
      <c r="F58" s="7"/>
      <c r="G58" s="7"/>
      <c r="H58" s="7"/>
    </row>
    <row r="59" spans="1:8">
      <c r="A59" s="7"/>
      <c r="B59" s="7"/>
      <c r="C59" s="7"/>
      <c r="D59" s="7"/>
      <c r="E59" s="7"/>
      <c r="F59" s="7"/>
      <c r="G59" s="7"/>
      <c r="H59" s="7"/>
    </row>
    <row r="60" spans="1:8">
      <c r="A60" s="7"/>
      <c r="B60" s="7"/>
      <c r="C60" s="7"/>
      <c r="D60" s="7"/>
      <c r="E60" s="7"/>
      <c r="F60" s="7"/>
      <c r="G60" s="7"/>
      <c r="H60" s="7"/>
    </row>
    <row r="61" spans="1:8">
      <c r="A61" s="7"/>
      <c r="B61" s="7"/>
      <c r="C61" s="7"/>
      <c r="D61" s="7"/>
      <c r="E61" s="7"/>
      <c r="F61" s="7"/>
      <c r="G61" s="7"/>
      <c r="H61" s="7"/>
    </row>
    <row r="62" spans="1:8">
      <c r="A62" s="7"/>
      <c r="B62" s="7"/>
      <c r="C62" s="7"/>
      <c r="D62" s="7"/>
      <c r="E62" s="7"/>
      <c r="F62" s="7"/>
      <c r="G62" s="7"/>
      <c r="H62" s="7"/>
    </row>
  </sheetData>
  <mergeCells count="56">
    <mergeCell ref="B2:E2"/>
    <mergeCell ref="B3:E3"/>
    <mergeCell ref="F3:H3"/>
    <mergeCell ref="B8:H8"/>
    <mergeCell ref="B9:F9"/>
    <mergeCell ref="G9:H9"/>
    <mergeCell ref="B10:F10"/>
    <mergeCell ref="G10:H10"/>
    <mergeCell ref="B11:F11"/>
    <mergeCell ref="G11:H11"/>
    <mergeCell ref="B12:F12"/>
    <mergeCell ref="G12:H12"/>
    <mergeCell ref="B13:F13"/>
    <mergeCell ref="G13:H13"/>
    <mergeCell ref="B18:H18"/>
    <mergeCell ref="D19:F19"/>
    <mergeCell ref="D20:F20"/>
    <mergeCell ref="D21:F21"/>
    <mergeCell ref="D22:F22"/>
    <mergeCell ref="D23:F23"/>
    <mergeCell ref="D24:F24"/>
    <mergeCell ref="D25:F25"/>
    <mergeCell ref="D26:F26"/>
    <mergeCell ref="D27:F27"/>
    <mergeCell ref="D28:F28"/>
    <mergeCell ref="D29:F29"/>
    <mergeCell ref="D30:F30"/>
    <mergeCell ref="D31:F31"/>
    <mergeCell ref="D32:F32"/>
    <mergeCell ref="D33:F33"/>
    <mergeCell ref="D34:F34"/>
    <mergeCell ref="D35:F35"/>
    <mergeCell ref="D36:F36"/>
    <mergeCell ref="D37:F37"/>
    <mergeCell ref="D38:F38"/>
    <mergeCell ref="D39:F39"/>
    <mergeCell ref="B41:H43"/>
    <mergeCell ref="B45:C45"/>
    <mergeCell ref="D45:E45"/>
    <mergeCell ref="F45:G45"/>
    <mergeCell ref="B46:C46"/>
    <mergeCell ref="D46:E46"/>
    <mergeCell ref="F46:G46"/>
    <mergeCell ref="B47:C47"/>
    <mergeCell ref="D47:E47"/>
    <mergeCell ref="F47:G47"/>
    <mergeCell ref="B48:C48"/>
    <mergeCell ref="D48:E48"/>
    <mergeCell ref="F48:G48"/>
    <mergeCell ref="B49:C49"/>
    <mergeCell ref="D49:E49"/>
    <mergeCell ref="F49:G49"/>
    <mergeCell ref="B50:C50"/>
    <mergeCell ref="D50:E50"/>
    <mergeCell ref="F50:G50"/>
    <mergeCell ref="B51:C51"/>
  </mergeCells>
  <conditionalFormatting sqref="G13:H13">
    <cfRule type="cellIs" dxfId="15" priority="1" operator="greaterThan">
      <formula>0</formula>
    </cfRule>
  </conditionalFormatting>
  <dataValidations count="3">
    <dataValidation type="date" operator="greaterThanOrEqual" allowBlank="1" showInputMessage="1" showErrorMessage="1" promptTitle="Date paid" prompt="When did you pay it?" sqref="C20:C39">
      <formula1>DATE(2000,1,1)</formula1>
    </dataValidation>
    <dataValidation type="decimal" operator="greaterThanOrEqual" allowBlank="1" showInputMessage="1" showErrorMessage="1" sqref="G20:G39">
      <formula1>0</formula1>
    </dataValidation>
    <dataValidation type="list" allowBlank="1" showInputMessage="1" promptTitle="Method" sqref="H20:H39">
      <formula1>PaymentMethods</formula1>
    </dataValidation>
  </dataValidations>
  <hyperlinks>
    <hyperlink ref="F3" location="'📊 Dashboard'!A1" display="🏠  Back to Dashboard"/>
    <hyperlink ref="B45" location="'⚙️ Setup'!A1" display="Setup"/>
    <hyperlink ref="D45" location="'📊 Dashboard'!A1" display="🏠 Home"/>
    <hyperlink ref="F45" location="'👥 Clients'!A1" display="Clients"/>
    <hyperlink ref="B46" location="'📅 Events'!A1" display="Events"/>
    <hyperlink ref="D46" location="'🧮 Quote Calculator'!A1" display="Quote"/>
    <hyperlink ref="F46" location="'🍽️ Menu Costing'!A1" display="Menu"/>
    <hyperlink ref="B47" location="'📦 Inventory'!A1" display="Stock"/>
    <hyperlink ref="D47" location="'🛒 Shopping List'!A1" display="Shop"/>
    <hyperlink ref="F47" location="'💸 Expenses'!A1" display="Expenses"/>
    <hyperlink ref="B48" location="'💰 Payments'!A1" display="Payments"/>
    <hyperlink ref="D48" location="'👷 Staff &amp; Labor'!A1" display="Staff"/>
    <hyperlink ref="F48" location="'🍳 Equipment'!A1" display="Equip"/>
    <hyperlink ref="B49" location="'🚚 Suppliers'!A1" display="Suppliers"/>
    <hyperlink ref="D49" location="'📆 Event Calendar'!A1" display="Calendar"/>
    <hyperlink ref="F49" location="'📈 P&amp;L &amp; Reports'!A1" display="P&amp;L"/>
    <hyperlink ref="B50" location="'🧾 Tax Tracker'!A1" display="▶ Tax"/>
    <hyperlink ref="D50" location="'✅ Checklists'!A1" display="Checks"/>
    <hyperlink ref="F50" location="'🖨️ Invoice &amp; Proposal'!A1" display="Invoice"/>
    <hyperlink ref="B51" location="'📖 Start Here'!A1" display="Help"/>
  </hyperlinks>
  <pageMargins left="0.4" right="0.4" top="0.5" bottom="0.5" header="0.3" footer="0.3"/>
  <pageSetup paperSize="9" fitToHeight="0" orientation="portrait"/>
  <headerFooter>
    <oddHeader>&amp;L&amp;"Calibri,Bold"&amp;11Catering Business Manager&amp;R&amp;"Calibri,Italic"&amp;9Page &amp;P of &amp;N</oddHeader>
    <oddFooter>&amp;C&amp;"Calibri,Italic"&amp;8&amp;A  •  Ultimate Catering Business Spreadsheet v1.0  •  personal licence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>
    <tabColor rgb="FF4C7A4C"/>
    <pageSetUpPr fitToPage="1"/>
  </sheetPr>
  <dimension ref="A1:H58"/>
  <sheetViews>
    <sheetView showGridLines="0" workbookViewId="0"/>
  </sheetViews>
  <sheetFormatPr defaultRowHeight="15"/>
  <cols>
    <col min="1" max="1" width="2.85546875" customWidth="1"/>
    <col min="2" max="2" width="5.28515625" customWidth="1"/>
    <col min="3" max="3" width="22.7109375" customWidth="1"/>
    <col min="4" max="4" width="22.7109375" customWidth="1"/>
    <col min="5" max="5" width="18.7109375" customWidth="1"/>
    <col min="6" max="6" width="13.7109375" customWidth="1"/>
    <col min="7" max="7" width="8.7109375" customWidth="1"/>
    <col min="8" max="8" width="20.7109375" customWidth="1"/>
  </cols>
  <sheetData>
    <row r="1" spans="1:8" ht="7" customHeight="1">
      <c r="A1" s="7"/>
      <c r="B1" s="7"/>
      <c r="C1" s="7"/>
      <c r="D1" s="7"/>
      <c r="E1" s="7"/>
      <c r="F1" s="7"/>
      <c r="G1" s="7"/>
      <c r="H1" s="7"/>
    </row>
    <row r="2" spans="1:8" ht="30" customHeight="1">
      <c r="A2" s="7"/>
      <c r="B2" s="8" t="s">
        <v>405</v>
      </c>
      <c r="C2" s="8"/>
      <c r="D2" s="8"/>
      <c r="E2" s="8"/>
      <c r="F2" s="7"/>
      <c r="G2" s="7"/>
      <c r="H2" s="7"/>
    </row>
    <row r="3" spans="1:8" ht="18" customHeight="1">
      <c r="A3" s="7"/>
      <c r="B3" s="9" t="s">
        <v>406</v>
      </c>
      <c r="C3" s="9"/>
      <c r="D3" s="9"/>
      <c r="E3" s="9"/>
      <c r="F3" s="10" t="s">
        <v>97</v>
      </c>
      <c r="G3" s="10"/>
      <c r="H3" s="10"/>
    </row>
    <row r="4" spans="1:8" ht="7" customHeight="1">
      <c r="A4" s="7"/>
      <c r="B4" s="7"/>
      <c r="C4" s="7"/>
      <c r="D4" s="7"/>
      <c r="E4" s="7"/>
      <c r="F4" s="7"/>
      <c r="G4" s="7"/>
      <c r="H4" s="7"/>
    </row>
    <row r="5" spans="1:8" ht="26" customHeight="1">
      <c r="A5" s="7"/>
      <c r="B5" s="73" t="str">
        <f>"📋 Prep: "&amp;COUNTIF($G$10:$G$17,"✓")&amp;"/8"</f>
        <v>📋 Prep: 0/8</v>
      </c>
      <c r="C5" s="73"/>
      <c r="D5" s="76" t="str">
        <f>"🛒 Shop: "&amp;COUNTIF($G$20:$G$27,"✓")&amp;"/8"</f>
        <v>🛒 Shop: 0/8</v>
      </c>
      <c r="E5" s="76"/>
      <c r="F5" s="95" t="str">
        <f>"🔥 Day-of: "&amp;COUNTIF($G$30:$G$37,"✓")&amp;"/8"</f>
        <v>🔥 Day-of: 0/8</v>
      </c>
      <c r="G5" s="95"/>
      <c r="H5" s="121" t="str">
        <f>"🏁 Close: "&amp;COUNTIF($G$40:$G$47,"✓")&amp;"/8"</f>
        <v>🏁 Close: 0/8</v>
      </c>
    </row>
    <row r="6" spans="1:8" ht="7" customHeight="1">
      <c r="A6" s="7"/>
      <c r="B6" s="7"/>
      <c r="C6" s="7"/>
      <c r="D6" s="7"/>
      <c r="E6" s="7"/>
      <c r="F6" s="7"/>
      <c r="G6" s="7"/>
      <c r="H6" s="7"/>
    </row>
    <row r="7" spans="1:8">
      <c r="A7" s="7"/>
      <c r="B7" s="7"/>
      <c r="C7" s="7"/>
      <c r="D7" s="7"/>
      <c r="E7" s="7"/>
      <c r="F7" s="7"/>
      <c r="G7" s="7"/>
      <c r="H7" s="7"/>
    </row>
    <row r="8" spans="1:8">
      <c r="A8" s="7"/>
      <c r="B8" s="7"/>
      <c r="C8" s="7"/>
      <c r="D8" s="7"/>
      <c r="E8" s="7"/>
      <c r="F8" s="7"/>
      <c r="G8" s="7"/>
      <c r="H8" s="7"/>
    </row>
    <row r="9" spans="1:8" ht="24" customHeight="1">
      <c r="A9" s="7"/>
      <c r="B9" s="138" t="s">
        <v>407</v>
      </c>
      <c r="C9" s="138"/>
      <c r="D9" s="138"/>
      <c r="E9" s="138"/>
      <c r="F9" s="138"/>
      <c r="G9" s="138"/>
      <c r="H9" s="138"/>
    </row>
    <row r="10" spans="1:8" ht="20" customHeight="1">
      <c r="A10" s="7"/>
      <c r="B10" s="85">
        <v>1</v>
      </c>
      <c r="C10" s="139" t="s">
        <v>408</v>
      </c>
      <c r="D10" s="139"/>
      <c r="E10" s="139"/>
      <c r="F10" s="140" t="s">
        <v>409</v>
      </c>
      <c r="G10" s="119"/>
      <c r="H10" s="86"/>
    </row>
    <row r="11" spans="1:8" ht="20" customHeight="1">
      <c r="A11" s="7"/>
      <c r="B11" s="78">
        <v>2</v>
      </c>
      <c r="C11" s="141" t="s">
        <v>410</v>
      </c>
      <c r="D11" s="141"/>
      <c r="E11" s="141"/>
      <c r="F11" s="142" t="s">
        <v>409</v>
      </c>
      <c r="G11" s="118"/>
      <c r="H11" s="79"/>
    </row>
    <row r="12" spans="1:8" ht="20" customHeight="1">
      <c r="A12" s="7"/>
      <c r="B12" s="85">
        <v>3</v>
      </c>
      <c r="C12" s="139" t="s">
        <v>411</v>
      </c>
      <c r="D12" s="139"/>
      <c r="E12" s="139"/>
      <c r="F12" s="140" t="s">
        <v>412</v>
      </c>
      <c r="G12" s="119"/>
      <c r="H12" s="86"/>
    </row>
    <row r="13" spans="1:8" ht="20" customHeight="1">
      <c r="A13" s="7"/>
      <c r="B13" s="78">
        <v>4</v>
      </c>
      <c r="C13" s="141" t="s">
        <v>413</v>
      </c>
      <c r="D13" s="141"/>
      <c r="E13" s="141"/>
      <c r="F13" s="142" t="s">
        <v>414</v>
      </c>
      <c r="G13" s="118"/>
      <c r="H13" s="79"/>
    </row>
    <row r="14" spans="1:8" ht="20" customHeight="1">
      <c r="A14" s="7"/>
      <c r="B14" s="85">
        <v>5</v>
      </c>
      <c r="C14" s="139" t="s">
        <v>415</v>
      </c>
      <c r="D14" s="139"/>
      <c r="E14" s="139"/>
      <c r="F14" s="140" t="s">
        <v>416</v>
      </c>
      <c r="G14" s="119"/>
      <c r="H14" s="86"/>
    </row>
    <row r="15" spans="1:8" ht="20" customHeight="1">
      <c r="A15" s="7"/>
      <c r="B15" s="78">
        <v>6</v>
      </c>
      <c r="C15" s="141" t="s">
        <v>417</v>
      </c>
      <c r="D15" s="141"/>
      <c r="E15" s="141"/>
      <c r="F15" s="142" t="s">
        <v>416</v>
      </c>
      <c r="G15" s="118"/>
      <c r="H15" s="79"/>
    </row>
    <row r="16" spans="1:8" ht="20" customHeight="1">
      <c r="A16" s="7"/>
      <c r="B16" s="85">
        <v>7</v>
      </c>
      <c r="C16" s="139" t="s">
        <v>418</v>
      </c>
      <c r="D16" s="139"/>
      <c r="E16" s="139"/>
      <c r="F16" s="140" t="s">
        <v>419</v>
      </c>
      <c r="G16" s="119"/>
      <c r="H16" s="86"/>
    </row>
    <row r="17" spans="1:8" ht="20" customHeight="1">
      <c r="A17" s="7"/>
      <c r="B17" s="78">
        <v>8</v>
      </c>
      <c r="C17" s="141" t="s">
        <v>420</v>
      </c>
      <c r="D17" s="141"/>
      <c r="E17" s="141"/>
      <c r="F17" s="142" t="s">
        <v>421</v>
      </c>
      <c r="G17" s="118"/>
      <c r="H17" s="79"/>
    </row>
    <row r="18" spans="1:8">
      <c r="A18" s="7"/>
      <c r="B18" s="7"/>
      <c r="C18" s="7"/>
      <c r="D18" s="7"/>
      <c r="E18" s="7"/>
      <c r="F18" s="7"/>
      <c r="G18" s="7"/>
      <c r="H18" s="7"/>
    </row>
    <row r="19" spans="1:8" ht="24" customHeight="1">
      <c r="A19" s="7"/>
      <c r="B19" s="143" t="s">
        <v>422</v>
      </c>
      <c r="C19" s="143"/>
      <c r="D19" s="143"/>
      <c r="E19" s="143"/>
      <c r="F19" s="143"/>
      <c r="G19" s="143"/>
      <c r="H19" s="143"/>
    </row>
    <row r="20" spans="1:8" ht="20" customHeight="1">
      <c r="A20" s="7"/>
      <c r="B20" s="85">
        <v>1</v>
      </c>
      <c r="C20" s="139" t="s">
        <v>423</v>
      </c>
      <c r="D20" s="139"/>
      <c r="E20" s="139"/>
      <c r="F20" s="140" t="s">
        <v>424</v>
      </c>
      <c r="G20" s="119"/>
      <c r="H20" s="86"/>
    </row>
    <row r="21" spans="1:8" ht="20" customHeight="1">
      <c r="A21" s="7"/>
      <c r="B21" s="78">
        <v>2</v>
      </c>
      <c r="C21" s="141" t="s">
        <v>425</v>
      </c>
      <c r="D21" s="141"/>
      <c r="E21" s="141"/>
      <c r="F21" s="142" t="s">
        <v>424</v>
      </c>
      <c r="G21" s="118"/>
      <c r="H21" s="79"/>
    </row>
    <row r="22" spans="1:8" ht="20" customHeight="1">
      <c r="A22" s="7"/>
      <c r="B22" s="85">
        <v>3</v>
      </c>
      <c r="C22" s="139" t="s">
        <v>426</v>
      </c>
      <c r="D22" s="139"/>
      <c r="E22" s="139"/>
      <c r="F22" s="140" t="s">
        <v>427</v>
      </c>
      <c r="G22" s="119"/>
      <c r="H22" s="86"/>
    </row>
    <row r="23" spans="1:8" ht="20" customHeight="1">
      <c r="A23" s="7"/>
      <c r="B23" s="78">
        <v>4</v>
      </c>
      <c r="C23" s="141" t="s">
        <v>428</v>
      </c>
      <c r="D23" s="141"/>
      <c r="E23" s="141"/>
      <c r="F23" s="142" t="s">
        <v>427</v>
      </c>
      <c r="G23" s="118"/>
      <c r="H23" s="79"/>
    </row>
    <row r="24" spans="1:8" ht="20" customHeight="1">
      <c r="A24" s="7"/>
      <c r="B24" s="85">
        <v>5</v>
      </c>
      <c r="C24" s="139" t="s">
        <v>429</v>
      </c>
      <c r="D24" s="139"/>
      <c r="E24" s="139"/>
      <c r="F24" s="140" t="s">
        <v>430</v>
      </c>
      <c r="G24" s="119"/>
      <c r="H24" s="86"/>
    </row>
    <row r="25" spans="1:8" ht="20" customHeight="1">
      <c r="A25" s="7"/>
      <c r="B25" s="78">
        <v>6</v>
      </c>
      <c r="C25" s="141" t="s">
        <v>431</v>
      </c>
      <c r="D25" s="141"/>
      <c r="E25" s="141"/>
      <c r="F25" s="142" t="s">
        <v>432</v>
      </c>
      <c r="G25" s="118"/>
      <c r="H25" s="79"/>
    </row>
    <row r="26" spans="1:8" ht="20" customHeight="1">
      <c r="A26" s="7"/>
      <c r="B26" s="85">
        <v>7</v>
      </c>
      <c r="C26" s="139" t="s">
        <v>433</v>
      </c>
      <c r="D26" s="139"/>
      <c r="E26" s="139"/>
      <c r="F26" s="140" t="s">
        <v>434</v>
      </c>
      <c r="G26" s="119"/>
      <c r="H26" s="86"/>
    </row>
    <row r="27" spans="1:8" ht="20" customHeight="1">
      <c r="A27" s="7"/>
      <c r="B27" s="78">
        <v>8</v>
      </c>
      <c r="C27" s="141" t="s">
        <v>435</v>
      </c>
      <c r="D27" s="141"/>
      <c r="E27" s="141"/>
      <c r="F27" s="142" t="s">
        <v>434</v>
      </c>
      <c r="G27" s="118"/>
      <c r="H27" s="79"/>
    </row>
    <row r="28" spans="1:8">
      <c r="A28" s="7"/>
      <c r="B28" s="7"/>
      <c r="C28" s="7"/>
      <c r="D28" s="7"/>
      <c r="E28" s="7"/>
      <c r="F28" s="7"/>
      <c r="G28" s="7"/>
      <c r="H28" s="7"/>
    </row>
    <row r="29" spans="1:8" ht="24" customHeight="1">
      <c r="A29" s="7"/>
      <c r="B29" s="144" t="s">
        <v>436</v>
      </c>
      <c r="C29" s="144"/>
      <c r="D29" s="144"/>
      <c r="E29" s="144"/>
      <c r="F29" s="144"/>
      <c r="G29" s="144"/>
      <c r="H29" s="144"/>
    </row>
    <row r="30" spans="1:8" ht="20" customHeight="1">
      <c r="A30" s="7"/>
      <c r="B30" s="85">
        <v>1</v>
      </c>
      <c r="C30" s="139" t="s">
        <v>437</v>
      </c>
      <c r="D30" s="139"/>
      <c r="E30" s="139"/>
      <c r="F30" s="140" t="s">
        <v>438</v>
      </c>
      <c r="G30" s="119"/>
      <c r="H30" s="86"/>
    </row>
    <row r="31" spans="1:8" ht="20" customHeight="1">
      <c r="A31" s="7"/>
      <c r="B31" s="78">
        <v>2</v>
      </c>
      <c r="C31" s="141" t="s">
        <v>439</v>
      </c>
      <c r="D31" s="141"/>
      <c r="E31" s="141"/>
      <c r="F31" s="142" t="s">
        <v>440</v>
      </c>
      <c r="G31" s="118"/>
      <c r="H31" s="79"/>
    </row>
    <row r="32" spans="1:8" ht="20" customHeight="1">
      <c r="A32" s="7"/>
      <c r="B32" s="85">
        <v>3</v>
      </c>
      <c r="C32" s="139" t="s">
        <v>441</v>
      </c>
      <c r="D32" s="139"/>
      <c r="E32" s="139"/>
      <c r="F32" s="140" t="s">
        <v>442</v>
      </c>
      <c r="G32" s="119"/>
      <c r="H32" s="86"/>
    </row>
    <row r="33" spans="1:8" ht="20" customHeight="1">
      <c r="A33" s="7"/>
      <c r="B33" s="78">
        <v>4</v>
      </c>
      <c r="C33" s="141" t="s">
        <v>443</v>
      </c>
      <c r="D33" s="141"/>
      <c r="E33" s="141"/>
      <c r="F33" s="142" t="s">
        <v>442</v>
      </c>
      <c r="G33" s="118"/>
      <c r="H33" s="79"/>
    </row>
    <row r="34" spans="1:8" ht="20" customHeight="1">
      <c r="A34" s="7"/>
      <c r="B34" s="85">
        <v>5</v>
      </c>
      <c r="C34" s="139" t="s">
        <v>444</v>
      </c>
      <c r="D34" s="139"/>
      <c r="E34" s="139"/>
      <c r="F34" s="140" t="s">
        <v>445</v>
      </c>
      <c r="G34" s="119"/>
      <c r="H34" s="86"/>
    </row>
    <row r="35" spans="1:8" ht="20" customHeight="1">
      <c r="A35" s="7"/>
      <c r="B35" s="78">
        <v>6</v>
      </c>
      <c r="C35" s="141" t="s">
        <v>446</v>
      </c>
      <c r="D35" s="141"/>
      <c r="E35" s="141"/>
      <c r="F35" s="142" t="s">
        <v>447</v>
      </c>
      <c r="G35" s="118"/>
      <c r="H35" s="79"/>
    </row>
    <row r="36" spans="1:8" ht="20" customHeight="1">
      <c r="A36" s="7"/>
      <c r="B36" s="85">
        <v>7</v>
      </c>
      <c r="C36" s="139" t="s">
        <v>448</v>
      </c>
      <c r="D36" s="139"/>
      <c r="E36" s="139"/>
      <c r="F36" s="140" t="s">
        <v>447</v>
      </c>
      <c r="G36" s="119"/>
      <c r="H36" s="86"/>
    </row>
    <row r="37" spans="1:8" ht="20" customHeight="1">
      <c r="A37" s="7"/>
      <c r="B37" s="78">
        <v>8</v>
      </c>
      <c r="C37" s="141" t="s">
        <v>449</v>
      </c>
      <c r="D37" s="141"/>
      <c r="E37" s="141"/>
      <c r="F37" s="142" t="s">
        <v>447</v>
      </c>
      <c r="G37" s="118"/>
      <c r="H37" s="79"/>
    </row>
    <row r="38" spans="1:8">
      <c r="A38" s="7"/>
      <c r="B38" s="7"/>
      <c r="C38" s="7"/>
      <c r="D38" s="7"/>
      <c r="E38" s="7"/>
      <c r="F38" s="7"/>
      <c r="G38" s="7"/>
      <c r="H38" s="7"/>
    </row>
    <row r="39" spans="1:8" ht="24" customHeight="1">
      <c r="A39" s="7"/>
      <c r="B39" s="145" t="s">
        <v>450</v>
      </c>
      <c r="C39" s="145"/>
      <c r="D39" s="145"/>
      <c r="E39" s="145"/>
      <c r="F39" s="145"/>
      <c r="G39" s="145"/>
      <c r="H39" s="145"/>
    </row>
    <row r="40" spans="1:8" ht="20" customHeight="1">
      <c r="A40" s="7"/>
      <c r="B40" s="85">
        <v>1</v>
      </c>
      <c r="C40" s="139" t="s">
        <v>451</v>
      </c>
      <c r="D40" s="139"/>
      <c r="E40" s="139"/>
      <c r="F40" s="140" t="s">
        <v>452</v>
      </c>
      <c r="G40" s="119"/>
      <c r="H40" s="86"/>
    </row>
    <row r="41" spans="1:8" ht="20" customHeight="1">
      <c r="A41" s="7"/>
      <c r="B41" s="78">
        <v>2</v>
      </c>
      <c r="C41" s="141" t="s">
        <v>453</v>
      </c>
      <c r="D41" s="141"/>
      <c r="E41" s="141"/>
      <c r="F41" s="142" t="s">
        <v>452</v>
      </c>
      <c r="G41" s="118"/>
      <c r="H41" s="79"/>
    </row>
    <row r="42" spans="1:8" ht="20" customHeight="1">
      <c r="A42" s="7"/>
      <c r="B42" s="85">
        <v>3</v>
      </c>
      <c r="C42" s="139" t="s">
        <v>454</v>
      </c>
      <c r="D42" s="139"/>
      <c r="E42" s="139"/>
      <c r="F42" s="140" t="s">
        <v>452</v>
      </c>
      <c r="G42" s="119"/>
      <c r="H42" s="86"/>
    </row>
    <row r="43" spans="1:8" ht="20" customHeight="1">
      <c r="A43" s="7"/>
      <c r="B43" s="78">
        <v>4</v>
      </c>
      <c r="C43" s="141" t="s">
        <v>455</v>
      </c>
      <c r="D43" s="141"/>
      <c r="E43" s="141"/>
      <c r="F43" s="142" t="s">
        <v>452</v>
      </c>
      <c r="G43" s="118"/>
      <c r="H43" s="79"/>
    </row>
    <row r="44" spans="1:8" ht="20" customHeight="1">
      <c r="A44" s="7"/>
      <c r="B44" s="85">
        <v>5</v>
      </c>
      <c r="C44" s="139" t="s">
        <v>456</v>
      </c>
      <c r="D44" s="139"/>
      <c r="E44" s="139"/>
      <c r="F44" s="140" t="s">
        <v>457</v>
      </c>
      <c r="G44" s="119"/>
      <c r="H44" s="86"/>
    </row>
    <row r="45" spans="1:8" ht="20" customHeight="1">
      <c r="A45" s="7"/>
      <c r="B45" s="78">
        <v>6</v>
      </c>
      <c r="C45" s="141" t="s">
        <v>458</v>
      </c>
      <c r="D45" s="141"/>
      <c r="E45" s="141"/>
      <c r="F45" s="142" t="s">
        <v>457</v>
      </c>
      <c r="G45" s="118"/>
      <c r="H45" s="79"/>
    </row>
    <row r="46" spans="1:8" ht="20" customHeight="1">
      <c r="A46" s="7"/>
      <c r="B46" s="85">
        <v>7</v>
      </c>
      <c r="C46" s="139" t="s">
        <v>459</v>
      </c>
      <c r="D46" s="139"/>
      <c r="E46" s="139"/>
      <c r="F46" s="140" t="s">
        <v>457</v>
      </c>
      <c r="G46" s="119"/>
      <c r="H46" s="86"/>
    </row>
    <row r="47" spans="1:8" ht="20" customHeight="1">
      <c r="A47" s="7"/>
      <c r="B47" s="78">
        <v>8</v>
      </c>
      <c r="C47" s="141" t="s">
        <v>460</v>
      </c>
      <c r="D47" s="141"/>
      <c r="E47" s="141"/>
      <c r="F47" s="142" t="s">
        <v>461</v>
      </c>
      <c r="G47" s="118"/>
      <c r="H47" s="79"/>
    </row>
    <row r="48" spans="1:8" ht="20" customHeight="1">
      <c r="A48" s="7"/>
      <c r="B48" s="21" t="s">
        <v>462</v>
      </c>
      <c r="C48" s="21"/>
      <c r="D48" s="21"/>
      <c r="E48" s="21"/>
      <c r="F48" s="21"/>
      <c r="G48" s="21"/>
      <c r="H48" s="21"/>
    </row>
    <row r="49" spans="1:8" ht="20" customHeight="1">
      <c r="A49" s="7"/>
      <c r="B49" s="21"/>
      <c r="C49" s="21"/>
      <c r="D49" s="21"/>
      <c r="E49" s="21"/>
      <c r="F49" s="21"/>
      <c r="G49" s="21"/>
      <c r="H49" s="21"/>
    </row>
    <row r="50" spans="1:8">
      <c r="A50" s="7"/>
      <c r="B50" s="7"/>
      <c r="C50" s="7"/>
      <c r="D50" s="7"/>
      <c r="E50" s="7"/>
      <c r="F50" s="7"/>
      <c r="G50" s="7"/>
      <c r="H50" s="7"/>
    </row>
    <row r="51" spans="1:8" ht="24" customHeight="1">
      <c r="A51" s="7"/>
      <c r="B51" s="26" t="s">
        <v>199</v>
      </c>
      <c r="C51" s="26"/>
      <c r="D51" s="27" t="s">
        <v>165</v>
      </c>
      <c r="E51" s="27"/>
      <c r="F51" s="28" t="s">
        <v>166</v>
      </c>
      <c r="G51" s="28"/>
      <c r="H51" s="7"/>
    </row>
    <row r="52" spans="1:8" ht="24" customHeight="1">
      <c r="A52" s="7"/>
      <c r="B52" s="29" t="s">
        <v>4</v>
      </c>
      <c r="C52" s="29"/>
      <c r="D52" s="30" t="s">
        <v>167</v>
      </c>
      <c r="E52" s="30"/>
      <c r="F52" s="31" t="s">
        <v>168</v>
      </c>
      <c r="G52" s="31"/>
      <c r="H52" s="7"/>
    </row>
    <row r="53" spans="1:8" ht="24" customHeight="1">
      <c r="A53" s="7"/>
      <c r="B53" s="32" t="s">
        <v>169</v>
      </c>
      <c r="C53" s="32"/>
      <c r="D53" s="33" t="s">
        <v>170</v>
      </c>
      <c r="E53" s="33"/>
      <c r="F53" s="27" t="s">
        <v>2</v>
      </c>
      <c r="G53" s="27"/>
      <c r="H53" s="7"/>
    </row>
    <row r="54" spans="1:8" ht="24" customHeight="1">
      <c r="A54" s="7"/>
      <c r="B54" s="29" t="s">
        <v>171</v>
      </c>
      <c r="C54" s="29"/>
      <c r="D54" s="26" t="s">
        <v>172</v>
      </c>
      <c r="E54" s="26"/>
      <c r="F54" s="27" t="s">
        <v>173</v>
      </c>
      <c r="G54" s="27"/>
      <c r="H54" s="7"/>
    </row>
    <row r="55" spans="1:8" ht="24" customHeight="1">
      <c r="A55" s="7"/>
      <c r="B55" s="28" t="s">
        <v>174</v>
      </c>
      <c r="C55" s="28"/>
      <c r="D55" s="29" t="s">
        <v>175</v>
      </c>
      <c r="E55" s="29"/>
      <c r="F55" s="30" t="s">
        <v>176</v>
      </c>
      <c r="G55" s="30"/>
      <c r="H55" s="7"/>
    </row>
    <row r="56" spans="1:8" ht="24" customHeight="1">
      <c r="A56" s="7"/>
      <c r="B56" s="31" t="s">
        <v>177</v>
      </c>
      <c r="C56" s="31"/>
      <c r="D56" s="32" t="s">
        <v>463</v>
      </c>
      <c r="E56" s="32"/>
      <c r="F56" s="33" t="s">
        <v>56</v>
      </c>
      <c r="G56" s="33"/>
      <c r="H56" s="7"/>
    </row>
    <row r="57" spans="1:8" ht="24" customHeight="1">
      <c r="A57" s="7"/>
      <c r="B57" s="27" t="s">
        <v>179</v>
      </c>
      <c r="C57" s="27"/>
      <c r="D57" s="7"/>
      <c r="E57" s="7"/>
      <c r="F57" s="7"/>
      <c r="G57" s="7"/>
      <c r="H57" s="7"/>
    </row>
    <row r="58" spans="1:8">
      <c r="A58" s="7"/>
      <c r="B58" s="7"/>
      <c r="C58" s="7"/>
      <c r="D58" s="7"/>
      <c r="E58" s="7"/>
      <c r="F58" s="7"/>
      <c r="G58" s="7"/>
      <c r="H58" s="7"/>
    </row>
  </sheetData>
  <mergeCells count="62">
    <mergeCell ref="B2:E2"/>
    <mergeCell ref="B3:E3"/>
    <mergeCell ref="F3:H3"/>
    <mergeCell ref="B5:C5"/>
    <mergeCell ref="D5:E5"/>
    <mergeCell ref="F5:G5"/>
    <mergeCell ref="B9:H9"/>
    <mergeCell ref="C10:E10"/>
    <mergeCell ref="C11:E11"/>
    <mergeCell ref="C12:E12"/>
    <mergeCell ref="C13:E13"/>
    <mergeCell ref="C14:E14"/>
    <mergeCell ref="C15:E15"/>
    <mergeCell ref="C16:E16"/>
    <mergeCell ref="C17:E17"/>
    <mergeCell ref="B19:H19"/>
    <mergeCell ref="C20:E20"/>
    <mergeCell ref="C21:E21"/>
    <mergeCell ref="C22:E22"/>
    <mergeCell ref="C23:E23"/>
    <mergeCell ref="C24:E24"/>
    <mergeCell ref="C25:E25"/>
    <mergeCell ref="C26:E26"/>
    <mergeCell ref="C27:E27"/>
    <mergeCell ref="B29:H29"/>
    <mergeCell ref="C30:E30"/>
    <mergeCell ref="C31:E31"/>
    <mergeCell ref="C32:E32"/>
    <mergeCell ref="C33:E33"/>
    <mergeCell ref="C34:E34"/>
    <mergeCell ref="C35:E35"/>
    <mergeCell ref="C36:E36"/>
    <mergeCell ref="C37:E37"/>
    <mergeCell ref="B39:H39"/>
    <mergeCell ref="C40:E40"/>
    <mergeCell ref="C41:E41"/>
    <mergeCell ref="C42:E42"/>
    <mergeCell ref="C43:E43"/>
    <mergeCell ref="C44:E44"/>
    <mergeCell ref="C45:E45"/>
    <mergeCell ref="C46:E46"/>
    <mergeCell ref="C47:E47"/>
    <mergeCell ref="B48:H49"/>
    <mergeCell ref="B51:C51"/>
    <mergeCell ref="D51:E51"/>
    <mergeCell ref="F51:G51"/>
    <mergeCell ref="B52:C52"/>
    <mergeCell ref="D52:E52"/>
    <mergeCell ref="F52:G52"/>
    <mergeCell ref="B53:C53"/>
    <mergeCell ref="D53:E53"/>
    <mergeCell ref="F53:G53"/>
    <mergeCell ref="B54:C54"/>
    <mergeCell ref="D54:E54"/>
    <mergeCell ref="F54:G54"/>
    <mergeCell ref="B55:C55"/>
    <mergeCell ref="D55:E55"/>
    <mergeCell ref="F55:G55"/>
    <mergeCell ref="B56:C56"/>
    <mergeCell ref="D56:E56"/>
    <mergeCell ref="F56:G56"/>
    <mergeCell ref="B57:C57"/>
  </mergeCells>
  <conditionalFormatting sqref="C10:G17">
    <cfRule type="expression" dxfId="2" priority="1">
      <formula>$G10="✓"</formula>
    </cfRule>
  </conditionalFormatting>
  <conditionalFormatting sqref="C20:G27">
    <cfRule type="expression" dxfId="2" priority="3">
      <formula>$G20="✓"</formula>
    </cfRule>
  </conditionalFormatting>
  <conditionalFormatting sqref="C30:G37">
    <cfRule type="expression" dxfId="2" priority="5">
      <formula>$G30="✓"</formula>
    </cfRule>
  </conditionalFormatting>
  <conditionalFormatting sqref="C40:G47">
    <cfRule type="expression" dxfId="2" priority="7">
      <formula>$G40="✓"</formula>
    </cfRule>
  </conditionalFormatting>
  <conditionalFormatting sqref="G10:G17">
    <cfRule type="expression" dxfId="13" priority="2">
      <formula>$G10="✓"</formula>
    </cfRule>
  </conditionalFormatting>
  <conditionalFormatting sqref="G20:G27">
    <cfRule type="expression" dxfId="13" priority="4">
      <formula>$G20="✓"</formula>
    </cfRule>
  </conditionalFormatting>
  <conditionalFormatting sqref="G30:G37">
    <cfRule type="expression" dxfId="13" priority="6">
      <formula>$G30="✓"</formula>
    </cfRule>
  </conditionalFormatting>
  <conditionalFormatting sqref="G40:G47">
    <cfRule type="expression" dxfId="13" priority="8">
      <formula>$G40="✓"</formula>
    </cfRule>
  </conditionalFormatting>
  <dataValidations count="4">
    <dataValidation type="list" allowBlank="1" showInputMessage="1" showErrorMessage="1" promptTitle="Done?" prompt="Pick ✓ from the dropdown when done." sqref="G10:G17">
      <formula1>Tick</formula1>
    </dataValidation>
    <dataValidation type="list" allowBlank="1" showInputMessage="1" showErrorMessage="1" promptTitle="Done?" prompt="Pick ✓ from the dropdown when done." sqref="G20:G27">
      <formula1>Tick</formula1>
    </dataValidation>
    <dataValidation type="list" allowBlank="1" showInputMessage="1" showErrorMessage="1" promptTitle="Done?" prompt="Pick ✓ from the dropdown when done." sqref="G30:G37">
      <formula1>Tick</formula1>
    </dataValidation>
    <dataValidation type="list" allowBlank="1" showInputMessage="1" showErrorMessage="1" promptTitle="Done?" prompt="Pick ✓ from the dropdown when done." sqref="G40:G47">
      <formula1>Tick</formula1>
    </dataValidation>
  </dataValidations>
  <hyperlinks>
    <hyperlink ref="F3" location="'📊 Dashboard'!A1" display="🏠  Back to Dashboard"/>
    <hyperlink ref="B51" location="'⚙️ Setup'!A1" display="Setup"/>
    <hyperlink ref="D51" location="'📊 Dashboard'!A1" display="🏠 Home"/>
    <hyperlink ref="F51" location="'👥 Clients'!A1" display="Clients"/>
    <hyperlink ref="B52" location="'📅 Events'!A1" display="Events"/>
    <hyperlink ref="D52" location="'🧮 Quote Calculator'!A1" display="Quote"/>
    <hyperlink ref="F52" location="'🍽️ Menu Costing'!A1" display="Menu"/>
    <hyperlink ref="B53" location="'📦 Inventory'!A1" display="Stock"/>
    <hyperlink ref="D53" location="'🛒 Shopping List'!A1" display="Shop"/>
    <hyperlink ref="F53" location="'💸 Expenses'!A1" display="Expenses"/>
    <hyperlink ref="B54" location="'💰 Payments'!A1" display="Payments"/>
    <hyperlink ref="D54" location="'👷 Staff &amp; Labor'!A1" display="Staff"/>
    <hyperlink ref="F54" location="'🍳 Equipment'!A1" display="Equip"/>
    <hyperlink ref="B55" location="'🚚 Suppliers'!A1" display="Suppliers"/>
    <hyperlink ref="D55" location="'📆 Event Calendar'!A1" display="Calendar"/>
    <hyperlink ref="F55" location="'📈 P&amp;L &amp; Reports'!A1" display="P&amp;L"/>
    <hyperlink ref="B56" location="'🧾 Tax Tracker'!A1" display="Tax"/>
    <hyperlink ref="D56" location="'✅ Checklists'!A1" display="▶ Checks"/>
    <hyperlink ref="F56" location="'🖨️ Invoice &amp; Proposal'!A1" display="Invoice"/>
    <hyperlink ref="B57" location="'📖 Start Here'!A1" display="Help"/>
  </hyperlinks>
  <pageMargins left="0.4" right="0.4" top="0.5" bottom="0.5" header="0.3" footer="0.3"/>
  <pageSetup paperSize="9" fitToHeight="0" orientation="portrait"/>
  <headerFooter>
    <oddHeader>&amp;L&amp;"Calibri,Bold"&amp;11Catering Business Manager&amp;R&amp;"Calibri,Italic"&amp;9Page &amp;P of &amp;N</oddHeader>
    <oddFooter>&amp;C&amp;"Calibri,Italic"&amp;8&amp;A  •  Ultimate Catering Business Spreadsheet v1.0  •  personal licence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>
    <tabColor rgb="FFB4652F"/>
    <pageSetUpPr fitToPage="1"/>
  </sheetPr>
  <dimension ref="A1:H67"/>
  <sheetViews>
    <sheetView showGridLines="0" workbookViewId="0"/>
  </sheetViews>
  <sheetFormatPr defaultRowHeight="15"/>
  <cols>
    <col min="1" max="1" width="3.28515625" customWidth="1"/>
    <col min="2" max="2" width="16.7109375" customWidth="1"/>
    <col min="3" max="3" width="16.7109375" customWidth="1"/>
    <col min="4" max="4" width="16.7109375" customWidth="1"/>
    <col min="5" max="5" width="14.7109375" customWidth="1"/>
    <col min="6" max="6" width="14.7109375" customWidth="1"/>
    <col min="7" max="7" width="14.7109375" customWidth="1"/>
    <col min="8" max="8" width="14.7109375" customWidth="1"/>
  </cols>
  <sheetData>
    <row r="1" spans="1:8" ht="8" customHeight="1">
      <c r="A1" s="7"/>
      <c r="B1" s="7"/>
      <c r="C1" s="7"/>
      <c r="D1" s="7"/>
      <c r="E1" s="7"/>
      <c r="F1" s="7"/>
      <c r="G1" s="7"/>
      <c r="H1" s="7"/>
    </row>
    <row r="2" spans="1:8" ht="40" customHeight="1">
      <c r="A2" s="7"/>
      <c r="B2" s="34" t="str">
        <f>"🍽️  "&amp;BusinessName</f>
        <v>🍽️  </v>
      </c>
      <c r="C2" s="34"/>
      <c r="D2" s="34"/>
      <c r="E2" s="34"/>
      <c r="F2" s="34"/>
      <c r="G2" s="34"/>
      <c r="H2" s="34"/>
    </row>
    <row r="3" spans="1:8" ht="22" customHeight="1">
      <c r="A3" s="7"/>
      <c r="B3" s="146" t="s">
        <v>464</v>
      </c>
      <c r="C3" s="146"/>
      <c r="D3" s="146"/>
      <c r="E3" s="146"/>
      <c r="F3" s="147" t="str">
        <f>"Issued: "&amp;TEXT(TODAY(),"dd mmm yyyy")</f>
        <v>Issued: </v>
      </c>
      <c r="G3" s="147"/>
      <c r="H3" s="147"/>
    </row>
    <row r="4" spans="1:8" ht="8" customHeight="1">
      <c r="A4" s="7"/>
      <c r="B4" s="7"/>
      <c r="C4" s="7"/>
      <c r="D4" s="7"/>
      <c r="E4" s="7"/>
      <c r="F4" s="7"/>
      <c r="G4" s="7"/>
      <c r="H4" s="7"/>
    </row>
    <row r="5" spans="1:8">
      <c r="A5" s="7"/>
      <c r="B5" s="7"/>
      <c r="C5" s="7"/>
      <c r="D5" s="7"/>
      <c r="E5" s="7"/>
      <c r="F5" s="7"/>
      <c r="G5" s="7"/>
      <c r="H5" s="7"/>
    </row>
    <row r="6" spans="1:8" ht="8" customHeight="1">
      <c r="A6" s="7"/>
      <c r="B6" s="7"/>
      <c r="C6" s="7"/>
      <c r="D6" s="7"/>
      <c r="E6" s="7"/>
      <c r="F6" s="7"/>
      <c r="G6" s="7"/>
      <c r="H6" s="7"/>
    </row>
    <row r="7" spans="1:8">
      <c r="A7" s="7"/>
      <c r="B7" s="7"/>
      <c r="C7" s="7"/>
      <c r="D7" s="7"/>
      <c r="E7" s="7"/>
      <c r="F7" s="7"/>
      <c r="G7" s="7"/>
      <c r="H7" s="7"/>
    </row>
    <row r="8" spans="1:8">
      <c r="A8" s="7"/>
      <c r="B8" s="7"/>
      <c r="C8" s="7"/>
      <c r="D8" s="7"/>
      <c r="E8" s="7"/>
      <c r="F8" s="7"/>
      <c r="G8" s="7"/>
      <c r="H8" s="7"/>
    </row>
    <row r="9" spans="1:8" ht="22" customHeight="1">
      <c r="A9" s="7"/>
      <c r="B9" s="66" t="s">
        <v>465</v>
      </c>
      <c r="C9" s="66"/>
      <c r="D9" s="66"/>
      <c r="E9" s="66"/>
      <c r="F9" s="66"/>
      <c r="G9" s="66"/>
      <c r="H9" s="66"/>
    </row>
    <row r="10" spans="1:8" ht="32" customHeight="1">
      <c r="A10" s="7"/>
      <c r="B10" s="148" t="s">
        <v>220</v>
      </c>
      <c r="C10" s="148"/>
      <c r="D10" s="99"/>
      <c r="E10" s="99"/>
      <c r="F10" s="111" t="s">
        <v>466</v>
      </c>
      <c r="G10" s="111"/>
      <c r="H10" s="111"/>
    </row>
    <row r="11" spans="1:8">
      <c r="A11" s="7"/>
      <c r="B11" s="7"/>
      <c r="C11" s="7"/>
      <c r="D11" s="7"/>
      <c r="E11" s="7"/>
      <c r="F11" s="7"/>
      <c r="G11" s="7"/>
      <c r="H11" s="7"/>
    </row>
    <row r="12" spans="1:8" ht="22" customHeight="1">
      <c r="A12" s="7"/>
      <c r="B12" s="149" t="s">
        <v>48</v>
      </c>
      <c r="C12" s="149"/>
      <c r="D12" s="12">
        <f>IFERROR(INDEX('📅 Events'!$D$8:$D$47,MATCH($D$10,'📅 Events'!$C$8:$C$47,0)),"")</f>
        <v/>
      </c>
      <c r="E12" s="12"/>
      <c r="F12" s="149" t="s">
        <v>221</v>
      </c>
      <c r="G12" s="149"/>
      <c r="H12" s="150">
        <f>IFERROR(INDEX('📅 Events'!$E$8:$E$47,MATCH($D$10,'📅 Events'!$C$8:$C$47,0)),"")</f>
        <v/>
      </c>
    </row>
    <row r="13" spans="1:8" ht="22" customHeight="1">
      <c r="A13" s="7"/>
      <c r="B13" s="149" t="s">
        <v>30</v>
      </c>
      <c r="C13" s="149"/>
      <c r="D13" s="151">
        <f>IFERROR(INDEX('📅 Events'!$F$8:$F$47,MATCH($D$10,'📅 Events'!$C$8:$C$47,0)),"")</f>
        <v/>
      </c>
      <c r="E13" s="151"/>
      <c r="F13" s="149" t="s">
        <v>208</v>
      </c>
      <c r="G13" s="149"/>
      <c r="H13" s="151">
        <f>IFERROR(INDEX('📅 Events'!$G$8:$G$47,MATCH($D$10,'📅 Events'!$C$8:$C$47,0)),"")</f>
        <v/>
      </c>
    </row>
    <row r="14" spans="1:8" ht="22" customHeight="1">
      <c r="A14" s="7"/>
      <c r="B14" s="149" t="s">
        <v>168</v>
      </c>
      <c r="C14" s="149"/>
      <c r="D14" s="12">
        <f>IFERROR(INDEX('📅 Events'!$H$8:$H$47,MATCH($D$10,'📅 Events'!$C$8:$C$47,0)),"")</f>
        <v/>
      </c>
      <c r="E14" s="12"/>
      <c r="F14" s="12"/>
      <c r="G14" s="12"/>
      <c r="H14" s="12"/>
    </row>
    <row r="15" spans="1:8" ht="22" customHeight="1">
      <c r="A15" s="7"/>
      <c r="B15" s="149" t="s">
        <v>213</v>
      </c>
      <c r="C15" s="149"/>
      <c r="D15" s="12">
        <f>IFERROR(INDEX('📅 Events'!$R$8:$R$47,MATCH($D$10,'📅 Events'!$C$8:$C$47,0)),"")</f>
        <v/>
      </c>
      <c r="E15" s="12"/>
      <c r="F15" s="12"/>
      <c r="G15" s="12"/>
      <c r="H15" s="12"/>
    </row>
    <row r="16" spans="1:8" ht="8" customHeight="1">
      <c r="A16" s="7"/>
      <c r="B16" s="7"/>
      <c r="C16" s="7"/>
      <c r="D16" s="7"/>
      <c r="E16" s="7"/>
      <c r="F16" s="7"/>
      <c r="G16" s="7"/>
      <c r="H16" s="7"/>
    </row>
    <row r="17" spans="1:8" ht="22" customHeight="1">
      <c r="A17" s="7"/>
      <c r="B17" s="66" t="s">
        <v>467</v>
      </c>
      <c r="C17" s="66"/>
      <c r="D17" s="66"/>
      <c r="E17" s="66"/>
      <c r="F17" s="66"/>
      <c r="G17" s="66"/>
      <c r="H17" s="66"/>
    </row>
    <row r="18" spans="1:8" ht="22" customHeight="1">
      <c r="A18" s="7"/>
      <c r="B18" s="12" t="s">
        <v>468</v>
      </c>
      <c r="C18" s="12"/>
      <c r="D18" s="12"/>
      <c r="E18" s="12"/>
      <c r="F18" s="152">
        <f>IFERROR(INDEX('📅 Events'!$L$8:$L$47,MATCH($D$10,'📅 Events'!$C$8:$C$47,0)),"")</f>
        <v/>
      </c>
      <c r="G18" s="152"/>
      <c r="H18" s="152"/>
    </row>
    <row r="19" spans="1:8" ht="22" customHeight="1">
      <c r="A19" s="7"/>
      <c r="B19" s="12" t="s">
        <v>469</v>
      </c>
      <c r="C19" s="12"/>
      <c r="D19" s="12"/>
      <c r="E19" s="12"/>
      <c r="F19" s="152">
        <f>IF($F$18="","",ROUND($F$18*TaxRate,2))</f>
        <v/>
      </c>
      <c r="G19" s="152"/>
      <c r="H19" s="152"/>
    </row>
    <row r="20" spans="1:8" ht="26" customHeight="1">
      <c r="A20" s="7"/>
      <c r="B20" s="153" t="s">
        <v>470</v>
      </c>
      <c r="C20" s="153"/>
      <c r="D20" s="153"/>
      <c r="E20" s="153"/>
      <c r="F20" s="154">
        <f>IF($F$18="","",$F$18+$F$19)</f>
        <v/>
      </c>
      <c r="G20" s="154"/>
      <c r="H20" s="154"/>
    </row>
    <row r="21" spans="1:8" ht="22" customHeight="1">
      <c r="A21" s="7"/>
      <c r="B21" s="12" t="s">
        <v>212</v>
      </c>
      <c r="C21" s="12"/>
      <c r="D21" s="12"/>
      <c r="E21" s="12"/>
      <c r="F21" s="152">
        <f>IFERROR(INDEX('📅 Events'!$O$8:$O$47,MATCH($D$10,'📅 Events'!$C$8:$C$47,0)),"")</f>
        <v/>
      </c>
      <c r="G21" s="152"/>
      <c r="H21" s="152"/>
    </row>
    <row r="22" spans="1:8" ht="26" customHeight="1">
      <c r="A22" s="7"/>
      <c r="B22" s="155" t="s">
        <v>471</v>
      </c>
      <c r="C22" s="155"/>
      <c r="D22" s="155"/>
      <c r="E22" s="155"/>
      <c r="F22" s="156">
        <f>IF($F$18="","",$F$20-$F$21)</f>
        <v/>
      </c>
      <c r="G22" s="156"/>
      <c r="H22" s="156"/>
    </row>
    <row r="23" spans="1:8">
      <c r="A23" s="7"/>
      <c r="B23" s="7"/>
      <c r="C23" s="7"/>
      <c r="D23" s="7"/>
      <c r="E23" s="7"/>
      <c r="F23" s="7"/>
      <c r="G23" s="7"/>
      <c r="H23" s="7"/>
    </row>
    <row r="24" spans="1:8" ht="32" customHeight="1">
      <c r="A24" s="7"/>
      <c r="B24" s="157">
        <f>IF($D$10="","",IF($F$22&lt;=0,"✅ PAID IN FULL","⏳ BALANCE DUE: "&amp;Currency&amp;TEXT($F$22,"#,##0")))</f>
        <v/>
      </c>
      <c r="C24" s="157"/>
      <c r="D24" s="157"/>
      <c r="E24" s="157"/>
      <c r="F24" s="157"/>
      <c r="G24" s="157"/>
      <c r="H24" s="157"/>
    </row>
    <row r="25" spans="1:8">
      <c r="A25" s="7"/>
      <c r="B25" s="7"/>
      <c r="C25" s="7"/>
      <c r="D25" s="7"/>
      <c r="E25" s="7"/>
      <c r="F25" s="7"/>
      <c r="G25" s="7"/>
      <c r="H25" s="7"/>
    </row>
    <row r="26" spans="1:8" ht="22" customHeight="1">
      <c r="A26" s="7"/>
      <c r="B26" s="66" t="s">
        <v>472</v>
      </c>
      <c r="C26" s="66"/>
      <c r="D26" s="66"/>
      <c r="E26" s="66"/>
      <c r="F26" s="66"/>
      <c r="G26" s="66"/>
      <c r="H26" s="66"/>
    </row>
    <row r="27" spans="1:8" ht="20" customHeight="1">
      <c r="A27" s="7"/>
      <c r="B27" s="158" t="s">
        <v>473</v>
      </c>
      <c r="C27" s="158"/>
      <c r="D27" s="158"/>
      <c r="E27" s="158"/>
      <c r="F27" s="158"/>
      <c r="G27" s="158"/>
      <c r="H27" s="158"/>
    </row>
    <row r="28" spans="1:8" ht="20" customHeight="1">
      <c r="A28" s="7"/>
      <c r="B28" s="158" t="s">
        <v>474</v>
      </c>
      <c r="C28" s="158"/>
      <c r="D28" s="158"/>
      <c r="E28" s="158"/>
      <c r="F28" s="158"/>
      <c r="G28" s="158"/>
      <c r="H28" s="158"/>
    </row>
    <row r="29" spans="1:8" ht="20" customHeight="1">
      <c r="A29" s="7"/>
      <c r="B29" s="158" t="s">
        <v>475</v>
      </c>
      <c r="C29" s="158"/>
      <c r="D29" s="158"/>
      <c r="E29" s="158"/>
      <c r="F29" s="158"/>
      <c r="G29" s="158"/>
      <c r="H29" s="158"/>
    </row>
    <row r="30" spans="1:8" ht="20" customHeight="1">
      <c r="A30" s="7"/>
      <c r="B30" s="158" t="s">
        <v>476</v>
      </c>
      <c r="C30" s="158"/>
      <c r="D30" s="158"/>
      <c r="E30" s="158"/>
      <c r="F30" s="158"/>
      <c r="G30" s="158"/>
      <c r="H30" s="158"/>
    </row>
    <row r="31" spans="1:8" ht="20" customHeight="1">
      <c r="A31" s="7"/>
      <c r="B31" s="158" t="s">
        <v>477</v>
      </c>
      <c r="C31" s="158"/>
      <c r="D31" s="158"/>
      <c r="E31" s="158"/>
      <c r="F31" s="158"/>
      <c r="G31" s="158"/>
      <c r="H31" s="158"/>
    </row>
    <row r="32" spans="1:8" ht="20" customHeight="1">
      <c r="A32" s="7"/>
      <c r="B32" s="158" t="s">
        <v>478</v>
      </c>
      <c r="C32" s="158"/>
      <c r="D32" s="158"/>
      <c r="E32" s="158"/>
      <c r="F32" s="158"/>
      <c r="G32" s="158"/>
      <c r="H32" s="158"/>
    </row>
    <row r="33" spans="1:8">
      <c r="A33" s="7"/>
      <c r="B33" s="7"/>
      <c r="C33" s="7"/>
      <c r="D33" s="7"/>
      <c r="E33" s="7"/>
      <c r="F33" s="7"/>
      <c r="G33" s="7"/>
      <c r="H33" s="7"/>
    </row>
    <row r="34" spans="1:8" ht="34" customHeight="1">
      <c r="A34" s="7"/>
      <c r="B34" s="159" t="s">
        <v>479</v>
      </c>
      <c r="C34" s="159"/>
      <c r="D34" s="159"/>
      <c r="E34" s="7"/>
      <c r="F34" s="159" t="s">
        <v>52</v>
      </c>
      <c r="G34" s="159"/>
      <c r="H34" s="159"/>
    </row>
    <row r="35" spans="1:8">
      <c r="A35" s="7"/>
      <c r="B35" s="7"/>
      <c r="C35" s="7"/>
      <c r="D35" s="7"/>
      <c r="E35" s="7"/>
      <c r="F35" s="7"/>
      <c r="G35" s="7"/>
      <c r="H35" s="7"/>
    </row>
    <row r="36" spans="1:8" ht="24" customHeight="1">
      <c r="A36" s="7"/>
      <c r="B36" s="160" t="str">
        <f>"Thank you for choosing "&amp;BusinessName&amp;" — we cannot wait to feed your guests!"</f>
        <v>Thank you for choosing  — we cannot wait to feed your guests!</v>
      </c>
      <c r="C36" s="160"/>
      <c r="D36" s="160"/>
      <c r="E36" s="160"/>
      <c r="F36" s="160"/>
      <c r="G36" s="160"/>
      <c r="H36" s="160"/>
    </row>
    <row r="37" spans="1:8">
      <c r="A37" s="7"/>
      <c r="B37" s="7"/>
      <c r="C37" s="7"/>
      <c r="D37" s="7"/>
      <c r="E37" s="7"/>
      <c r="F37" s="7"/>
      <c r="G37" s="7"/>
      <c r="H37" s="7"/>
    </row>
    <row r="38" spans="1:8" ht="24" customHeight="1">
      <c r="A38" s="7"/>
      <c r="B38" s="26" t="s">
        <v>199</v>
      </c>
      <c r="C38" s="26"/>
      <c r="D38" s="27" t="s">
        <v>165</v>
      </c>
      <c r="E38" s="27"/>
      <c r="F38" s="28" t="s">
        <v>166</v>
      </c>
      <c r="G38" s="28"/>
      <c r="H38" s="7"/>
    </row>
    <row r="39" spans="1:8" ht="24" customHeight="1">
      <c r="A39" s="7"/>
      <c r="B39" s="29" t="s">
        <v>4</v>
      </c>
      <c r="C39" s="29"/>
      <c r="D39" s="30" t="s">
        <v>167</v>
      </c>
      <c r="E39" s="30"/>
      <c r="F39" s="31" t="s">
        <v>168</v>
      </c>
      <c r="G39" s="31"/>
      <c r="H39" s="7"/>
    </row>
    <row r="40" spans="1:8" ht="24" customHeight="1">
      <c r="A40" s="7"/>
      <c r="B40" s="32" t="s">
        <v>169</v>
      </c>
      <c r="C40" s="32"/>
      <c r="D40" s="33" t="s">
        <v>170</v>
      </c>
      <c r="E40" s="33"/>
      <c r="F40" s="27" t="s">
        <v>2</v>
      </c>
      <c r="G40" s="27"/>
      <c r="H40" s="7"/>
    </row>
    <row r="41" spans="1:8" ht="24" customHeight="1">
      <c r="A41" s="7"/>
      <c r="B41" s="29" t="s">
        <v>171</v>
      </c>
      <c r="C41" s="29"/>
      <c r="D41" s="26" t="s">
        <v>172</v>
      </c>
      <c r="E41" s="26"/>
      <c r="F41" s="27" t="s">
        <v>173</v>
      </c>
      <c r="G41" s="27"/>
      <c r="H41" s="7"/>
    </row>
    <row r="42" spans="1:8" ht="24" customHeight="1">
      <c r="A42" s="7"/>
      <c r="B42" s="28" t="s">
        <v>174</v>
      </c>
      <c r="C42" s="28"/>
      <c r="D42" s="29" t="s">
        <v>175</v>
      </c>
      <c r="E42" s="29"/>
      <c r="F42" s="30" t="s">
        <v>176</v>
      </c>
      <c r="G42" s="30"/>
      <c r="H42" s="7"/>
    </row>
    <row r="43" spans="1:8" ht="24" customHeight="1">
      <c r="A43" s="7"/>
      <c r="B43" s="31" t="s">
        <v>177</v>
      </c>
      <c r="C43" s="31"/>
      <c r="D43" s="32" t="s">
        <v>178</v>
      </c>
      <c r="E43" s="32"/>
      <c r="F43" s="33" t="s">
        <v>480</v>
      </c>
      <c r="G43" s="33"/>
      <c r="H43" s="7"/>
    </row>
    <row r="44" spans="1:8" ht="24" customHeight="1">
      <c r="A44" s="7"/>
      <c r="B44" s="27" t="s">
        <v>179</v>
      </c>
      <c r="C44" s="27"/>
      <c r="D44" s="7"/>
      <c r="E44" s="7"/>
      <c r="F44" s="7"/>
      <c r="G44" s="7"/>
      <c r="H44" s="7"/>
    </row>
    <row r="45" spans="1:8">
      <c r="A45" s="7"/>
      <c r="B45" s="7"/>
      <c r="C45" s="7"/>
      <c r="D45" s="7"/>
      <c r="E45" s="7"/>
      <c r="F45" s="7"/>
      <c r="G45" s="7"/>
      <c r="H45" s="7"/>
    </row>
    <row r="46" spans="1:8">
      <c r="A46" s="7"/>
      <c r="B46" s="7"/>
      <c r="C46" s="7"/>
      <c r="D46" s="7"/>
      <c r="E46" s="7"/>
      <c r="F46" s="7"/>
      <c r="G46" s="7"/>
      <c r="H46" s="7"/>
    </row>
    <row r="47" spans="1:8">
      <c r="A47" s="7"/>
      <c r="B47" s="7"/>
      <c r="C47" s="7"/>
      <c r="D47" s="7"/>
      <c r="E47" s="7"/>
      <c r="F47" s="7"/>
      <c r="G47" s="7"/>
      <c r="H47" s="7"/>
    </row>
    <row r="48" spans="1:8">
      <c r="A48" s="7"/>
      <c r="B48" s="7"/>
      <c r="C48" s="7"/>
      <c r="D48" s="7"/>
      <c r="E48" s="7"/>
      <c r="F48" s="7"/>
      <c r="G48" s="7"/>
      <c r="H48" s="7"/>
    </row>
    <row r="49" spans="1:8">
      <c r="A49" s="7"/>
      <c r="B49" s="7"/>
      <c r="C49" s="7"/>
      <c r="D49" s="7"/>
      <c r="E49" s="7"/>
      <c r="F49" s="7"/>
      <c r="G49" s="7"/>
      <c r="H49" s="7"/>
    </row>
    <row r="50" spans="1:8">
      <c r="A50" s="7"/>
      <c r="B50" s="7"/>
      <c r="C50" s="7"/>
      <c r="D50" s="7"/>
      <c r="E50" s="7"/>
      <c r="F50" s="7"/>
      <c r="G50" s="7"/>
      <c r="H50" s="7"/>
    </row>
    <row r="51" spans="1:8">
      <c r="A51" s="7"/>
      <c r="B51" s="7"/>
      <c r="C51" s="7"/>
      <c r="D51" s="7"/>
      <c r="E51" s="7"/>
      <c r="F51" s="7"/>
      <c r="G51" s="7"/>
      <c r="H51" s="7"/>
    </row>
    <row r="52" spans="1:8">
      <c r="A52" s="7"/>
      <c r="B52" s="7"/>
      <c r="C52" s="7"/>
      <c r="D52" s="7"/>
      <c r="E52" s="7"/>
      <c r="F52" s="7"/>
      <c r="G52" s="7"/>
      <c r="H52" s="7"/>
    </row>
    <row r="53" spans="1:8">
      <c r="A53" s="7"/>
      <c r="B53" s="7"/>
      <c r="C53" s="7"/>
      <c r="D53" s="7"/>
      <c r="E53" s="7"/>
      <c r="F53" s="7"/>
      <c r="G53" s="7"/>
      <c r="H53" s="7"/>
    </row>
    <row r="54" spans="1:8">
      <c r="A54" s="7"/>
      <c r="B54" s="7"/>
      <c r="C54" s="7"/>
      <c r="D54" s="7"/>
      <c r="E54" s="7"/>
      <c r="F54" s="7"/>
      <c r="G54" s="7"/>
      <c r="H54" s="7"/>
    </row>
    <row r="55" spans="1:8">
      <c r="A55" s="7"/>
      <c r="B55" s="7"/>
      <c r="C55" s="7"/>
      <c r="D55" s="7"/>
      <c r="E55" s="7"/>
      <c r="F55" s="7"/>
      <c r="G55" s="7"/>
      <c r="H55" s="7"/>
    </row>
    <row r="56" spans="1:8">
      <c r="A56" s="7"/>
      <c r="B56" s="7"/>
      <c r="C56" s="7"/>
      <c r="D56" s="7"/>
      <c r="E56" s="7"/>
      <c r="F56" s="7"/>
      <c r="G56" s="7"/>
      <c r="H56" s="7"/>
    </row>
    <row r="57" spans="1:8">
      <c r="A57" s="7"/>
      <c r="B57" s="7"/>
      <c r="C57" s="7"/>
      <c r="D57" s="7"/>
      <c r="E57" s="7"/>
      <c r="F57" s="7"/>
      <c r="G57" s="7"/>
      <c r="H57" s="7"/>
    </row>
    <row r="58" spans="1:8">
      <c r="A58" s="7"/>
      <c r="B58" s="7"/>
      <c r="C58" s="7"/>
      <c r="D58" s="7"/>
      <c r="E58" s="7"/>
      <c r="F58" s="7"/>
      <c r="G58" s="7"/>
      <c r="H58" s="7"/>
    </row>
    <row r="59" spans="1:8">
      <c r="A59" s="7"/>
      <c r="B59" s="7"/>
      <c r="C59" s="7"/>
      <c r="D59" s="7"/>
      <c r="E59" s="7"/>
      <c r="F59" s="7"/>
      <c r="G59" s="7"/>
      <c r="H59" s="7"/>
    </row>
    <row r="60" spans="1:8">
      <c r="A60" s="7"/>
      <c r="B60" s="7"/>
      <c r="C60" s="7"/>
      <c r="D60" s="7"/>
      <c r="E60" s="7"/>
      <c r="F60" s="7"/>
      <c r="G60" s="7"/>
      <c r="H60" s="7"/>
    </row>
    <row r="61" spans="1:8">
      <c r="A61" s="7"/>
      <c r="B61" s="7"/>
      <c r="C61" s="7"/>
      <c r="D61" s="7"/>
      <c r="E61" s="7"/>
      <c r="F61" s="7"/>
      <c r="G61" s="7"/>
      <c r="H61" s="7"/>
    </row>
    <row r="62" spans="1:8">
      <c r="A62" s="7"/>
      <c r="B62" s="7"/>
      <c r="C62" s="7"/>
      <c r="D62" s="7"/>
      <c r="E62" s="7"/>
      <c r="F62" s="7"/>
      <c r="G62" s="7"/>
      <c r="H62" s="7"/>
    </row>
    <row r="63" spans="1:8">
      <c r="A63" s="7"/>
      <c r="B63" s="7"/>
      <c r="C63" s="7"/>
      <c r="D63" s="7"/>
      <c r="E63" s="7"/>
      <c r="F63" s="7"/>
      <c r="G63" s="7"/>
      <c r="H63" s="7"/>
    </row>
    <row r="64" spans="1:8">
      <c r="A64" s="7"/>
      <c r="B64" s="7"/>
      <c r="C64" s="7"/>
      <c r="D64" s="7"/>
      <c r="E64" s="7"/>
      <c r="F64" s="7"/>
      <c r="G64" s="7"/>
      <c r="H64" s="7"/>
    </row>
    <row r="65" spans="1:8">
      <c r="A65" s="7"/>
      <c r="B65" s="7"/>
      <c r="C65" s="7"/>
      <c r="D65" s="7"/>
      <c r="E65" s="7"/>
      <c r="F65" s="7"/>
      <c r="G65" s="7"/>
      <c r="H65" s="7"/>
    </row>
    <row r="66" spans="1:8">
      <c r="A66" s="7"/>
      <c r="B66" s="7"/>
      <c r="C66" s="7"/>
      <c r="D66" s="7"/>
      <c r="E66" s="7"/>
      <c r="F66" s="7"/>
      <c r="G66" s="7"/>
      <c r="H66" s="7"/>
    </row>
    <row r="67" spans="1:8">
      <c r="A67" s="7"/>
      <c r="B67" s="7"/>
      <c r="C67" s="7"/>
      <c r="D67" s="7"/>
      <c r="E67" s="7"/>
      <c r="F67" s="7"/>
      <c r="G67" s="7"/>
      <c r="H67" s="7"/>
    </row>
  </sheetData>
  <mergeCells count="58">
    <mergeCell ref="B2:H2"/>
    <mergeCell ref="B3:E3"/>
    <mergeCell ref="F3:H3"/>
    <mergeCell ref="B9:H9"/>
    <mergeCell ref="B10:C10"/>
    <mergeCell ref="D10:E10"/>
    <mergeCell ref="F10:H10"/>
    <mergeCell ref="B12:C12"/>
    <mergeCell ref="D12:E12"/>
    <mergeCell ref="F12:G12"/>
    <mergeCell ref="B13:C13"/>
    <mergeCell ref="D13:E13"/>
    <mergeCell ref="F13:G13"/>
    <mergeCell ref="B14:C14"/>
    <mergeCell ref="D14:H14"/>
    <mergeCell ref="B15:C15"/>
    <mergeCell ref="D15:H15"/>
    <mergeCell ref="B17:H17"/>
    <mergeCell ref="B18:E18"/>
    <mergeCell ref="F18:H18"/>
    <mergeCell ref="B19:E19"/>
    <mergeCell ref="F19:H19"/>
    <mergeCell ref="B20:E20"/>
    <mergeCell ref="F20:H20"/>
    <mergeCell ref="B21:E21"/>
    <mergeCell ref="F21:H21"/>
    <mergeCell ref="B22:E22"/>
    <mergeCell ref="F22:H22"/>
    <mergeCell ref="B24:H24"/>
    <mergeCell ref="B26:H26"/>
    <mergeCell ref="B27:H27"/>
    <mergeCell ref="B28:H28"/>
    <mergeCell ref="B29:H29"/>
    <mergeCell ref="B30:H30"/>
    <mergeCell ref="B31:H31"/>
    <mergeCell ref="B32:H32"/>
    <mergeCell ref="B34:D34"/>
    <mergeCell ref="F34:H34"/>
    <mergeCell ref="B36:H36"/>
    <mergeCell ref="B38:C38"/>
    <mergeCell ref="D38:E38"/>
    <mergeCell ref="F38:G38"/>
    <mergeCell ref="B39:C39"/>
    <mergeCell ref="D39:E39"/>
    <mergeCell ref="F39:G39"/>
    <mergeCell ref="B40:C40"/>
    <mergeCell ref="D40:E40"/>
    <mergeCell ref="F40:G40"/>
    <mergeCell ref="B41:C41"/>
    <mergeCell ref="D41:E41"/>
    <mergeCell ref="F41:G41"/>
    <mergeCell ref="B42:C42"/>
    <mergeCell ref="D42:E42"/>
    <mergeCell ref="F42:G42"/>
    <mergeCell ref="B43:C43"/>
    <mergeCell ref="D43:E43"/>
    <mergeCell ref="F43:G43"/>
    <mergeCell ref="B44:C44"/>
  </mergeCells>
  <conditionalFormatting sqref="B24:H24">
    <cfRule type="expression" dxfId="16" priority="1">
      <formula>ISNUMBER(SEARCH("PAID",$B$24))</formula>
    </cfRule>
    <cfRule type="expression" dxfId="17" priority="2">
      <formula>ISNUMBER(SEARCH("BALANCE",$B$24))</formula>
    </cfRule>
  </conditionalFormatting>
  <dataValidations count="1">
    <dataValidation type="list" allowBlank="1" showInputMessage="1" promptTitle="Event ID" prompt="Which event is this document for?" sqref="D10">
      <formula1>EventList</formula1>
    </dataValidation>
  </dataValidations>
  <hyperlinks>
    <hyperlink ref="B38" location="'⚙️ Setup'!A1" display="Setup"/>
    <hyperlink ref="D38" location="'📊 Dashboard'!A1" display="🏠 Home"/>
    <hyperlink ref="F38" location="'👥 Clients'!A1" display="Clients"/>
    <hyperlink ref="B39" location="'📅 Events'!A1" display="Events"/>
    <hyperlink ref="D39" location="'🧮 Quote Calculator'!A1" display="Quote"/>
    <hyperlink ref="F39" location="'🍽️ Menu Costing'!A1" display="Menu"/>
    <hyperlink ref="B40" location="'📦 Inventory'!A1" display="Stock"/>
    <hyperlink ref="D40" location="'🛒 Shopping List'!A1" display="Shop"/>
    <hyperlink ref="F40" location="'💸 Expenses'!A1" display="Expenses"/>
    <hyperlink ref="B41" location="'💰 Payments'!A1" display="Payments"/>
    <hyperlink ref="D41" location="'👷 Staff &amp; Labor'!A1" display="Staff"/>
    <hyperlink ref="F41" location="'🍳 Equipment'!A1" display="Equip"/>
    <hyperlink ref="B42" location="'🚚 Suppliers'!A1" display="Suppliers"/>
    <hyperlink ref="D42" location="'📆 Event Calendar'!A1" display="Calendar"/>
    <hyperlink ref="F42" location="'📈 P&amp;L &amp; Reports'!A1" display="P&amp;L"/>
    <hyperlink ref="B43" location="'🧾 Tax Tracker'!A1" display="Tax"/>
    <hyperlink ref="D43" location="'✅ Checklists'!A1" display="Checks"/>
    <hyperlink ref="F43" location="'🖨️ Invoice &amp; Proposal'!A1" display="▶ Invoice"/>
    <hyperlink ref="B44" location="'📖 Start Here'!A1" display="Help"/>
  </hyperlinks>
  <pageMargins left="0.4" right="0.4" top="0.5" bottom="0.5" header="0.3" footer="0.3"/>
  <pageSetup paperSize="9" fitToHeight="0" orientation="portrait"/>
  <headerFooter>
    <oddHeader>&amp;L&amp;"Calibri,Bold"&amp;11Catering Business Manager&amp;R&amp;"Calibri,Italic"&amp;9Page &amp;P of &amp;N</oddHeader>
    <oddFooter>&amp;C&amp;"Calibri,Italic"&amp;8&amp;A  •  Ultimate Catering Business Spreadsheet v1.0  •  personal licence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>
    <tabColor rgb="FF8B7C6B"/>
    <pageSetUpPr fitToPage="1"/>
  </sheetPr>
  <dimension ref="A1:J91"/>
  <sheetViews>
    <sheetView showGridLines="0" zoomScale="90" zoomScaleNormal="90" workbookViewId="0"/>
  </sheetViews>
  <sheetFormatPr defaultRowHeight="15"/>
  <cols>
    <col min="1" max="1" width="2.85546875" customWidth="1"/>
    <col min="2" max="2" width="4.7109375" customWidth="1"/>
    <col min="3" max="3" width="15.7109375" customWidth="1"/>
    <col min="4" max="4" width="15.7109375" customWidth="1"/>
    <col min="5" max="5" width="15.7109375" customWidth="1"/>
    <col min="6" max="6" width="15.7109375" customWidth="1"/>
    <col min="7" max="7" width="15.7109375" customWidth="1"/>
    <col min="8" max="8" width="15.7109375" customWidth="1"/>
    <col min="9" max="9" width="15.7109375" customWidth="1"/>
    <col min="10" max="10" width="15.7109375" customWidth="1"/>
  </cols>
  <sheetData>
    <row r="1" spans="1:10" ht="7" customHeight="1">
      <c r="A1" s="7"/>
      <c r="B1" s="7"/>
      <c r="C1" s="7"/>
      <c r="D1" s="7"/>
      <c r="E1" s="7"/>
      <c r="F1" s="7"/>
      <c r="G1" s="7"/>
      <c r="H1" s="7"/>
      <c r="I1" s="7"/>
      <c r="J1" s="7"/>
    </row>
    <row r="2" spans="1:10" ht="20" customHeight="1">
      <c r="A2" s="7"/>
      <c r="B2" s="161"/>
      <c r="C2" s="161"/>
      <c r="D2" s="161"/>
      <c r="E2" s="161"/>
      <c r="F2" s="161"/>
      <c r="G2" s="161"/>
      <c r="H2" s="161"/>
      <c r="I2" s="161"/>
      <c r="J2" s="161"/>
    </row>
    <row r="3" spans="1:10" ht="20" customHeight="1">
      <c r="A3" s="7"/>
      <c r="B3" s="161"/>
      <c r="C3" s="161"/>
      <c r="D3" s="161"/>
      <c r="E3" s="161"/>
      <c r="F3" s="161"/>
      <c r="G3" s="161"/>
      <c r="H3" s="161"/>
      <c r="I3" s="161"/>
      <c r="J3" s="161"/>
    </row>
    <row r="4" spans="1:10" ht="20" customHeight="1">
      <c r="A4" s="7"/>
      <c r="B4" s="161"/>
      <c r="C4" s="161"/>
      <c r="D4" s="161"/>
      <c r="E4" s="161"/>
      <c r="F4" s="161"/>
      <c r="G4" s="161"/>
      <c r="H4" s="161"/>
      <c r="I4" s="161"/>
      <c r="J4" s="161"/>
    </row>
    <row r="5" spans="1:10" ht="20" customHeight="1">
      <c r="A5" s="7"/>
      <c r="B5" s="161"/>
      <c r="C5" s="162" t="s">
        <v>481</v>
      </c>
      <c r="D5" s="162"/>
      <c r="E5" s="162"/>
      <c r="F5" s="162"/>
      <c r="G5" s="162"/>
      <c r="H5" s="161"/>
      <c r="I5" s="161"/>
      <c r="J5" s="161"/>
    </row>
    <row r="6" spans="1:10" ht="20" customHeight="1">
      <c r="A6" s="7"/>
      <c r="B6" s="161"/>
      <c r="C6" s="163" t="s">
        <v>482</v>
      </c>
      <c r="D6" s="163"/>
      <c r="E6" s="163"/>
      <c r="F6" s="163"/>
      <c r="G6" s="163"/>
      <c r="H6" s="161"/>
      <c r="I6" s="161"/>
      <c r="J6" s="161"/>
    </row>
    <row r="7" spans="1:10" ht="20" customHeight="1">
      <c r="A7" s="7"/>
      <c r="B7" s="161"/>
      <c r="C7" s="161"/>
      <c r="D7" s="161"/>
      <c r="E7" s="161"/>
      <c r="F7" s="161"/>
      <c r="G7" s="161"/>
      <c r="H7" s="161"/>
      <c r="I7" s="161"/>
      <c r="J7" s="161"/>
    </row>
    <row r="8" spans="1:10" ht="20" customHeight="1">
      <c r="A8" s="7"/>
      <c r="B8" s="161"/>
      <c r="C8" s="161"/>
      <c r="D8" s="161"/>
      <c r="E8" s="161"/>
      <c r="F8" s="161"/>
      <c r="G8" s="161"/>
      <c r="H8" s="161"/>
      <c r="I8" s="161"/>
      <c r="J8" s="161"/>
    </row>
    <row r="9" spans="1:10" ht="20" customHeight="1">
      <c r="A9" s="7"/>
      <c r="B9" s="161"/>
      <c r="C9" s="161"/>
      <c r="D9" s="161"/>
      <c r="E9" s="161"/>
      <c r="F9" s="161"/>
      <c r="G9" s="161"/>
      <c r="H9" s="161"/>
      <c r="I9" s="161"/>
      <c r="J9" s="161"/>
    </row>
    <row r="10" spans="1:10" ht="20" customHeight="1">
      <c r="A10" s="7"/>
      <c r="B10" s="161"/>
      <c r="C10" s="161"/>
      <c r="D10" s="161"/>
      <c r="E10" s="161"/>
      <c r="F10" s="161"/>
      <c r="G10" s="161"/>
      <c r="H10" s="161"/>
      <c r="I10" s="161"/>
      <c r="J10" s="161"/>
    </row>
    <row r="11" spans="1:10">
      <c r="A11" s="7"/>
      <c r="B11" s="7"/>
      <c r="C11" s="7"/>
      <c r="D11" s="7"/>
      <c r="E11" s="7"/>
      <c r="F11" s="7"/>
      <c r="G11" s="7"/>
      <c r="H11" s="7"/>
      <c r="I11" s="7"/>
      <c r="J11" s="7"/>
    </row>
    <row r="12" spans="1:10" ht="18" customHeight="1">
      <c r="A12" s="7"/>
      <c r="B12" s="7"/>
      <c r="C12" s="7"/>
      <c r="D12" s="7"/>
      <c r="E12" s="7"/>
      <c r="F12" s="7"/>
      <c r="G12" s="7"/>
      <c r="H12" s="10" t="s">
        <v>97</v>
      </c>
      <c r="I12" s="10"/>
      <c r="J12" s="10"/>
    </row>
    <row r="13" spans="1:10">
      <c r="A13" s="7"/>
      <c r="B13" s="7"/>
      <c r="C13" s="7"/>
      <c r="D13" s="7"/>
      <c r="E13" s="7"/>
      <c r="F13" s="7"/>
      <c r="G13" s="7"/>
      <c r="H13" s="7"/>
      <c r="I13" s="7"/>
      <c r="J13" s="7"/>
    </row>
    <row r="14" spans="1:10" ht="24" customHeight="1">
      <c r="A14" s="7"/>
      <c r="B14" s="11" t="s">
        <v>483</v>
      </c>
      <c r="C14" s="11"/>
      <c r="D14" s="11"/>
      <c r="E14" s="11"/>
      <c r="F14" s="11"/>
      <c r="G14" s="11"/>
      <c r="H14" s="11"/>
      <c r="I14" s="11"/>
      <c r="J14" s="11"/>
    </row>
    <row r="15" spans="1:10" ht="16" customHeight="1">
      <c r="A15" s="7"/>
      <c r="B15" s="164" t="s">
        <v>484</v>
      </c>
      <c r="C15" s="165" t="s">
        <v>485</v>
      </c>
      <c r="D15" s="165"/>
      <c r="E15" s="166" t="s">
        <v>486</v>
      </c>
      <c r="F15" s="166"/>
      <c r="G15" s="166"/>
      <c r="H15" s="166"/>
      <c r="I15" s="166"/>
      <c r="J15" s="166"/>
    </row>
    <row r="16" spans="1:10" ht="16" customHeight="1">
      <c r="A16" s="7"/>
      <c r="B16" s="164"/>
      <c r="C16" s="7"/>
      <c r="D16" s="7"/>
      <c r="E16" s="166"/>
      <c r="F16" s="166"/>
      <c r="G16" s="166"/>
      <c r="H16" s="166"/>
      <c r="I16" s="166"/>
      <c r="J16" s="166"/>
    </row>
    <row r="17" spans="1:10" ht="16" customHeight="1">
      <c r="A17" s="7"/>
      <c r="B17" s="164" t="s">
        <v>487</v>
      </c>
      <c r="C17" s="165" t="s">
        <v>488</v>
      </c>
      <c r="D17" s="165"/>
      <c r="E17" s="166" t="s">
        <v>489</v>
      </c>
      <c r="F17" s="166"/>
      <c r="G17" s="166"/>
      <c r="H17" s="166"/>
      <c r="I17" s="166"/>
      <c r="J17" s="166"/>
    </row>
    <row r="18" spans="1:10" ht="16" customHeight="1">
      <c r="A18" s="7"/>
      <c r="B18" s="164"/>
      <c r="C18" s="7"/>
      <c r="D18" s="7"/>
      <c r="E18" s="166"/>
      <c r="F18" s="166"/>
      <c r="G18" s="166"/>
      <c r="H18" s="166"/>
      <c r="I18" s="166"/>
      <c r="J18" s="166"/>
    </row>
    <row r="19" spans="1:10" ht="16" customHeight="1">
      <c r="A19" s="7"/>
      <c r="B19" s="164" t="s">
        <v>490</v>
      </c>
      <c r="C19" s="165" t="s">
        <v>491</v>
      </c>
      <c r="D19" s="165"/>
      <c r="E19" s="166" t="s">
        <v>492</v>
      </c>
      <c r="F19" s="166"/>
      <c r="G19" s="166"/>
      <c r="H19" s="166"/>
      <c r="I19" s="166"/>
      <c r="J19" s="166"/>
    </row>
    <row r="20" spans="1:10" ht="16" customHeight="1">
      <c r="A20" s="7"/>
      <c r="B20" s="164"/>
      <c r="C20" s="7"/>
      <c r="D20" s="7"/>
      <c r="E20" s="166"/>
      <c r="F20" s="166"/>
      <c r="G20" s="166"/>
      <c r="H20" s="166"/>
      <c r="I20" s="166"/>
      <c r="J20" s="166"/>
    </row>
    <row r="21" spans="1:10" ht="16" customHeight="1">
      <c r="A21" s="7"/>
      <c r="B21" s="164" t="s">
        <v>493</v>
      </c>
      <c r="C21" s="165" t="s">
        <v>494</v>
      </c>
      <c r="D21" s="165"/>
      <c r="E21" s="166" t="s">
        <v>495</v>
      </c>
      <c r="F21" s="166"/>
      <c r="G21" s="166"/>
      <c r="H21" s="166"/>
      <c r="I21" s="166"/>
      <c r="J21" s="166"/>
    </row>
    <row r="22" spans="1:10" ht="16" customHeight="1">
      <c r="A22" s="7"/>
      <c r="B22" s="164"/>
      <c r="C22" s="7"/>
      <c r="D22" s="7"/>
      <c r="E22" s="166"/>
      <c r="F22" s="166"/>
      <c r="G22" s="166"/>
      <c r="H22" s="166"/>
      <c r="I22" s="166"/>
      <c r="J22" s="166"/>
    </row>
    <row r="23" spans="1:10" ht="16" customHeight="1">
      <c r="A23" s="7"/>
      <c r="B23" s="164" t="s">
        <v>496</v>
      </c>
      <c r="C23" s="165" t="s">
        <v>497</v>
      </c>
      <c r="D23" s="165"/>
      <c r="E23" s="166" t="s">
        <v>498</v>
      </c>
      <c r="F23" s="166"/>
      <c r="G23" s="166"/>
      <c r="H23" s="166"/>
      <c r="I23" s="166"/>
      <c r="J23" s="166"/>
    </row>
    <row r="24" spans="1:10" ht="16" customHeight="1">
      <c r="A24" s="7"/>
      <c r="B24" s="164"/>
      <c r="C24" s="7"/>
      <c r="D24" s="7"/>
      <c r="E24" s="166"/>
      <c r="F24" s="166"/>
      <c r="G24" s="166"/>
      <c r="H24" s="166"/>
      <c r="I24" s="166"/>
      <c r="J24" s="166"/>
    </row>
    <row r="25" spans="1:10">
      <c r="A25" s="7"/>
      <c r="B25" s="7"/>
      <c r="C25" s="7"/>
      <c r="D25" s="7"/>
      <c r="E25" s="7"/>
      <c r="F25" s="7"/>
      <c r="G25" s="7"/>
      <c r="H25" s="7"/>
      <c r="I25" s="7"/>
      <c r="J25" s="7"/>
    </row>
    <row r="26" spans="1:10" ht="24" customHeight="1">
      <c r="A26" s="7"/>
      <c r="B26" s="11" t="s">
        <v>499</v>
      </c>
      <c r="C26" s="11"/>
      <c r="D26" s="11"/>
      <c r="E26" s="11"/>
      <c r="F26" s="11"/>
      <c r="G26" s="11"/>
      <c r="H26" s="11"/>
      <c r="I26" s="11"/>
      <c r="J26" s="11"/>
    </row>
    <row r="27" spans="1:10">
      <c r="A27" s="7"/>
      <c r="B27" s="167" t="s">
        <v>500</v>
      </c>
      <c r="C27" s="167"/>
      <c r="D27" s="167"/>
      <c r="E27" s="167"/>
      <c r="F27" s="167"/>
      <c r="G27" s="167"/>
      <c r="H27" s="167"/>
      <c r="I27" s="167"/>
      <c r="J27" s="167"/>
    </row>
    <row r="28" spans="1:10" ht="18" customHeight="1">
      <c r="A28" s="7"/>
      <c r="B28" s="7"/>
      <c r="C28" s="165" t="s">
        <v>501</v>
      </c>
      <c r="D28" s="165"/>
      <c r="E28" s="166" t="s">
        <v>502</v>
      </c>
      <c r="F28" s="166"/>
      <c r="G28" s="166"/>
      <c r="H28" s="166"/>
      <c r="I28" s="166"/>
      <c r="J28" s="166"/>
    </row>
    <row r="29" spans="1:10" ht="18" customHeight="1">
      <c r="A29" s="7"/>
      <c r="B29" s="7"/>
      <c r="C29" s="165" t="s">
        <v>503</v>
      </c>
      <c r="D29" s="165"/>
      <c r="E29" s="166" t="s">
        <v>504</v>
      </c>
      <c r="F29" s="166"/>
      <c r="G29" s="166"/>
      <c r="H29" s="166"/>
      <c r="I29" s="166"/>
      <c r="J29" s="166"/>
    </row>
    <row r="30" spans="1:10" ht="18" customHeight="1">
      <c r="A30" s="7"/>
      <c r="B30" s="7"/>
      <c r="C30" s="165" t="s">
        <v>505</v>
      </c>
      <c r="D30" s="165"/>
      <c r="E30" s="166" t="s">
        <v>506</v>
      </c>
      <c r="F30" s="166"/>
      <c r="G30" s="166"/>
      <c r="H30" s="166"/>
      <c r="I30" s="166"/>
      <c r="J30" s="166"/>
    </row>
    <row r="31" spans="1:10" ht="18" customHeight="1">
      <c r="A31" s="7"/>
      <c r="B31" s="7"/>
      <c r="C31" s="165" t="s">
        <v>507</v>
      </c>
      <c r="D31" s="165"/>
      <c r="E31" s="166" t="s">
        <v>508</v>
      </c>
      <c r="F31" s="166"/>
      <c r="G31" s="166"/>
      <c r="H31" s="166"/>
      <c r="I31" s="166"/>
      <c r="J31" s="166"/>
    </row>
    <row r="32" spans="1:10" ht="18" customHeight="1">
      <c r="A32" s="7"/>
      <c r="B32" s="7"/>
      <c r="C32" s="165" t="s">
        <v>509</v>
      </c>
      <c r="D32" s="165"/>
      <c r="E32" s="166" t="s">
        <v>510</v>
      </c>
      <c r="F32" s="166"/>
      <c r="G32" s="166"/>
      <c r="H32" s="166"/>
      <c r="I32" s="166"/>
      <c r="J32" s="166"/>
    </row>
    <row r="33" spans="1:10" ht="18" customHeight="1">
      <c r="A33" s="7"/>
      <c r="B33" s="7"/>
      <c r="C33" s="165" t="s">
        <v>511</v>
      </c>
      <c r="D33" s="165"/>
      <c r="E33" s="166" t="s">
        <v>512</v>
      </c>
      <c r="F33" s="166"/>
      <c r="G33" s="166"/>
      <c r="H33" s="166"/>
      <c r="I33" s="166"/>
      <c r="J33" s="166"/>
    </row>
    <row r="34" spans="1:10" ht="18" customHeight="1">
      <c r="A34" s="7"/>
      <c r="B34" s="7"/>
      <c r="C34" s="165" t="s">
        <v>513</v>
      </c>
      <c r="D34" s="165"/>
      <c r="E34" s="166" t="s">
        <v>514</v>
      </c>
      <c r="F34" s="166"/>
      <c r="G34" s="166"/>
      <c r="H34" s="166"/>
      <c r="I34" s="166"/>
      <c r="J34" s="166"/>
    </row>
    <row r="35" spans="1:10" ht="18" customHeight="1">
      <c r="A35" s="7"/>
      <c r="B35" s="7"/>
      <c r="C35" s="165" t="s">
        <v>515</v>
      </c>
      <c r="D35" s="165"/>
      <c r="E35" s="166" t="s">
        <v>516</v>
      </c>
      <c r="F35" s="166"/>
      <c r="G35" s="166"/>
      <c r="H35" s="166"/>
      <c r="I35" s="166"/>
      <c r="J35" s="166"/>
    </row>
    <row r="36" spans="1:10" ht="18" customHeight="1">
      <c r="A36" s="7"/>
      <c r="B36" s="7"/>
      <c r="C36" s="165" t="s">
        <v>517</v>
      </c>
      <c r="D36" s="165"/>
      <c r="E36" s="166" t="s">
        <v>518</v>
      </c>
      <c r="F36" s="166"/>
      <c r="G36" s="166"/>
      <c r="H36" s="166"/>
      <c r="I36" s="166"/>
      <c r="J36" s="166"/>
    </row>
    <row r="37" spans="1:10" ht="18" customHeight="1">
      <c r="A37" s="7"/>
      <c r="B37" s="7"/>
      <c r="C37" s="165" t="s">
        <v>519</v>
      </c>
      <c r="D37" s="165"/>
      <c r="E37" s="166" t="s">
        <v>520</v>
      </c>
      <c r="F37" s="166"/>
      <c r="G37" s="166"/>
      <c r="H37" s="166"/>
      <c r="I37" s="166"/>
      <c r="J37" s="166"/>
    </row>
    <row r="38" spans="1:10" ht="18" customHeight="1">
      <c r="A38" s="7"/>
      <c r="B38" s="7"/>
      <c r="C38" s="165" t="s">
        <v>521</v>
      </c>
      <c r="D38" s="165"/>
      <c r="E38" s="166" t="s">
        <v>522</v>
      </c>
      <c r="F38" s="166"/>
      <c r="G38" s="166"/>
      <c r="H38" s="166"/>
      <c r="I38" s="166"/>
      <c r="J38" s="166"/>
    </row>
    <row r="39" spans="1:10" ht="18" customHeight="1">
      <c r="A39" s="7"/>
      <c r="B39" s="7"/>
      <c r="C39" s="165" t="s">
        <v>523</v>
      </c>
      <c r="D39" s="165"/>
      <c r="E39" s="166" t="s">
        <v>524</v>
      </c>
      <c r="F39" s="166"/>
      <c r="G39" s="166"/>
      <c r="H39" s="166"/>
      <c r="I39" s="166"/>
      <c r="J39" s="166"/>
    </row>
    <row r="40" spans="1:10" ht="18" customHeight="1">
      <c r="A40" s="7"/>
      <c r="B40" s="7"/>
      <c r="C40" s="165" t="s">
        <v>525</v>
      </c>
      <c r="D40" s="165"/>
      <c r="E40" s="166" t="s">
        <v>526</v>
      </c>
      <c r="F40" s="166"/>
      <c r="G40" s="166"/>
      <c r="H40" s="166"/>
      <c r="I40" s="166"/>
      <c r="J40" s="166"/>
    </row>
    <row r="41" spans="1:10" ht="18" customHeight="1">
      <c r="A41" s="7"/>
      <c r="B41" s="7"/>
      <c r="C41" s="165" t="s">
        <v>527</v>
      </c>
      <c r="D41" s="165"/>
      <c r="E41" s="166" t="s">
        <v>528</v>
      </c>
      <c r="F41" s="166"/>
      <c r="G41" s="166"/>
      <c r="H41" s="166"/>
      <c r="I41" s="166"/>
      <c r="J41" s="166"/>
    </row>
    <row r="42" spans="1:10" ht="18" customHeight="1">
      <c r="A42" s="7"/>
      <c r="B42" s="7"/>
      <c r="C42" s="165" t="s">
        <v>529</v>
      </c>
      <c r="D42" s="165"/>
      <c r="E42" s="166" t="s">
        <v>530</v>
      </c>
      <c r="F42" s="166"/>
      <c r="G42" s="166"/>
      <c r="H42" s="166"/>
      <c r="I42" s="166"/>
      <c r="J42" s="166"/>
    </row>
    <row r="43" spans="1:10" ht="18" customHeight="1">
      <c r="A43" s="7"/>
      <c r="B43" s="7"/>
      <c r="C43" s="165" t="s">
        <v>531</v>
      </c>
      <c r="D43" s="165"/>
      <c r="E43" s="166" t="s">
        <v>532</v>
      </c>
      <c r="F43" s="166"/>
      <c r="G43" s="166"/>
      <c r="H43" s="166"/>
      <c r="I43" s="166"/>
      <c r="J43" s="166"/>
    </row>
    <row r="44" spans="1:10" ht="18" customHeight="1">
      <c r="A44" s="7"/>
      <c r="B44" s="7"/>
      <c r="C44" s="165" t="s">
        <v>533</v>
      </c>
      <c r="D44" s="165"/>
      <c r="E44" s="166" t="s">
        <v>534</v>
      </c>
      <c r="F44" s="166"/>
      <c r="G44" s="166"/>
      <c r="H44" s="166"/>
      <c r="I44" s="166"/>
      <c r="J44" s="166"/>
    </row>
    <row r="45" spans="1:10" ht="18" customHeight="1">
      <c r="A45" s="7"/>
      <c r="B45" s="7"/>
      <c r="C45" s="165" t="s">
        <v>535</v>
      </c>
      <c r="D45" s="165"/>
      <c r="E45" s="166" t="s">
        <v>536</v>
      </c>
      <c r="F45" s="166"/>
      <c r="G45" s="166"/>
      <c r="H45" s="166"/>
      <c r="I45" s="166"/>
      <c r="J45" s="166"/>
    </row>
    <row r="46" spans="1:10">
      <c r="A46" s="7"/>
      <c r="B46" s="7"/>
      <c r="C46" s="7"/>
      <c r="D46" s="7"/>
      <c r="E46" s="7"/>
      <c r="F46" s="7"/>
      <c r="G46" s="7"/>
      <c r="H46" s="7"/>
      <c r="I46" s="7"/>
      <c r="J46" s="7"/>
    </row>
    <row r="47" spans="1:10" ht="24" customHeight="1">
      <c r="A47" s="7"/>
      <c r="B47" s="11" t="s">
        <v>537</v>
      </c>
      <c r="C47" s="11"/>
      <c r="D47" s="11"/>
      <c r="E47" s="11"/>
      <c r="F47" s="11"/>
      <c r="G47" s="11"/>
      <c r="H47" s="11"/>
      <c r="I47" s="11"/>
      <c r="J47" s="11"/>
    </row>
    <row r="48" spans="1:10" ht="16" customHeight="1">
      <c r="A48" s="7"/>
      <c r="B48" s="168" t="s">
        <v>484</v>
      </c>
      <c r="C48" s="166" t="s">
        <v>538</v>
      </c>
      <c r="D48" s="166"/>
      <c r="E48" s="166"/>
      <c r="F48" s="166"/>
      <c r="G48" s="166"/>
      <c r="H48" s="166"/>
      <c r="I48" s="166"/>
      <c r="J48" s="166"/>
    </row>
    <row r="49" spans="1:10" ht="16" customHeight="1">
      <c r="A49" s="7"/>
      <c r="B49" s="168"/>
      <c r="C49" s="166"/>
      <c r="D49" s="166"/>
      <c r="E49" s="166"/>
      <c r="F49" s="166"/>
      <c r="G49" s="166"/>
      <c r="H49" s="166"/>
      <c r="I49" s="166"/>
      <c r="J49" s="166"/>
    </row>
    <row r="50" spans="1:10" ht="16" customHeight="1">
      <c r="A50" s="7"/>
      <c r="B50" s="168" t="s">
        <v>487</v>
      </c>
      <c r="C50" s="166" t="s">
        <v>539</v>
      </c>
      <c r="D50" s="166"/>
      <c r="E50" s="166"/>
      <c r="F50" s="166"/>
      <c r="G50" s="166"/>
      <c r="H50" s="166"/>
      <c r="I50" s="166"/>
      <c r="J50" s="166"/>
    </row>
    <row r="51" spans="1:10" ht="16" customHeight="1">
      <c r="A51" s="7"/>
      <c r="B51" s="168"/>
      <c r="C51" s="166"/>
      <c r="D51" s="166"/>
      <c r="E51" s="166"/>
      <c r="F51" s="166"/>
      <c r="G51" s="166"/>
      <c r="H51" s="166"/>
      <c r="I51" s="166"/>
      <c r="J51" s="166"/>
    </row>
    <row r="52" spans="1:10" ht="16" customHeight="1">
      <c r="A52" s="7"/>
      <c r="B52" s="168" t="s">
        <v>490</v>
      </c>
      <c r="C52" s="166" t="s">
        <v>540</v>
      </c>
      <c r="D52" s="166"/>
      <c r="E52" s="166"/>
      <c r="F52" s="166"/>
      <c r="G52" s="166"/>
      <c r="H52" s="166"/>
      <c r="I52" s="166"/>
      <c r="J52" s="166"/>
    </row>
    <row r="53" spans="1:10" ht="16" customHeight="1">
      <c r="A53" s="7"/>
      <c r="B53" s="168"/>
      <c r="C53" s="166"/>
      <c r="D53" s="166"/>
      <c r="E53" s="166"/>
      <c r="F53" s="166"/>
      <c r="G53" s="166"/>
      <c r="H53" s="166"/>
      <c r="I53" s="166"/>
      <c r="J53" s="166"/>
    </row>
    <row r="54" spans="1:10" ht="16" customHeight="1">
      <c r="A54" s="7"/>
      <c r="B54" s="168" t="s">
        <v>493</v>
      </c>
      <c r="C54" s="166" t="s">
        <v>541</v>
      </c>
      <c r="D54" s="166"/>
      <c r="E54" s="166"/>
      <c r="F54" s="166"/>
      <c r="G54" s="166"/>
      <c r="H54" s="166"/>
      <c r="I54" s="166"/>
      <c r="J54" s="166"/>
    </row>
    <row r="55" spans="1:10" ht="16" customHeight="1">
      <c r="A55" s="7"/>
      <c r="B55" s="168"/>
      <c r="C55" s="166"/>
      <c r="D55" s="166"/>
      <c r="E55" s="166"/>
      <c r="F55" s="166"/>
      <c r="G55" s="166"/>
      <c r="H55" s="166"/>
      <c r="I55" s="166"/>
      <c r="J55" s="166"/>
    </row>
    <row r="56" spans="1:10" ht="16" customHeight="1">
      <c r="A56" s="7"/>
      <c r="B56" s="168" t="s">
        <v>496</v>
      </c>
      <c r="C56" s="166" t="s">
        <v>542</v>
      </c>
      <c r="D56" s="166"/>
      <c r="E56" s="166"/>
      <c r="F56" s="166"/>
      <c r="G56" s="166"/>
      <c r="H56" s="166"/>
      <c r="I56" s="166"/>
      <c r="J56" s="166"/>
    </row>
    <row r="57" spans="1:10" ht="16" customHeight="1">
      <c r="A57" s="7"/>
      <c r="B57" s="168"/>
      <c r="C57" s="166"/>
      <c r="D57" s="166"/>
      <c r="E57" s="166"/>
      <c r="F57" s="166"/>
      <c r="G57" s="166"/>
      <c r="H57" s="166"/>
      <c r="I57" s="166"/>
      <c r="J57" s="166"/>
    </row>
    <row r="58" spans="1:10" ht="16" customHeight="1">
      <c r="A58" s="7"/>
      <c r="B58" s="168" t="s">
        <v>543</v>
      </c>
      <c r="C58" s="166" t="s">
        <v>544</v>
      </c>
      <c r="D58" s="166"/>
      <c r="E58" s="166"/>
      <c r="F58" s="166"/>
      <c r="G58" s="166"/>
      <c r="H58" s="166"/>
      <c r="I58" s="166"/>
      <c r="J58" s="166"/>
    </row>
    <row r="59" spans="1:10" ht="16" customHeight="1">
      <c r="A59" s="7"/>
      <c r="B59" s="168"/>
      <c r="C59" s="166"/>
      <c r="D59" s="166"/>
      <c r="E59" s="166"/>
      <c r="F59" s="166"/>
      <c r="G59" s="166"/>
      <c r="H59" s="166"/>
      <c r="I59" s="166"/>
      <c r="J59" s="166"/>
    </row>
    <row r="60" spans="1:10" ht="16" customHeight="1">
      <c r="A60" s="7"/>
      <c r="B60" s="168" t="s">
        <v>545</v>
      </c>
      <c r="C60" s="166" t="s">
        <v>546</v>
      </c>
      <c r="D60" s="166"/>
      <c r="E60" s="166"/>
      <c r="F60" s="166"/>
      <c r="G60" s="166"/>
      <c r="H60" s="166"/>
      <c r="I60" s="166"/>
      <c r="J60" s="166"/>
    </row>
    <row r="61" spans="1:10" ht="16" customHeight="1">
      <c r="A61" s="7"/>
      <c r="B61" s="168"/>
      <c r="C61" s="166"/>
      <c r="D61" s="166"/>
      <c r="E61" s="166"/>
      <c r="F61" s="166"/>
      <c r="G61" s="166"/>
      <c r="H61" s="166"/>
      <c r="I61" s="166"/>
      <c r="J61" s="166"/>
    </row>
    <row r="62" spans="1:10" ht="16" customHeight="1">
      <c r="A62" s="7"/>
      <c r="B62" s="168" t="s">
        <v>547</v>
      </c>
      <c r="C62" s="166" t="s">
        <v>548</v>
      </c>
      <c r="D62" s="166"/>
      <c r="E62" s="166"/>
      <c r="F62" s="166"/>
      <c r="G62" s="166"/>
      <c r="H62" s="166"/>
      <c r="I62" s="166"/>
      <c r="J62" s="166"/>
    </row>
    <row r="63" spans="1:10" ht="16" customHeight="1">
      <c r="A63" s="7"/>
      <c r="B63" s="168"/>
      <c r="C63" s="166"/>
      <c r="D63" s="166"/>
      <c r="E63" s="166"/>
      <c r="F63" s="166"/>
      <c r="G63" s="166"/>
      <c r="H63" s="166"/>
      <c r="I63" s="166"/>
      <c r="J63" s="166"/>
    </row>
    <row r="64" spans="1:10" ht="16" customHeight="1">
      <c r="A64" s="7"/>
      <c r="B64" s="168" t="s">
        <v>549</v>
      </c>
      <c r="C64" s="166" t="s">
        <v>550</v>
      </c>
      <c r="D64" s="166"/>
      <c r="E64" s="166"/>
      <c r="F64" s="166"/>
      <c r="G64" s="166"/>
      <c r="H64" s="166"/>
      <c r="I64" s="166"/>
      <c r="J64" s="166"/>
    </row>
    <row r="65" spans="1:10" ht="16" customHeight="1">
      <c r="A65" s="7"/>
      <c r="B65" s="168"/>
      <c r="C65" s="166"/>
      <c r="D65" s="166"/>
      <c r="E65" s="166"/>
      <c r="F65" s="166"/>
      <c r="G65" s="166"/>
      <c r="H65" s="166"/>
      <c r="I65" s="166"/>
      <c r="J65" s="166"/>
    </row>
    <row r="66" spans="1:10" ht="16" customHeight="1">
      <c r="A66" s="7"/>
      <c r="B66" s="168" t="s">
        <v>551</v>
      </c>
      <c r="C66" s="166" t="s">
        <v>552</v>
      </c>
      <c r="D66" s="166"/>
      <c r="E66" s="166"/>
      <c r="F66" s="166"/>
      <c r="G66" s="166"/>
      <c r="H66" s="166"/>
      <c r="I66" s="166"/>
      <c r="J66" s="166"/>
    </row>
    <row r="67" spans="1:10" ht="16" customHeight="1">
      <c r="A67" s="7"/>
      <c r="B67" s="168"/>
      <c r="C67" s="166"/>
      <c r="D67" s="166"/>
      <c r="E67" s="166"/>
      <c r="F67" s="166"/>
      <c r="G67" s="166"/>
      <c r="H67" s="166"/>
      <c r="I67" s="166"/>
      <c r="J67" s="166"/>
    </row>
    <row r="68" spans="1:10">
      <c r="A68" s="7"/>
      <c r="B68" s="7"/>
      <c r="C68" s="7"/>
      <c r="D68" s="7"/>
      <c r="E68" s="7"/>
      <c r="F68" s="7"/>
      <c r="G68" s="7"/>
      <c r="H68" s="7"/>
      <c r="I68" s="7"/>
      <c r="J68" s="7"/>
    </row>
    <row r="69" spans="1:10" ht="24" customHeight="1">
      <c r="A69" s="7"/>
      <c r="B69" s="11" t="s">
        <v>553</v>
      </c>
      <c r="C69" s="11"/>
      <c r="D69" s="11"/>
      <c r="E69" s="11"/>
      <c r="F69" s="11"/>
      <c r="G69" s="11"/>
      <c r="H69" s="11"/>
      <c r="I69" s="11"/>
      <c r="J69" s="11"/>
    </row>
    <row r="70" spans="1:10" ht="16" customHeight="1">
      <c r="A70" s="7"/>
      <c r="B70" s="169" t="s">
        <v>554</v>
      </c>
      <c r="C70" s="169"/>
      <c r="D70" s="169"/>
      <c r="E70" s="169"/>
      <c r="F70" s="169"/>
      <c r="G70" s="169"/>
      <c r="H70" s="169"/>
      <c r="I70" s="169"/>
      <c r="J70" s="169"/>
    </row>
    <row r="71" spans="1:10" ht="16" customHeight="1">
      <c r="A71" s="7"/>
      <c r="B71" s="169"/>
      <c r="C71" s="169"/>
      <c r="D71" s="169"/>
      <c r="E71" s="169"/>
      <c r="F71" s="169"/>
      <c r="G71" s="169"/>
      <c r="H71" s="169"/>
      <c r="I71" s="169"/>
      <c r="J71" s="169"/>
    </row>
    <row r="72" spans="1:10" ht="16" customHeight="1">
      <c r="A72" s="7"/>
      <c r="B72" s="169" t="s">
        <v>555</v>
      </c>
      <c r="C72" s="169"/>
      <c r="D72" s="169"/>
      <c r="E72" s="169"/>
      <c r="F72" s="169"/>
      <c r="G72" s="169"/>
      <c r="H72" s="169"/>
      <c r="I72" s="169"/>
      <c r="J72" s="169"/>
    </row>
    <row r="73" spans="1:10" ht="16" customHeight="1">
      <c r="A73" s="7"/>
      <c r="B73" s="169"/>
      <c r="C73" s="169"/>
      <c r="D73" s="169"/>
      <c r="E73" s="169"/>
      <c r="F73" s="169"/>
      <c r="G73" s="169"/>
      <c r="H73" s="169"/>
      <c r="I73" s="169"/>
      <c r="J73" s="169"/>
    </row>
    <row r="74" spans="1:10" ht="16" customHeight="1">
      <c r="A74" s="7"/>
      <c r="B74" s="169" t="s">
        <v>556</v>
      </c>
      <c r="C74" s="169"/>
      <c r="D74" s="169"/>
      <c r="E74" s="169"/>
      <c r="F74" s="169"/>
      <c r="G74" s="169"/>
      <c r="H74" s="169"/>
      <c r="I74" s="169"/>
      <c r="J74" s="169"/>
    </row>
    <row r="75" spans="1:10" ht="16" customHeight="1">
      <c r="A75" s="7"/>
      <c r="B75" s="169"/>
      <c r="C75" s="169"/>
      <c r="D75" s="169"/>
      <c r="E75" s="169"/>
      <c r="F75" s="169"/>
      <c r="G75" s="169"/>
      <c r="H75" s="169"/>
      <c r="I75" s="169"/>
      <c r="J75" s="169"/>
    </row>
    <row r="76" spans="1:10" ht="16" customHeight="1">
      <c r="A76" s="7"/>
      <c r="B76" s="169" t="s">
        <v>557</v>
      </c>
      <c r="C76" s="169"/>
      <c r="D76" s="169"/>
      <c r="E76" s="169"/>
      <c r="F76" s="169"/>
      <c r="G76" s="169"/>
      <c r="H76" s="169"/>
      <c r="I76" s="169"/>
      <c r="J76" s="169"/>
    </row>
    <row r="77" spans="1:10" ht="16" customHeight="1">
      <c r="A77" s="7"/>
      <c r="B77" s="169"/>
      <c r="C77" s="169"/>
      <c r="D77" s="169"/>
      <c r="E77" s="169"/>
      <c r="F77" s="169"/>
      <c r="G77" s="169"/>
      <c r="H77" s="169"/>
      <c r="I77" s="169"/>
      <c r="J77" s="169"/>
    </row>
    <row r="78" spans="1:10" ht="16" customHeight="1">
      <c r="A78" s="7"/>
      <c r="B78" s="169" t="s">
        <v>558</v>
      </c>
      <c r="C78" s="169"/>
      <c r="D78" s="169"/>
      <c r="E78" s="169"/>
      <c r="F78" s="169"/>
      <c r="G78" s="169"/>
      <c r="H78" s="169"/>
      <c r="I78" s="169"/>
      <c r="J78" s="169"/>
    </row>
    <row r="79" spans="1:10" ht="16" customHeight="1">
      <c r="A79" s="7"/>
      <c r="B79" s="169"/>
      <c r="C79" s="169"/>
      <c r="D79" s="169"/>
      <c r="E79" s="169"/>
      <c r="F79" s="169"/>
      <c r="G79" s="169"/>
      <c r="H79" s="169"/>
      <c r="I79" s="169"/>
      <c r="J79" s="169"/>
    </row>
    <row r="80" spans="1:10">
      <c r="A80" s="7"/>
      <c r="B80" s="7"/>
      <c r="C80" s="7"/>
      <c r="D80" s="7"/>
      <c r="E80" s="7"/>
      <c r="F80" s="7"/>
      <c r="G80" s="7"/>
      <c r="H80" s="7"/>
      <c r="I80" s="7"/>
      <c r="J80" s="7"/>
    </row>
    <row r="81" spans="1:10" ht="24" customHeight="1">
      <c r="A81" s="7"/>
      <c r="B81" s="11" t="s">
        <v>559</v>
      </c>
      <c r="C81" s="11"/>
      <c r="D81" s="11"/>
      <c r="E81" s="11"/>
      <c r="F81" s="11"/>
      <c r="G81" s="11"/>
      <c r="H81" s="11"/>
      <c r="I81" s="11"/>
      <c r="J81" s="11"/>
    </row>
    <row r="82" spans="1:10" ht="16" customHeight="1">
      <c r="A82" s="7"/>
      <c r="B82" s="169" t="s">
        <v>560</v>
      </c>
      <c r="C82" s="169"/>
      <c r="D82" s="169"/>
      <c r="E82" s="169"/>
      <c r="F82" s="169"/>
      <c r="G82" s="169"/>
      <c r="H82" s="169"/>
      <c r="I82" s="169"/>
      <c r="J82" s="169"/>
    </row>
    <row r="83" spans="1:10" ht="16" customHeight="1">
      <c r="A83" s="7"/>
      <c r="B83" s="169"/>
      <c r="C83" s="169"/>
      <c r="D83" s="169"/>
      <c r="E83" s="169"/>
      <c r="F83" s="169"/>
      <c r="G83" s="169"/>
      <c r="H83" s="169"/>
      <c r="I83" s="169"/>
      <c r="J83" s="169"/>
    </row>
    <row r="84" spans="1:10">
      <c r="A84" s="7"/>
      <c r="B84" s="7"/>
      <c r="C84" s="7"/>
      <c r="D84" s="7"/>
      <c r="E84" s="7"/>
      <c r="F84" s="7"/>
      <c r="G84" s="7"/>
      <c r="H84" s="7"/>
      <c r="I84" s="7"/>
      <c r="J84" s="7"/>
    </row>
    <row r="85" spans="1:10" ht="30" customHeight="1">
      <c r="A85" s="7"/>
      <c r="B85" s="25" t="s">
        <v>561</v>
      </c>
      <c r="C85" s="25"/>
      <c r="D85" s="25"/>
      <c r="E85" s="25"/>
      <c r="F85" s="25"/>
      <c r="G85" s="25"/>
      <c r="H85" s="25"/>
      <c r="I85" s="25"/>
      <c r="J85" s="25"/>
    </row>
    <row r="86" spans="1:10">
      <c r="A86" s="7"/>
      <c r="B86" s="7"/>
      <c r="C86" s="7"/>
      <c r="D86" s="7"/>
      <c r="E86" s="7"/>
      <c r="F86" s="7"/>
      <c r="G86" s="7"/>
      <c r="H86" s="7"/>
      <c r="I86" s="7"/>
      <c r="J86" s="7"/>
    </row>
    <row r="87" spans="1:10" ht="24" customHeight="1">
      <c r="A87" s="7"/>
      <c r="B87" s="26" t="s">
        <v>199</v>
      </c>
      <c r="C87" s="26"/>
      <c r="D87" s="27" t="s">
        <v>165</v>
      </c>
      <c r="E87" s="27"/>
      <c r="F87" s="28" t="s">
        <v>166</v>
      </c>
      <c r="G87" s="28"/>
      <c r="H87" s="29" t="s">
        <v>4</v>
      </c>
      <c r="I87" s="29"/>
      <c r="J87" s="7"/>
    </row>
    <row r="88" spans="1:10" ht="24" customHeight="1">
      <c r="A88" s="7"/>
      <c r="B88" s="30" t="s">
        <v>167</v>
      </c>
      <c r="C88" s="30"/>
      <c r="D88" s="31" t="s">
        <v>168</v>
      </c>
      <c r="E88" s="31"/>
      <c r="F88" s="32" t="s">
        <v>169</v>
      </c>
      <c r="G88" s="32"/>
      <c r="H88" s="33" t="s">
        <v>170</v>
      </c>
      <c r="I88" s="33"/>
      <c r="J88" s="7"/>
    </row>
    <row r="89" spans="1:10" ht="24" customHeight="1">
      <c r="A89" s="7"/>
      <c r="B89" s="27" t="s">
        <v>2</v>
      </c>
      <c r="C89" s="27"/>
      <c r="D89" s="29" t="s">
        <v>171</v>
      </c>
      <c r="E89" s="29"/>
      <c r="F89" s="26" t="s">
        <v>172</v>
      </c>
      <c r="G89" s="26"/>
      <c r="H89" s="27" t="s">
        <v>173</v>
      </c>
      <c r="I89" s="27"/>
      <c r="J89" s="7"/>
    </row>
    <row r="90" spans="1:10" ht="24" customHeight="1">
      <c r="A90" s="7"/>
      <c r="B90" s="28" t="s">
        <v>174</v>
      </c>
      <c r="C90" s="28"/>
      <c r="D90" s="29" t="s">
        <v>175</v>
      </c>
      <c r="E90" s="29"/>
      <c r="F90" s="30" t="s">
        <v>176</v>
      </c>
      <c r="G90" s="30"/>
      <c r="H90" s="31" t="s">
        <v>177</v>
      </c>
      <c r="I90" s="31"/>
      <c r="J90" s="7"/>
    </row>
    <row r="91" spans="1:10" ht="24" customHeight="1">
      <c r="A91" s="7"/>
      <c r="B91" s="32" t="s">
        <v>178</v>
      </c>
      <c r="C91" s="32"/>
      <c r="D91" s="33" t="s">
        <v>56</v>
      </c>
      <c r="E91" s="33"/>
      <c r="F91" s="27" t="s">
        <v>562</v>
      </c>
      <c r="G91" s="27"/>
      <c r="H91" s="7"/>
      <c r="I91" s="7"/>
      <c r="J91" s="7"/>
    </row>
  </sheetData>
  <mergeCells count="106">
    <mergeCell ref="C5:G5"/>
    <mergeCell ref="C6:G6"/>
    <mergeCell ref="H12:J12"/>
    <mergeCell ref="B14:J14"/>
    <mergeCell ref="B15:B16"/>
    <mergeCell ref="C15:D15"/>
    <mergeCell ref="E15:J16"/>
    <mergeCell ref="B17:B18"/>
    <mergeCell ref="C17:D17"/>
    <mergeCell ref="E17:J18"/>
    <mergeCell ref="B19:B20"/>
    <mergeCell ref="C19:D19"/>
    <mergeCell ref="E19:J20"/>
    <mergeCell ref="B21:B22"/>
    <mergeCell ref="C21:D21"/>
    <mergeCell ref="E21:J22"/>
    <mergeCell ref="B23:B24"/>
    <mergeCell ref="C23:D23"/>
    <mergeCell ref="E23:J24"/>
    <mergeCell ref="B26:J26"/>
    <mergeCell ref="B27:J27"/>
    <mergeCell ref="C28:D28"/>
    <mergeCell ref="E28:J28"/>
    <mergeCell ref="C29:D29"/>
    <mergeCell ref="E29:J29"/>
    <mergeCell ref="C30:D30"/>
    <mergeCell ref="E30:J30"/>
    <mergeCell ref="C31:D31"/>
    <mergeCell ref="E31:J31"/>
    <mergeCell ref="C32:D32"/>
    <mergeCell ref="E32:J32"/>
    <mergeCell ref="C33:D33"/>
    <mergeCell ref="E33:J33"/>
    <mergeCell ref="C34:D34"/>
    <mergeCell ref="E34:J34"/>
    <mergeCell ref="C35:D35"/>
    <mergeCell ref="E35:J35"/>
    <mergeCell ref="C36:D36"/>
    <mergeCell ref="E36:J36"/>
    <mergeCell ref="C37:D37"/>
    <mergeCell ref="E37:J37"/>
    <mergeCell ref="C38:D38"/>
    <mergeCell ref="E38:J38"/>
    <mergeCell ref="C39:D39"/>
    <mergeCell ref="E39:J39"/>
    <mergeCell ref="C40:D40"/>
    <mergeCell ref="E40:J40"/>
    <mergeCell ref="C41:D41"/>
    <mergeCell ref="E41:J41"/>
    <mergeCell ref="C42:D42"/>
    <mergeCell ref="E42:J42"/>
    <mergeCell ref="C43:D43"/>
    <mergeCell ref="E43:J43"/>
    <mergeCell ref="C44:D44"/>
    <mergeCell ref="E44:J44"/>
    <mergeCell ref="C45:D45"/>
    <mergeCell ref="E45:J45"/>
    <mergeCell ref="B47:J47"/>
    <mergeCell ref="B48:B49"/>
    <mergeCell ref="C48:J49"/>
    <mergeCell ref="B50:B51"/>
    <mergeCell ref="C50:J51"/>
    <mergeCell ref="B52:B53"/>
    <mergeCell ref="C52:J53"/>
    <mergeCell ref="B54:B55"/>
    <mergeCell ref="C54:J55"/>
    <mergeCell ref="B56:B57"/>
    <mergeCell ref="C56:J57"/>
    <mergeCell ref="B58:B59"/>
    <mergeCell ref="C58:J59"/>
    <mergeCell ref="B60:B61"/>
    <mergeCell ref="C60:J61"/>
    <mergeCell ref="B62:B63"/>
    <mergeCell ref="C62:J63"/>
    <mergeCell ref="B64:B65"/>
    <mergeCell ref="C64:J65"/>
    <mergeCell ref="B66:B67"/>
    <mergeCell ref="C66:J67"/>
    <mergeCell ref="B69:J69"/>
    <mergeCell ref="B70:J71"/>
    <mergeCell ref="B72:J73"/>
    <mergeCell ref="B74:J75"/>
    <mergeCell ref="B76:J77"/>
    <mergeCell ref="B78:J79"/>
    <mergeCell ref="B81:J81"/>
    <mergeCell ref="B82:J83"/>
    <mergeCell ref="B85:J85"/>
    <mergeCell ref="B87:C87"/>
    <mergeCell ref="D87:E87"/>
    <mergeCell ref="F87:G87"/>
    <mergeCell ref="H87:I87"/>
    <mergeCell ref="B88:C88"/>
    <mergeCell ref="D88:E88"/>
    <mergeCell ref="F88:G88"/>
    <mergeCell ref="H88:I88"/>
    <mergeCell ref="B89:C89"/>
    <mergeCell ref="D89:E89"/>
    <mergeCell ref="F89:G89"/>
    <mergeCell ref="H89:I89"/>
    <mergeCell ref="B90:C90"/>
    <mergeCell ref="D90:E90"/>
    <mergeCell ref="F90:G90"/>
    <mergeCell ref="H90:I90"/>
    <mergeCell ref="B91:C91"/>
    <mergeCell ref="D91:E91"/>
    <mergeCell ref="F91:G91"/>
  </mergeCells>
  <hyperlinks>
    <hyperlink ref="H12" location="'📊 Dashboard'!A1" display="🏠  Back to Dashboard"/>
    <hyperlink ref="B87" location="'⚙️ Setup'!A1" display="Setup"/>
    <hyperlink ref="D87" location="'📊 Dashboard'!A1" display="🏠 Home"/>
    <hyperlink ref="F87" location="'👥 Clients'!A1" display="Clients"/>
    <hyperlink ref="H87" location="'📅 Events'!A1" display="Events"/>
    <hyperlink ref="B88" location="'🧮 Quote Calculator'!A1" display="Quote"/>
    <hyperlink ref="D88" location="'🍽️ Menu Costing'!A1" display="Menu"/>
    <hyperlink ref="F88" location="'📦 Inventory'!A1" display="Stock"/>
    <hyperlink ref="H88" location="'🛒 Shopping List'!A1" display="Shop"/>
    <hyperlink ref="B89" location="'💸 Expenses'!A1" display="Expenses"/>
    <hyperlink ref="D89" location="'💰 Payments'!A1" display="Payments"/>
    <hyperlink ref="F89" location="'👷 Staff &amp; Labor'!A1" display="Staff"/>
    <hyperlink ref="H89" location="'🍳 Equipment'!A1" display="Equip"/>
    <hyperlink ref="B90" location="'🚚 Suppliers'!A1" display="Suppliers"/>
    <hyperlink ref="D90" location="'📆 Event Calendar'!A1" display="Calendar"/>
    <hyperlink ref="F90" location="'📈 P&amp;L &amp; Reports'!A1" display="P&amp;L"/>
    <hyperlink ref="H90" location="'🧾 Tax Tracker'!A1" display="Tax"/>
    <hyperlink ref="B91" location="'✅ Checklists'!A1" display="Checks"/>
    <hyperlink ref="D91" location="'🖨️ Invoice &amp; Proposal'!A1" display="Invoice"/>
    <hyperlink ref="F91" location="'📖 Start Here'!A1" display="▶ Help"/>
  </hyperlinks>
  <pageMargins left="0.4" right="0.4" top="0.5" bottom="0.5" header="0.3" footer="0.3"/>
  <pageSetup paperSize="9" fitToHeight="0" orientation="portrait"/>
  <headerFooter>
    <oddHeader>&amp;L&amp;"Calibri,Bold"&amp;11Catering Business Manager&amp;R&amp;"Calibri,Italic"&amp;9Page &amp;P of &amp;N</oddHeader>
    <oddFooter>&amp;C&amp;"Calibri,Italic"&amp;8&amp;A  •  Ultimate Catering Business Spreadsheet v1.0  •  personal licence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20</vt:i4>
      </vt:variant>
      <vt:variant>
        <vt:lpstr>Named Ranges</vt:lpstr>
      </vt:variant>
      <vt:variant>
        <vt:i4>51</vt:i4>
      </vt:variant>
    </vt:vector>
  </HeadingPairs>
  <TitlesOfParts>
    <vt:vector size="71" baseType="lpstr">
      <vt:lpstr>_Data</vt:lpstr>
      <vt:lpstr>⚙️ Setup</vt:lpstr>
      <vt:lpstr>📊 Dashboard</vt:lpstr>
      <vt:lpstr>👥 Clients</vt:lpstr>
      <vt:lpstr>📅 Events</vt:lpstr>
      <vt:lpstr>🧮 Quote Calculator</vt:lpstr>
      <vt:lpstr>🍽️ Menu Costing</vt:lpstr>
      <vt:lpstr>📦 Inventory</vt:lpstr>
      <vt:lpstr>🛒 Shopping List</vt:lpstr>
      <vt:lpstr>💸 Expenses</vt:lpstr>
      <vt:lpstr>💰 Payments</vt:lpstr>
      <vt:lpstr>👷 Staff &amp; Labor</vt:lpstr>
      <vt:lpstr>🍳 Equipment</vt:lpstr>
      <vt:lpstr>🚚 Suppliers</vt:lpstr>
      <vt:lpstr>📆 Event Calendar</vt:lpstr>
      <vt:lpstr>📈 P&amp;L &amp; Reports</vt:lpstr>
      <vt:lpstr>🧾 Tax Tracker</vt:lpstr>
      <vt:lpstr>✅ Checklists</vt:lpstr>
      <vt:lpstr>🖨️ Invoice &amp; Proposal</vt:lpstr>
      <vt:lpstr>📖 Start Here</vt:lpstr>
      <vt:lpstr>BusinessName</vt:lpstr>
      <vt:lpstr>CalMonth</vt:lpstr>
      <vt:lpstr>CalYear</vt:lpstr>
      <vt:lpstr>ClientsList</vt:lpstr>
      <vt:lpstr>Currency</vt:lpstr>
      <vt:lpstr>DefaultMargin</vt:lpstr>
      <vt:lpstr>DepositPct</vt:lpstr>
      <vt:lpstr>DueSoonDays</vt:lpstr>
      <vt:lpstr>EventList</vt:lpstr>
      <vt:lpstr>EventStatuses</vt:lpstr>
      <vt:lpstr>EventTypes</vt:lpstr>
      <vt:lpstr>ExpenseCategories</vt:lpstr>
      <vt:lpstr>IngredientCategories</vt:lpstr>
      <vt:lpstr>MenuCategories</vt:lpstr>
      <vt:lpstr>MenuItems</vt:lpstr>
      <vt:lpstr>PaymentMethods</vt:lpstr>
      <vt:lpstr>PaymentStatuses</vt:lpstr>
      <vt:lpstr>'⚙️ Setup'!Print_Area</vt:lpstr>
      <vt:lpstr>'✅ Checklists'!Print_Area</vt:lpstr>
      <vt:lpstr>'🍳 Equipment'!Print_Area</vt:lpstr>
      <vt:lpstr>'🍽️ Menu Costing'!Print_Area</vt:lpstr>
      <vt:lpstr>'👥 Clients'!Print_Area</vt:lpstr>
      <vt:lpstr>'👷 Staff &amp; Labor'!Print_Area</vt:lpstr>
      <vt:lpstr>'💰 Payments'!Print_Area</vt:lpstr>
      <vt:lpstr>'💸 Expenses'!Print_Area</vt:lpstr>
      <vt:lpstr>'📅 Events'!Print_Area</vt:lpstr>
      <vt:lpstr>'📆 Event Calendar'!Print_Area</vt:lpstr>
      <vt:lpstr>'📈 P&amp;L &amp; Reports'!Print_Area</vt:lpstr>
      <vt:lpstr>'📊 Dashboard'!Print_Area</vt:lpstr>
      <vt:lpstr>'📖 Start Here'!Print_Area</vt:lpstr>
      <vt:lpstr>'📦 Inventory'!Print_Area</vt:lpstr>
      <vt:lpstr>'🖨️ Invoice &amp; Proposal'!Print_Area</vt:lpstr>
      <vt:lpstr>'🚚 Suppliers'!Print_Area</vt:lpstr>
      <vt:lpstr>'🛒 Shopping List'!Print_Area</vt:lpstr>
      <vt:lpstr>'🧮 Quote Calculator'!Print_Area</vt:lpstr>
      <vt:lpstr>'🧾 Tax Tracker'!Print_Area</vt:lpstr>
      <vt:lpstr>'🍳 Equipment'!Print_Titles</vt:lpstr>
      <vt:lpstr>'🍽️ Menu Costing'!Print_Titles</vt:lpstr>
      <vt:lpstr>'👥 Clients'!Print_Titles</vt:lpstr>
      <vt:lpstr>'👷 Staff &amp; Labor'!Print_Titles</vt:lpstr>
      <vt:lpstr>'💰 Payments'!Print_Titles</vt:lpstr>
      <vt:lpstr>'💸 Expenses'!Print_Titles</vt:lpstr>
      <vt:lpstr>'📅 Events'!Print_Titles</vt:lpstr>
      <vt:lpstr>'📦 Inventory'!Print_Titles</vt:lpstr>
      <vt:lpstr>'🚚 Suppliers'!Print_Titles</vt:lpstr>
      <vt:lpstr>'🛒 Shopping List'!Print_Titles</vt:lpstr>
      <vt:lpstr>ReportYear</vt:lpstr>
      <vt:lpstr>StaffRoles</vt:lpstr>
      <vt:lpstr>SuppliersList</vt:lpstr>
      <vt:lpstr>TaxRate</vt:lpstr>
      <vt:lpstr>Tick</vt:lpstr>
    </vt:vector>
  </TitlesOfParts>
  <Manager>Novality Store</Manager>
  <Company>Novality Store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Ultimate Catering Business Spreadsheet</dc:title>
  <dc:subject>Events • Clients • Quotes • Food Cost • Profit</dc:subject>
  <dc:creator>Novality Store</dc:creator>
  <cp:keywords>catering business, catering planner, food cost calculator, event tracker, client tracker, quote calculator, recipe costing, inventory, profit dashboard, excel template, google sheets, etsy spreadsheet</cp:keywords>
  <dc:description>Ultimate Catering Business Spreadsheet v1.0 - Events • Clients • Quotes • Food Cost • Profit. Works in Excel 2016+ and Google Sheets. No macros, nothing to install.</dc:description>
  <cp:lastModifiedBy>Novality Store</cp:lastModifiedBy>
  <dcterms:created xsi:type="dcterms:W3CDTF">2026-09-12T15:08:57Z</dcterms:created>
  <dcterms:modified xsi:type="dcterms:W3CDTF">2026-09-12T15:08:57Z</dcterms:modified>
  <cp:category>Catering Business Management Spreadsheet</cp:category>
</cp:coreProperties>
</file>