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Here'!$A$1:$L$118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<sst xmlns="http://schemas.openxmlformats.org/spreadsheetml/2006/main" count="1467" uniqueCount="762">
  <si>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</si>
  <si>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</si>
  <si>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</si>
  <si>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</si>
  <si>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</si>
  <si>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</si>
  <si>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</si>
  <si>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</si>
  <si>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</si>
  <si>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</si>
  <si>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</si>
  <si>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</si>
  <si>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</si>
  <si>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</si>
  <si>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</si>
  <si>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</si>
  <si>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</si>
  <si>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</si>
  <si>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</si>
  <si>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</si>
  <si>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</si>
  <si>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</si>
  <si>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</si>
  <si>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</si>
  <si>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</si>
  <si>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</si>
  <si>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</si>
  <si>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</si>
  <si>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</si>
  <si>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</si>
  <si>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</si>
  <si>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</si>
  <si>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</si>
  <si>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</si>
  <si>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</si>
  <si>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</si>
  <si>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</si>
  <si>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</si>
  <si>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</si>
  <si>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</si>
  <si>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</si>
  <si>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</si>
  <si>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</si>
  <si>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</si>
  <si>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</si>
  <si>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</si>
  <si>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</si>
  <si>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</si>
  <si>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</si>
  <si>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</si>
  <si>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</si>
  <si>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</si>
  <si>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</si>
  <si>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</si>
  <si>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</si>
  <si>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</si>
  <si>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</si>
  <si>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</si>
  <si>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</si>
  <si>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</si>
  <si>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</si>
  <si>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</si>
  <si>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</si>
  <si>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</si>
  <si>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</si>
  <si>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</si>
  <si>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</si>
  <si>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</si>
  <si>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</si>
  <si>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</si>
  <si>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</si>
  <si>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</si>
  <si>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</si>
  <si>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</si>
  <si>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</si>
  <si>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</si>
  <si>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</si>
  <si>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</si>
  <si>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</si>
  <si>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</si>
  <si>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</si>
  <si>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</si>
  <si>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</si>
  <si>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</si>
  <si>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</si>
  <si>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</si>
  <si>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</si>
  <si>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</si>
  <si>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</si>
  <si>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</si>
  <si>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</si>
  <si>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</si>
  <si>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</si>
  <si>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</si>
  <si>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</si>
  <si>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</si>
  <si>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</si>
  <si>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</si>
  <si>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</si>
  <si>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</si>
  <si>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</si>
  <si>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</si>
  <si>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</si>
  <si>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</si>
  <si>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</si>
  <si>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</si>
  <si>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</si>
  <si>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</si>
  <si>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</si>
  <si>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</si>
  <si>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</si>
  <si>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</si>
  <si>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</si>
  <si>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</si>
  <si>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</si>
  <si>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</si>
  <si>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</si>
  <si>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</si>
  <si>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</si>
  <si>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</si>
  <si>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</si>
  <si>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</si>
  <si>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</si>
  <si>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</si>
  <si>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</si>
  <si>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</si>
  <si>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</si>
  <si>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</si>
  <si>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</si>
  <si>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</si>
  <si>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</si>
  <si>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</si>
  <si>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</si>
  <si>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</si>
  <si>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</si>
  <si>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</si>
  <si>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</si>
  <si>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</si>
  <si>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</si>
  <si>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</si>
  <si>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</si>
  <si>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</si>
  <si>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</si>
  <si>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</si>
  <si>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</si>
  <si>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</si>
  <si>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</si>
  <si>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</si>
  <si>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</si>
  <si>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</si>
  <si>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</si>
  <si>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</si>
  <si>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</si>
  <si>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</si>
  <si>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</si>
  <si>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</si>
  <si>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</si>
  <si>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</si>
  <si>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</si>
  <si>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</si>
  <si>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</si>
  <si>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</si>
  <si>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</si>
  <si>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</si>
  <si>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</si>
  <si>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</si>
  <si>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</si>
  <si>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</si>
  <si>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</si>
  <si>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</si>
  <si>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</si>
  <si>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</si>
  <si>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</si>
  <si>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</si>
  <si>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</si>
  <si>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</si>
  <si>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</si>
  <si>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</si>
  <si>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</si>
  <si>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</si>
  <si>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</si>
  <si>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</si>
  <si>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</si>
  <si>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</si>
  <si>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</si>
  <si>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</si>
  <si>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</si>
  <si>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</si>
  <si>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</si>
  <si>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</si>
  <si>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</si>
  <si>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</si>
  <si>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</si>
  <si>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</si>
  <si>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</si>
  <si>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</si>
  <si>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</si>
  <si>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</si>
  <si>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</si>
  <si>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</si>
  <si>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</si>
  <si>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</si>
  <si>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</si>
  <si>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</si>
  <si>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</si>
  <si>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</si>
  <si>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</si>
  <si>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</si>
  <si>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Uncle Bill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</si>
  <si>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</si>
  <si>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</si>
  <si>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</si>
  <si>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</si>
  <si>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</si>
  <si>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</si>
  <si>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</si>
  <si>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</si>
  <si>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</si>
  <si>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</si>
  <si>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</si>
  <si>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</si>
  <si>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</si>
  <si>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</si>
  <si>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</si>
  <si>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</si>
  <si>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</si>
  <si>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</si>
  <si>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</si>
  <si>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</si>
  <si>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</si>
  <si>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</si>
  <si>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</si>
  <si>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</si>
  <si>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</si>
  <si>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</si>
  <si>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</si>
  <si>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</si>
  <si>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</si>
  <si>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</si>
  <si>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</si>
  <si>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</si>
  <si>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</si>
  <si>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</si>
  <si>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</si>
  <si>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</si>
  <si>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</si>
  <si>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</si>
  <si>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</si>
  <si>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</si>
  <si>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</si>
  <si>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</si>
  <si>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</si>
  <si>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</si>
  <si>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</si>
  <si>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</si>
  <si>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</si>
  <si>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</si>
  <si>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</si>
  <si>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</si>
  <si>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</si>
  <si>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</si>
  <si>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</si>
  <si>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</si>
  <si>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</si>
  <si>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</si>
  <si>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</si>
  <si>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</si>
  <si>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</si>
  <si>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</si>
  <si>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</si>
  <si>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</si>
  <si>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</si>
  <si>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</si>
  <si>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</si>
  <si>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</si>
  <si>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</si>
  <si>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</si>
  <si>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</si>
  <si>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</si>
  <si>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>Cashmere scarf</t>
  </si>
  <si>
    <t>https://www.johnlewis.com</t>
  </si>
  <si>
    <t>Wanted burgundy or cream</t>
  </si>
  <si>
    <t>Spa gift set</t>
  </si>
  <si>
    <t>https://www.sephora.com</t>
  </si>
  <si>
    <t>Leather wallet</t>
  </si>
  <si>
    <t>https://www.amazon.com</t>
  </si>
  <si>
    <t>Engraved initials</t>
  </si>
  <si>
    <t>Whisky tasting set</t>
  </si>
  <si>
    <t>https://www.notonthehighstreet.com</t>
  </si>
  <si>
    <t>Digital photo frame</t>
  </si>
  <si>
    <t>Pre-load family photos</t>
  </si>
  <si>
    <t>Chunky knitted blanket</t>
  </si>
  <si>
    <t>https://www.etsy.com</t>
  </si>
  <si>
    <t>Crossword book bundle</t>
  </si>
  <si>
    <t>Heated slippers</t>
  </si>
  <si>
    <t>Gold hoop earrings</t>
  </si>
  <si>
    <t>Bath bomb gift box</t>
  </si>
  <si>
    <t>Check the winter collection</t>
  </si>
  <si>
    <t>Wireless earbuds</t>
  </si>
  <si>
    <t>https://www.bestbuy.com</t>
  </si>
  <si>
    <t>Express delivery paid</t>
  </si>
  <si>
    <t>Craft beer hamper</t>
  </si>
  <si>
    <t>LEGO Friends set</t>
  </si>
  <si>
    <t>Age 8 - checked the age guide</t>
  </si>
  <si>
    <t>Art supplies case</t>
  </si>
  <si>
    <t>Dinosaur museum tickets</t>
  </si>
  <si>
    <t>Print the voucher</t>
  </si>
  <si>
    <t>Graphic novel bundle</t>
  </si>
  <si>
    <t>Ask Emily what he is reading</t>
  </si>
  <si>
    <t>Weekend getaway</t>
  </si>
  <si>
    <t>Booked, no wrapping!</t>
  </si>
  <si>
    <t>Engraved watch</t>
  </si>
  <si>
    <t>Scented candle trio</t>
  </si>
  <si>
    <t>Baking cookbook</t>
  </si>
  <si>
    <t>Strategy board game</t>
  </si>
  <si>
    <t>https://www.target.com</t>
  </si>
  <si>
    <t>Coffee bean subscription</t>
  </si>
  <si>
    <t>3-month subscription</t>
  </si>
  <si>
    <t>Silk scarf</t>
  </si>
  <si>
    <t>https://www.marksandspencer.com</t>
  </si>
  <si>
    <t>Garden gloves &amp; tool set</t>
  </si>
  <si>
    <t>Novelty reindeer mug</t>
  </si>
  <si>
    <t>Office Secret Santa - $15 limit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</si>
  <si>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</si>
  <si>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</si>
  <si>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</si>
  <si>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</si>
  <si>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</si>
  <si>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</si>
  <si>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</si>
  <si>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</si>
  <si>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</si>
  <si>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</si>
  <si>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</si>
  <si>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</si>
  <si>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</si>
  <si>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</si>
  <si>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</si>
  <si>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</si>
  <si>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</si>
  <si>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</si>
  <si>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</si>
  <si>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</si>
  <si>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</si>
  <si>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</si>
  <si>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</si>
  <si>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</si>
  <si>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</si>
  <si>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</si>
  <si>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</si>
  <si>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</si>
  <si>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</si>
  <si>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</si>
  <si>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</si>
  <si>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</si>
  <si>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</si>
  <si>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</si>
  <si>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</si>
  <si>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</si>
  <si>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</si>
  <si>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</si>
  <si>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</si>
  <si>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</si>
  <si>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</si>
  <si>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</si>
  <si>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</si>
  <si>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</si>
  <si>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- 3 roll pack</t>
  </si>
  <si>
    <t>Gold foil design</t>
  </si>
  <si>
    <t>Ribbon - red &amp; gold</t>
  </si>
  <si>
    <t>Gift tags (pack of 50)</t>
  </si>
  <si>
    <t>Hand-lettered</t>
  </si>
  <si>
    <t>Sticky tape &amp; scissors</t>
  </si>
  <si>
    <t>Tissue paper bundle</t>
  </si>
  <si>
    <t>Christmas cards (box of 30)</t>
  </si>
  <si>
    <t>Stamps - book of 30</t>
  </si>
  <si>
    <t>Post office</t>
  </si>
  <si>
    <t>Thank-you notes</t>
  </si>
  <si>
    <t>For January</t>
  </si>
  <si>
    <t>Plain flour</t>
  </si>
  <si>
    <t>Grocery store</t>
  </si>
  <si>
    <t>Cookie cutters set</t>
  </si>
  <si>
    <t>Cake decorating sprinkles</t>
  </si>
  <si>
    <t>Chocolate for stockings</t>
  </si>
  <si>
    <t>Candy canes</t>
  </si>
  <si>
    <t>Christmas crackers</t>
  </si>
  <si>
    <t>Napkins &amp; party plates</t>
  </si>
  <si>
    <t>Tree baubles - gold</t>
  </si>
  <si>
    <t>Fairy lights (warm white)</t>
  </si>
  <si>
    <t>Wreath for the front door</t>
  </si>
  <si>
    <t>Local market</t>
  </si>
  <si>
    <t>Turkey &amp; trimmings</t>
  </si>
  <si>
    <t>Order by 18 Dec</t>
  </si>
  <si>
    <t>Sparkling cider</t>
  </si>
  <si>
    <t>Chocolate selection boxes</t>
  </si>
  <si>
    <t>For neighbours &amp; teachers</t>
  </si>
  <si>
    <t>Petrol / parking for the trip</t>
  </si>
  <si>
    <t>Shell</t>
  </si>
  <si>
    <t>Food bank donation</t>
  </si>
  <si>
    <t>Local charity</t>
  </si>
  <si>
    <t>Gift bags (spares)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</si>
  <si>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</si>
  <si>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</si>
  <si>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</si>
  <si>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</si>
  <si>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</si>
  <si>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</si>
  <si>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</si>
  <si>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</si>
  <si>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https://www.etsy.com/listing/watch</t>
  </si>
  <si>
    <t>Mentioned it in October</t>
  </si>
  <si>
    <t>Cast iron skillet</t>
  </si>
  <si>
    <t>For the new kitchen</t>
  </si>
  <si>
    <t>Burgundy or cream</t>
  </si>
  <si>
    <t>Gardening book</t>
  </si>
  <si>
    <t>On the wish list she sent</t>
  </si>
  <si>
    <t>Silk pillowcase</t>
  </si>
  <si>
    <t>Ages 10-12</t>
  </si>
  <si>
    <t>Watercolour set</t>
  </si>
  <si>
    <t>Big buttons, simple menu</t>
  </si>
  <si>
    <t>Pottery class for two</t>
  </si>
  <si>
    <t>Birthday idea for March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</si>
  <si>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</si>
  <si>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</si>
  <si>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</si>
  <si>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</si>
  <si>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</si>
  <si>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</si>
  <si>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</si>
  <si>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</si>
  <si>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</si>
  <si>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</si>
  <si>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</si>
  <si>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</si>
  <si>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</si>
  <si>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</si>
  <si>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112-4471902-5563810</t>
  </si>
  <si>
    <t>https://www.amazon.com/gp/your-account/order-details?order=112-4471902</t>
  </si>
  <si>
    <t>Tracking updated twice a day</t>
  </si>
  <si>
    <t>BB-9938-2211</t>
  </si>
  <si>
    <t>https://www.bestbuy.com/orders</t>
  </si>
  <si>
    <t>Signature required</t>
  </si>
  <si>
    <t>ETSY-778201</t>
  </si>
  <si>
    <t>https://www.etsy.com/your/orders</t>
  </si>
  <si>
    <t>Engraving takes 5 days</t>
  </si>
  <si>
    <t>112-8830042-1120394</t>
  </si>
  <si>
    <t>https://www.amazon.com/gp/your-account/order-details?order=112-8830042</t>
  </si>
  <si>
    <t>Left with neighbour</t>
  </si>
  <si>
    <t>112-2291047-9930112</t>
  </si>
  <si>
    <t>https://www.amazon.com/gp/your-account/order-details?order=112-2291047</t>
  </si>
  <si>
    <t>NOTHS-55231</t>
  </si>
  <si>
    <t>https://www.notonthehighstreet.com/my-account</t>
  </si>
  <si>
    <t>MS-4419287</t>
  </si>
  <si>
    <t>https://www.marksandspencer.com/my-account</t>
  </si>
  <si>
    <t>SEPH-88213</t>
  </si>
  <si>
    <t>https://www.sephora.com/account/orders</t>
  </si>
  <si>
    <t>Waiting for dispatch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</si>
  <si>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</si>
  <si>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</si>
  <si>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</si>
  <si>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</si>
  <si>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</si>
  <si>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</si>
  <si>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</si>
  <si>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</si>
  <si>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</si>
  <si>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</si>
  <si>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</si>
  <si>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</si>
  <si>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</si>
  <si>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</si>
  <si>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</si>
  <si>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</si>
  <si>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</si>
  <si>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</si>
  <si>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</si>
  <si>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</si>
  <si>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</si>
  <si>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</si>
  <si>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</si>
  <si>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</si>
  <si>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14 Rosewood Lane, Harrogate HG1 2AB, UK</t>
  </si>
  <si>
    <t>Big handwriting card</t>
  </si>
  <si>
    <t>Same envelope as Grandma</t>
  </si>
  <si>
    <t>88 Maple Drive, Leeds LS6 4QT, UK</t>
  </si>
  <si>
    <t>3 Ash Court, Manchester M1 5AN, UK</t>
  </si>
  <si>
    <t>Cousin Priya</t>
  </si>
  <si>
    <t>Card written, needs posting</t>
  </si>
  <si>
    <t>27b Kingsland Road, London E2 8AA, UK</t>
  </si>
  <si>
    <t>Hand delivered a gift too</t>
  </si>
  <si>
    <t>Tom &amp; Jess</t>
  </si>
  <si>
    <t>5 Cedar Walk, Bristol BS1 4TR, UK</t>
  </si>
  <si>
    <t>Mrs Higgins (neighbour)</t>
  </si>
  <si>
    <t>9 Birch Hill, York YO1 7HD, UK</t>
  </si>
  <si>
    <t>Write after the 15th</t>
  </si>
  <si>
    <t>Ms Patel (teacher)</t>
  </si>
  <si>
    <t>St Anne's Primary, School Office</t>
  </si>
  <si>
    <t>From Sophie</t>
  </si>
  <si>
    <t>Office team</t>
  </si>
  <si>
    <t>Hand delivered</t>
  </si>
  <si>
    <t>Left on the team table</t>
  </si>
  <si>
    <t>Nana Flo</t>
  </si>
  <si>
    <t>2 Willow Cottages, Derby DE1 3RT, UK</t>
  </si>
  <si>
    <t>Buy a photo card</t>
  </si>
  <si>
    <t>The Robinsons</t>
  </si>
  <si>
    <t>11 Oakfield Road, Sheffield S10 2QN, UK</t>
  </si>
  <si>
    <t>Cousin Sam</t>
  </si>
  <si>
    <t>44 Station Road, Newcastle NE1 5BR, UK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</si>
  <si>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</si>
  <si>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</si>
  <si>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</si>
  <si>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</si>
  <si>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</si>
  <si>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</si>
  <si>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>Lip balm trio</t>
  </si>
  <si>
    <t>Peppermint - her favourite</t>
  </si>
  <si>
    <t>Hair clips set</t>
  </si>
  <si>
    <t>Chocolate coins</t>
  </si>
  <si>
    <t>Mini diary &amp; pen</t>
  </si>
  <si>
    <t>Fuzzy socks</t>
  </si>
  <si>
    <t>Dinosaur figures</t>
  </si>
  <si>
    <t>Candy cane pack</t>
  </si>
  <si>
    <t>Football stickers</t>
  </si>
  <si>
    <t>Comic book</t>
  </si>
  <si>
    <t>Ask what he is reading</t>
  </si>
  <si>
    <t>Bath bubble bombs</t>
  </si>
  <si>
    <t>Silk eye mask</t>
  </si>
  <si>
    <t>Hand cream &amp; nails set</t>
  </si>
  <si>
    <t>Favourite tea blend</t>
  </si>
  <si>
    <t>Leather keyring</t>
  </si>
  <si>
    <t>Initials J.M.</t>
  </si>
  <si>
    <t>Golf balls (3 pack)</t>
  </si>
  <si>
    <t>Hot sauce bundle</t>
  </si>
  <si>
    <t>Check the heat levels!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</si>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</sst>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70" formatCode="@"/>
    <numFmt numFmtId="167" formatCode="#,##0"/>
    <numFmt numFmtId="167" formatCode="#,##0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4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6C3A6E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0.5"/>
      <color rgb="FFB02A2A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0E6F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5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thin">
        <color rgb="FFF0E6F2"/>
      </left>
      <right style="thin">
        <color rgb="FFF0E6F2"/>
      </right>
      <top style="thin">
        <color rgb="FFF0E6F2"/>
      </top>
      <bottom style="thin">
        <color rgb="FFF0E6F2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0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22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52" fillId="21" borderId="20" xfId="0" applyFont="1" applyFill="1" applyBorder="1" applyAlignment="1">
      <alignment horizontal="left" vertical="center"/>
    </xf>
    <xf numFmtId="0" fontId="25" fillId="19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9" borderId="5" xfId="0" applyFont="1" applyFill="1" applyBorder="1" applyAlignment="1" applyProtection="1">
      <alignment horizontal="left" vertical="center"/>
      <protection locked="0"/>
    </xf>
    <xf numFmtId="0" fontId="24" fillId="8" borderId="5" xfId="0" applyFont="1" applyFill="1" applyBorder="1" applyAlignment="1" applyProtection="1">
      <alignment horizontal="left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8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3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3" borderId="0" xfId="0" applyFont="1" applyFill="1" applyAlignment="1">
      <alignment vertical="center"/>
    </xf>
    <xf numFmtId="0" fontId="57" fillId="23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60" fillId="8" borderId="5" xfId="0" applyFont="1" applyFill="1" applyBorder="1" applyAlignment="1">
      <alignment horizontal="left" vertical="top" indent="1" wrapText="1"/>
    </xf>
    <xf numFmtId="0" fontId="60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61" fillId="24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b/>
        <color rgb="FF8A7A6D"/>
      </font>
      <fill>
        <patternFill>
          <bgColor rgb="FFFDFAF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</dxf>
    <dxf>
      <font>
        <b/>
        <color rgb="FFB8912F"/>
      </font>
      <fill>
        <patternFill>
          <bgColor rgb="FFFBF2DA"/>
        </patternFill>
      </fill>
    </dxf>
    <dxf>
      <font>
        <color rgb="FF14432A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33261C"/>
      </font>
      <fill>
        <patternFill>
          <bgColor rgb="FFFBF2DA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97.99000000000001</c:v>
                </c:pt>
                <c:pt idx="1">
                  <c:v>93.5</c:v>
                </c:pt>
                <c:pt idx="2">
                  <c:v>129.99</c:v>
                </c:pt>
                <c:pt idx="3">
                  <c:v>49.5</c:v>
                </c:pt>
                <c:pt idx="4">
                  <c:v>48.0</c:v>
                </c:pt>
                <c:pt idx="5">
                  <c:v>107.99</c:v>
                </c:pt>
                <c:pt idx="6">
                  <c:v>59.99</c:v>
                </c:pt>
                <c:pt idx="7">
                  <c:v>36.0</c:v>
                </c:pt>
                <c:pt idx="8">
                  <c:v>254.0</c:v>
                </c:pt>
                <c:pt idx="9">
                  <c:v>28.5</c:v>
                </c:pt>
                <c:pt idx="10">
                  <c:v>32.0</c:v>
                </c:pt>
                <c:pt idx="11">
                  <c:v>53.5</c:v>
                </c:pt>
                <c:pt idx="12">
                  <c:v>0</c:v>
                </c:pt>
                <c:pt idx="13">
                  <c:v>12.99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850</c:v>
                </c:pt>
                <c:pt idx="1">
                  <c:v>140</c:v>
                </c:pt>
                <c:pt idx="2">
                  <c:v>55</c:v>
                </c:pt>
                <c:pt idx="3">
                  <c:v>40</c:v>
                </c:pt>
                <c:pt idx="4">
                  <c:v>200</c:v>
                </c:pt>
                <c:pt idx="5">
                  <c:v>35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  <c:pt idx="9">
                  <c:v>40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850</c:v>
                </c:pt>
                <c:pt idx="1">
                  <c:v>140</c:v>
                </c:pt>
                <c:pt idx="2">
                  <c:v>55</c:v>
                </c:pt>
                <c:pt idx="3">
                  <c:v>40</c:v>
                </c:pt>
                <c:pt idx="4">
                  <c:v>200</c:v>
                </c:pt>
                <c:pt idx="5">
                  <c:v>35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  <c:pt idx="9">
                  <c:v>40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14</xdr:row>
      <xdr:rowOff>49703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6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hnlewis.com" TargetMode="External"/><Relationship Id="rId2" Type="http://schemas.openxmlformats.org/officeDocument/2006/relationships/hyperlink" Target="https://www.sephora.com" TargetMode="External"/><Relationship Id="rId3" Type="http://schemas.openxmlformats.org/officeDocument/2006/relationships/hyperlink" Target="https://www.amazon.com" TargetMode="External"/><Relationship Id="rId4" Type="http://schemas.openxmlformats.org/officeDocument/2006/relationships/hyperlink" Target="https://www.notonthehighstreet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etsy.com" TargetMode="External"/><Relationship Id="rId9" Type="http://schemas.openxmlformats.org/officeDocument/2006/relationships/hyperlink" Target="https://www.sephora.com" TargetMode="External"/><Relationship Id="rId10" Type="http://schemas.openxmlformats.org/officeDocument/2006/relationships/hyperlink" Target="https://www.bestbuy.com" TargetMode="External"/><Relationship Id="rId11" Type="http://schemas.openxmlformats.org/officeDocument/2006/relationships/hyperlink" Target="https://www.amazon.com" TargetMode="External"/><Relationship Id="rId12" Type="http://schemas.openxmlformats.org/officeDocument/2006/relationships/hyperlink" Target="https://www.etsy.com" TargetMode="External"/><Relationship Id="rId13" Type="http://schemas.openxmlformats.org/officeDocument/2006/relationships/hyperlink" Target="https://www.etsy.com" TargetMode="External"/><Relationship Id="rId14" Type="http://schemas.openxmlformats.org/officeDocument/2006/relationships/hyperlink" Target="https://www.notonthehighstreet.com" TargetMode="External"/><Relationship Id="rId15" Type="http://schemas.openxmlformats.org/officeDocument/2006/relationships/hyperlink" Target="https://www.amazon.com" TargetMode="External"/><Relationship Id="rId16" Type="http://schemas.openxmlformats.org/officeDocument/2006/relationships/hyperlink" Target="https://www.target.com" TargetMode="External"/><Relationship Id="rId17" Type="http://schemas.openxmlformats.org/officeDocument/2006/relationships/hyperlink" Target="https://www.etsy.com" TargetMode="External"/><Relationship Id="rId18" Type="http://schemas.openxmlformats.org/officeDocument/2006/relationships/hyperlink" Target="https://www.marksandspencer.com" TargetMode="External"/><Relationship Id="rId19" Type="http://schemas.openxmlformats.org/officeDocument/2006/relationships/hyperlink" Target="https://www.amazon.com" TargetMode="External"/><Relationship Id="rId20" Type="http://schemas.openxmlformats.org/officeDocument/2006/relationships/hyperlink" Target="https://www.target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tsy.com/listing/watch" TargetMode="External"/><Relationship Id="rId2" Type="http://schemas.openxmlformats.org/officeDocument/2006/relationships/hyperlink" Target="https://www.amazon.com" TargetMode="External"/><Relationship Id="rId3" Type="http://schemas.openxmlformats.org/officeDocument/2006/relationships/hyperlink" Target="https://www.johnlewis.com" TargetMode="External"/><Relationship Id="rId4" Type="http://schemas.openxmlformats.org/officeDocument/2006/relationships/hyperlink" Target="https://www.sephora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bestbuy.com" TargetMode="External"/><Relationship Id="rId9" Type="http://schemas.openxmlformats.org/officeDocument/2006/relationships/hyperlink" Target="https://www.etsy.co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your-account/order-details?order=112-4471902" TargetMode="External"/><Relationship Id="rId2" Type="http://schemas.openxmlformats.org/officeDocument/2006/relationships/hyperlink" Target="https://www.bestbuy.com/orders" TargetMode="External"/><Relationship Id="rId3" Type="http://schemas.openxmlformats.org/officeDocument/2006/relationships/hyperlink" Target="https://www.etsy.com/your/orders" TargetMode="External"/><Relationship Id="rId4" Type="http://schemas.openxmlformats.org/officeDocument/2006/relationships/hyperlink" Target="https://www.amazon.com/gp/your-account/order-details?order=112-8830042" TargetMode="External"/><Relationship Id="rId5" Type="http://schemas.openxmlformats.org/officeDocument/2006/relationships/hyperlink" Target="https://www.amazon.com/gp/your-account/order-details?order=112-2291047" TargetMode="External"/><Relationship Id="rId6" Type="http://schemas.openxmlformats.org/officeDocument/2006/relationships/hyperlink" Target="https://www.notonthehighstreet.com/my-account" TargetMode="External"/><Relationship Id="rId7" Type="http://schemas.openxmlformats.org/officeDocument/2006/relationships/hyperlink" Target="https://www.marksandspencer.com/my-account" TargetMode="External"/><Relationship Id="rId8" Type="http://schemas.openxmlformats.org/officeDocument/2006/relationships/hyperlink" Target="https://www.sephora.com/account/orders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18 of 25 gifts bought   •   13 wrapped   •   6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566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567</v>
      </c>
      <c r="C7" s="6"/>
      <c r="D7" s="6"/>
      <c r="E7" s="7" t="s">
        <v>568</v>
      </c>
      <c r="F7" s="7"/>
      <c r="G7" s="7"/>
      <c r="H7" s="8" t="s">
        <v>569</v>
      </c>
      <c r="I7" s="8"/>
      <c r="J7" s="8"/>
      <c r="K7" s="9" t="s">
        <v>570</v>
      </c>
      <c r="L7" s="9"/>
      <c r="M7" s="9"/>
    </row>
    <row r="8" spans="1:13" ht="38" customHeight="1" x14ac:dyDescent="0.25">
      <c r="A8" s="1"/>
      <c r="B8" s="10" t="str">
        <f>Currency&amp;TEXT('_Data'!$AF$17,"#,##0")</f>
        <v>$1,500</v>
      </c>
      <c r="C8" s="10"/>
      <c r="D8" s="10"/>
      <c r="E8" s="11" t="str">
        <f>Currency&amp;TEXT('_Data'!$AF$18,"#,##0")</f>
        <v>$1,318</v>
      </c>
      <c r="F8" s="11"/>
      <c r="G8" s="11"/>
      <c r="H8" s="12" t="str">
        <f>Currency&amp;TEXT('_Data'!$AF$19,"#,##0")</f>
        <v>$182</v>
      </c>
      <c r="I8" s="12"/>
      <c r="J8" s="12"/>
      <c r="K8" s="13">
        <f>'_Data'!$AF$20</f>
        <v>0.8788800000000001</v>
      </c>
      <c r="L8" s="13"/>
      <c r="M8" s="13"/>
    </row>
    <row r="9" spans="1:13" ht="24" customHeight="1" x14ac:dyDescent="0.25">
      <c r="A9" s="1"/>
      <c r="B9" s="14" t="s">
        <v>337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███████████████████████████████████░░░░░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88%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571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572</v>
      </c>
      <c r="C12" s="6"/>
      <c r="D12" s="6"/>
      <c r="E12" s="8" t="s">
        <v>573</v>
      </c>
      <c r="F12" s="8"/>
      <c r="G12" s="8"/>
      <c r="H12" s="7" t="s">
        <v>574</v>
      </c>
      <c r="I12" s="7"/>
      <c r="J12" s="7"/>
      <c r="K12" s="18" t="s">
        <v>575</v>
      </c>
      <c r="L12" s="18"/>
      <c r="M12" s="18"/>
    </row>
    <row r="13" spans="1:13" ht="38" customHeight="1" x14ac:dyDescent="0.25">
      <c r="A13" s="1"/>
      <c r="B13" s="10">
        <f>'_Data'!$AF$4</f>
        <v>25</v>
      </c>
      <c r="C13" s="10"/>
      <c r="D13" s="10"/>
      <c r="E13" s="12" t="str">
        <f>'_Data'!$AF$5&amp;" / "&amp;'_Data'!$AF$4</f>
        <v>18 / 25</v>
      </c>
      <c r="F13" s="12"/>
      <c r="G13" s="12"/>
      <c r="H13" s="11">
        <f>'_Data'!$AF$6</f>
        <v>13</v>
      </c>
      <c r="I13" s="11"/>
      <c r="J13" s="11"/>
      <c r="K13" s="19">
        <f>'_Data'!$AF$7</f>
        <v>6</v>
      </c>
      <c r="L13" s="19"/>
      <c r="M13" s="19"/>
    </row>
    <row r="14" spans="1:13" ht="18" customHeight="1" x14ac:dyDescent="0.25">
      <c r="A14" s="1"/>
      <c r="B14" s="20" t="s">
        <v>576</v>
      </c>
      <c r="C14" s="20"/>
      <c r="D14" s="20"/>
      <c r="E14" s="21" t="s">
        <v>577</v>
      </c>
      <c r="F14" s="21"/>
      <c r="G14" s="21"/>
      <c r="H14" s="9" t="s">
        <v>578</v>
      </c>
      <c r="I14" s="9"/>
      <c r="J14" s="9"/>
      <c r="K14" s="22" t="s">
        <v>579</v>
      </c>
      <c r="L14" s="22"/>
      <c r="M14" s="22"/>
    </row>
    <row r="15" spans="1:13" ht="38" customHeight="1" x14ac:dyDescent="0.25">
      <c r="A15" s="1"/>
      <c r="B15" s="23">
        <f>'_Data'!$AF$8</f>
        <v>4</v>
      </c>
      <c r="C15" s="23"/>
      <c r="D15" s="23"/>
      <c r="E15" s="24">
        <f>'_Data'!$AF$9</f>
        <v>3</v>
      </c>
      <c r="F15" s="24"/>
      <c r="G15" s="24"/>
      <c r="H15" s="13">
        <f>'_Data'!$AF$12</f>
        <v>0.72</v>
      </c>
      <c r="I15" s="13"/>
      <c r="J15" s="13"/>
      <c r="K15" s="25" t="str">
        <f>Currency&amp;TEXT('_Data'!$AF$14,"#,##0")</f>
        <v>$77</v>
      </c>
      <c r="L15" s="25"/>
      <c r="M15" s="25"/>
    </row>
    <row r="16" spans="1:13" ht="24" customHeight="1" x14ac:dyDescent="0.25">
      <c r="A16" s="1"/>
      <c r="B16" s="14" t="s">
        <v>580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█████████████████████████████░░░░░░░░░░░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18 / 25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581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582</v>
      </c>
      <c r="C49" s="5"/>
      <c r="D49" s="5"/>
      <c r="E49" s="5"/>
      <c r="F49" s="5"/>
      <c r="G49" s="5"/>
      <c r="H49" s="26" t="s">
        <v>583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🛒  4 gift(s) still to buy (3 already on order)</v>
      </c>
      <c r="C50" s="27"/>
      <c r="D50" s="27"/>
      <c r="E50" s="27"/>
      <c r="F50" s="27"/>
      <c r="G50" s="27"/>
      <c r="H50" s="28">
        <f>IFERROR(SMALL('_Data'!$AA$2:$AA$141,1),"")</f>
        <v>46346.0</v>
      </c>
      <c r="I50" s="29" t="str">
        <f>IF($H50="","— nothing scheduled —",IFERROR(INDEX('_Data'!$AB$2:$AB$141,MATCH(SMALL('_Data'!$AA$2:$AA$141,1),'_Data'!$AA$2:$AA$141,0)),""))</f>
        <v>✅ Address &amp; write all cards</v>
      </c>
      <c r="J50" s="29"/>
      <c r="K50" s="29"/>
      <c r="L50" s="30">
        <f>IF($H50="","",$H50-TODAY())</f>
        <v>69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🎀  5 present(s) still to wrap</v>
      </c>
      <c r="C51" s="27"/>
      <c r="D51" s="27"/>
      <c r="E51" s="27"/>
      <c r="F51" s="27"/>
      <c r="G51" s="27"/>
      <c r="H51" s="28">
        <f>IFERROR(SMALL('_Data'!$AA$2:$AA$141,2),"")</f>
        <v>46356.0</v>
      </c>
      <c r="I51" s="29" t="str">
        <f>IF($H51="","— nothing scheduled —",IFERROR(INDEX('_Data'!$AB$2:$AB$141,MATCH(SMALL('_Data'!$AA$2:$AA$141,2),'_Data'!$AA$2:$AA$141,0)),""))</f>
        <v>✅ Post the cards</v>
      </c>
      <c r="J51" s="29"/>
      <c r="K51" s="29"/>
      <c r="L51" s="30">
        <f>IF($H51="","",$H51-TODAY())</f>
        <v>79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📦  7 wrapped gift(s) not given yet</v>
      </c>
      <c r="C52" s="27"/>
      <c r="D52" s="27"/>
      <c r="E52" s="27"/>
      <c r="F52" s="27"/>
      <c r="G52" s="27"/>
      <c r="H52" s="28">
        <f>IFERROR(SMALL('_Data'!$AA$2:$AA$141,3),"")</f>
        <v>46360.0</v>
      </c>
      <c r="I52" s="29" t="str">
        <f>IF($H52="","— nothing scheduled —",IFERROR(INDEX('_Data'!$AB$2:$AB$141,MATCH(SMALL('_Data'!$AA$2:$AA$141,3),'_Data'!$AA$2:$AA$141,0)),""))</f>
        <v>✅ Book travel / check the car</v>
      </c>
      <c r="J52" s="29"/>
      <c r="K52" s="29"/>
      <c r="L52" s="30">
        <f>IF($H52="","",$H52-TODAY())</f>
        <v>83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⚠️  88% of the budget used — $182 left to play with</v>
      </c>
      <c r="C53" s="27"/>
      <c r="D53" s="27"/>
      <c r="E53" s="27"/>
      <c r="F53" s="27"/>
      <c r="G53" s="27"/>
      <c r="H53" s="28">
        <f>IFERROR(SMALL('_Data'!$AA$2:$AA$141,4),"")</f>
        <v>46363.0</v>
      </c>
      <c r="I53" s="29" t="str">
        <f>IF($H53="","— nothing scheduled —",IFERROR(INDEX('_Data'!$AB$2:$AB$141,MATCH(SMALL('_Data'!$AA$2:$AA$141,4),'_Data'!$AA$2:$AA$141,0)),""))</f>
        <v>✅ Prepare the stockings</v>
      </c>
      <c r="J53" s="29"/>
      <c r="K53" s="29"/>
      <c r="L53" s="30">
        <f>IF($H53="","",$H53-TODAY())</f>
        <v>86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11 of 24 shopping items still to buy</v>
      </c>
      <c r="C54" s="27"/>
      <c r="D54" s="27"/>
      <c r="E54" s="27"/>
      <c r="F54" s="27"/>
      <c r="G54" s="27"/>
      <c r="H54" s="28">
        <f>IFERROR(SMALL('_Data'!$AA$2:$AA$141,5),"")</f>
        <v>46367.0</v>
      </c>
      <c r="I54" s="29" t="str">
        <f>IF($H54="","— nothing scheduled —",IFERROR(INDEX('_Data'!$AB$2:$AB$141,MATCH(SMALL('_Data'!$AA$2:$AA$141,5),'_Data'!$AA$2:$AA$141,0)),""))</f>
        <v>✅ Plan the Christmas dinner menu</v>
      </c>
      <c r="J54" s="29"/>
      <c r="K54" s="29"/>
      <c r="L54" s="30">
        <f>IF($H54="","",$H54-TODAY())</f>
        <v>90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🚚  4 parcel(s) still on the way</v>
      </c>
      <c r="C55" s="27"/>
      <c r="D55" s="27"/>
      <c r="E55" s="27"/>
      <c r="F55" s="27"/>
      <c r="G55" s="27"/>
      <c r="H55" s="31" t="s">
        <v>584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7 of 14 cards still to post</v>
      </c>
      <c r="C56" s="27"/>
      <c r="D56" s="27"/>
      <c r="E56" s="27"/>
      <c r="F56" s="27"/>
      <c r="G56" s="27"/>
      <c r="H56" s="28">
        <f>EventDate-10</f>
        <v>46371.0</v>
      </c>
      <c r="I56" s="29" t="s">
        <v>585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3 of 16 stocking fillers still to buy</v>
      </c>
      <c r="C57" s="27"/>
      <c r="D57" s="27"/>
      <c r="E57" s="27"/>
      <c r="F57" s="27"/>
      <c r="G57" s="27"/>
      <c r="H57" s="28">
        <f>EventDate-14</f>
        <v>46367.0</v>
      </c>
      <c r="I57" s="29" t="s">
        <v>586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7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587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12 idea(s) saved — 5 of them must-haves</v>
      </c>
      <c r="C59" s="27"/>
      <c r="D59" s="27"/>
      <c r="E59" s="27"/>
      <c r="F59" s="27"/>
      <c r="G59" s="27"/>
      <c r="H59" s="28">
        <f>EventDate</f>
        <v>46381.0</v>
      </c>
      <c r="I59" s="29" t="s">
        <v>588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589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270</v>
      </c>
      <c r="E62" s="33" t="s">
        <v>25</v>
      </c>
      <c r="F62" s="33" t="s">
        <v>343</v>
      </c>
      <c r="G62" s="33" t="s">
        <v>26</v>
      </c>
      <c r="H62" s="33" t="s">
        <v>27</v>
      </c>
      <c r="I62" s="33" t="s">
        <v>28</v>
      </c>
      <c r="J62" s="33" t="s">
        <v>590</v>
      </c>
      <c r="K62" s="33" t="s">
        <v>30</v>
      </c>
      <c r="L62" s="33" t="s">
        <v>31</v>
      </c>
      <c r="M62" s="33" t="s">
        <v>345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105</v>
      </c>
      <c r="E63" s="35">
        <f>IF($B63="","",'_Data'!$J$2)</f>
        <v>97.99000000000001</v>
      </c>
      <c r="F63" s="35">
        <f>IF(OR($B63="",'_Data'!$H$2=""),"",$D63-$E63)</f>
        <v>7.009999999999991</v>
      </c>
      <c r="G63" s="36">
        <f>IF($B63="","",'_Data'!$K$2)</f>
        <v>2</v>
      </c>
      <c r="H63" s="36">
        <f>IF($B63="","",'_Data'!$L$2)</f>
        <v>2</v>
      </c>
      <c r="I63" s="36">
        <f>IF($B63="","",'_Data'!$M$2)</f>
        <v>2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>1.0</v>
      </c>
      <c r="M63" s="38" t="str">
        <f>IF($B63="","",REPT("█",ROUND(IFERROR($L63,0)*10,0))&amp;REPT("░",10-ROUND(IFERROR($L63,0)*10,0)))</f>
        <v>██████████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95</v>
      </c>
      <c r="E64" s="35">
        <f>IF($B64="","",'_Data'!$J$3)</f>
        <v>93.5</v>
      </c>
      <c r="F64" s="35">
        <f>IF(OR($B64="",'_Data'!$H$3=""),"",$D64-$E64)</f>
        <v>1.5</v>
      </c>
      <c r="G64" s="36">
        <f>IF($B64="","",'_Data'!$K$3)</f>
        <v>2</v>
      </c>
      <c r="H64" s="36">
        <f>IF($B64="","",'_Data'!$L$3)</f>
        <v>2</v>
      </c>
      <c r="I64" s="36">
        <f>IF($B64="","",'_Data'!$M$3)</f>
        <v>2</v>
      </c>
      <c r="J64" s="36">
        <f>IF($B64="","",'_Data'!$N$3)</f>
        <v>1</v>
      </c>
      <c r="K64" s="36">
        <f>IF($B64="","",'_Data'!$O$3)</f>
        <v>0</v>
      </c>
      <c r="L64" s="37">
        <f>IF($B64="","",'_Data'!$P$3)</f>
        <v>1.0</v>
      </c>
      <c r="M64" s="38" t="str">
        <f>IF($B64="","",REPT("█",ROUND(IFERROR($L64,0)*10,0))&amp;REPT("░",10-ROUND(IFERROR($L64,0)*10,0)))</f>
        <v>██████████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135</v>
      </c>
      <c r="E65" s="35">
        <f>IF($B65="","",'_Data'!$J$4)</f>
        <v>129.99</v>
      </c>
      <c r="F65" s="35">
        <f>IF(OR($B65="",'_Data'!$H$4=""),"",$D65-$E65)</f>
        <v>5.009999999999991</v>
      </c>
      <c r="G65" s="36">
        <f>IF($B65="","",'_Data'!$K$4)</f>
        <v>2</v>
      </c>
      <c r="H65" s="36">
        <f>IF($B65="","",'_Data'!$L$4)</f>
        <v>1</v>
      </c>
      <c r="I65" s="36">
        <f>IF($B65="","",'_Data'!$M$4)</f>
        <v>1</v>
      </c>
      <c r="J65" s="36">
        <f>IF($B65="","",'_Data'!$N$4)</f>
        <v>0</v>
      </c>
      <c r="K65" s="36">
        <f>IF($B65="","",'_Data'!$O$4)</f>
        <v>1</v>
      </c>
      <c r="L65" s="37">
        <f>IF($B65="","",'_Data'!$P$4)</f>
        <v>0.5</v>
      </c>
      <c r="M65" s="38" t="str">
        <f>IF($B65="","",REPT("█",ROUND(IFERROR($L65,0)*10,0))&amp;REPT("░",10-ROUND(IFERROR($L65,0)*10,0)))</f>
        <v>█████░░░░░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55</v>
      </c>
      <c r="E66" s="35">
        <f>IF($B66="","",'_Data'!$J$5)</f>
        <v>49.5</v>
      </c>
      <c r="F66" s="35">
        <f>IF(OR($B66="",'_Data'!$H$5=""),"",$D66-$E66)</f>
        <v>5.5</v>
      </c>
      <c r="G66" s="36">
        <f>IF($B66="","",'_Data'!$K$5)</f>
        <v>2</v>
      </c>
      <c r="H66" s="36">
        <f>IF($B66="","",'_Data'!$L$5)</f>
        <v>2</v>
      </c>
      <c r="I66" s="36">
        <f>IF($B66="","",'_Data'!$M$5)</f>
        <v>2</v>
      </c>
      <c r="J66" s="36">
        <f>IF($B66="","",'_Data'!$N$5)</f>
        <v>2</v>
      </c>
      <c r="K66" s="36">
        <f>IF($B66="","",'_Data'!$O$5)</f>
        <v>0</v>
      </c>
      <c r="L66" s="37">
        <f>IF($B66="","",'_Data'!$P$5)</f>
        <v>1.0</v>
      </c>
      <c r="M66" s="38" t="str">
        <f>IF($B66="","",REPT("█",ROUND(IFERROR($L66,0)*10,0))&amp;REPT("░",10-ROUND(IFERROR($L66,0)*10,0)))</f>
        <v>██████████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75</v>
      </c>
      <c r="E67" s="35">
        <f>IF($B67="","",'_Data'!$J$6)</f>
        <v>48.0</v>
      </c>
      <c r="F67" s="35">
        <f>IF(OR($B67="",'_Data'!$H$6=""),"",$D67-$E67)</f>
        <v>27.0</v>
      </c>
      <c r="G67" s="36">
        <f>IF($B67="","",'_Data'!$K$6)</f>
        <v>2</v>
      </c>
      <c r="H67" s="36">
        <f>IF($B67="","",'_Data'!$L$6)</f>
        <v>1</v>
      </c>
      <c r="I67" s="36">
        <f>IF($B67="","",'_Data'!$M$6)</f>
        <v>1</v>
      </c>
      <c r="J67" s="36">
        <f>IF($B67="","",'_Data'!$N$6)</f>
        <v>0</v>
      </c>
      <c r="K67" s="36">
        <f>IF($B67="","",'_Data'!$O$6)</f>
        <v>1</v>
      </c>
      <c r="L67" s="37">
        <f>IF($B67="","",'_Data'!$P$6)</f>
        <v>0.5</v>
      </c>
      <c r="M67" s="38" t="str">
        <f>IF($B67="","",REPT("█",ROUND(IFERROR($L67,0)*10,0))&amp;REPT("░",10-ROUND(IFERROR($L67,0)*10,0)))</f>
        <v>█████░░░░░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115</v>
      </c>
      <c r="E68" s="35">
        <f>IF($B68="","",'_Data'!$J$7)</f>
        <v>107.99</v>
      </c>
      <c r="F68" s="35">
        <f>IF(OR($B68="",'_Data'!$H$7=""),"",$D68-$E68)</f>
        <v>7.010000000000005</v>
      </c>
      <c r="G68" s="36">
        <f>IF($B68="","",'_Data'!$K$7)</f>
        <v>2</v>
      </c>
      <c r="H68" s="36">
        <f>IF($B68="","",'_Data'!$L$7)</f>
        <v>1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1</v>
      </c>
      <c r="L68" s="37">
        <f>IF($B68="","",'_Data'!$P$7)</f>
        <v>0.5</v>
      </c>
      <c r="M68" s="38" t="str">
        <f>IF($B68="","",REPT("█",ROUND(IFERROR($L68,0)*10,0))&amp;REPT("░",10-ROUND(IFERROR($L68,0)*10,0)))</f>
        <v>█████░░░░░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67</v>
      </c>
      <c r="E69" s="35">
        <f>IF($B69="","",'_Data'!$J$8)</f>
        <v>59.99</v>
      </c>
      <c r="F69" s="35">
        <f>IF(OR($B69="",'_Data'!$H$8=""),"",$D69-$E69)</f>
        <v>7.009999999999998</v>
      </c>
      <c r="G69" s="36">
        <f>IF($B69="","",'_Data'!$K$8)</f>
        <v>2</v>
      </c>
      <c r="H69" s="36">
        <f>IF($B69="","",'_Data'!$L$8)</f>
        <v>2</v>
      </c>
      <c r="I69" s="36">
        <f>IF($B69="","",'_Data'!$M$8)</f>
        <v>2</v>
      </c>
      <c r="J69" s="36">
        <f>IF($B69="","",'_Data'!$N$8)</f>
        <v>1</v>
      </c>
      <c r="K69" s="36">
        <f>IF($B69="","",'_Data'!$O$8)</f>
        <v>0</v>
      </c>
      <c r="L69" s="37">
        <f>IF($B69="","",'_Data'!$P$8)</f>
        <v>1.0</v>
      </c>
      <c r="M69" s="38" t="str">
        <f>IF($B69="","",REPT("█",ROUND(IFERROR($L69,0)*10,0))&amp;REPT("░",10-ROUND(IFERROR($L69,0)*10,0)))</f>
        <v>██████████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65</v>
      </c>
      <c r="E70" s="35">
        <f>IF($B70="","",'_Data'!$J$9)</f>
        <v>36.0</v>
      </c>
      <c r="F70" s="35">
        <f>IF(OR($B70="",'_Data'!$H$9=""),"",$D70-$E70)</f>
        <v>29.0</v>
      </c>
      <c r="G70" s="36">
        <f>IF($B70="","",'_Data'!$K$9)</f>
        <v>2</v>
      </c>
      <c r="H70" s="36">
        <f>IF($B70="","",'_Data'!$L$9)</f>
        <v>1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1</v>
      </c>
      <c r="L70" s="37">
        <f>IF($B70="","",'_Data'!$P$9)</f>
        <v>0.5</v>
      </c>
      <c r="M70" s="38" t="str">
        <f>IF($B70="","",REPT("█",ROUND(IFERROR($L70,0)*10,0))&amp;REPT("░",10-ROUND(IFERROR($L70,0)*10,0)))</f>
        <v>█████░░░░░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275</v>
      </c>
      <c r="E71" s="35">
        <f>IF($B71="","",'_Data'!$J$10)</f>
        <v>254.0</v>
      </c>
      <c r="F71" s="35">
        <f>IF(OR($B71="",'_Data'!$H$10=""),"",$D71-$E71)</f>
        <v>21.0</v>
      </c>
      <c r="G71" s="36">
        <f>IF($B71="","",'_Data'!$K$10)</f>
        <v>2</v>
      </c>
      <c r="H71" s="36">
        <f>IF($B71="","",'_Data'!$L$10)</f>
        <v>1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1</v>
      </c>
      <c r="L71" s="37">
        <f>IF($B71="","",'_Data'!$P$10)</f>
        <v>0.5</v>
      </c>
      <c r="M71" s="38" t="str">
        <f>IF($B71="","",REPT("█",ROUND(IFERROR($L71,0)*10,0))&amp;REPT("░",10-ROUND(IFERROR($L71,0)*10,0)))</f>
        <v>█████░░░░░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52</v>
      </c>
      <c r="E72" s="35">
        <f>IF($B72="","",'_Data'!$J$11)</f>
        <v>28.5</v>
      </c>
      <c r="F72" s="35">
        <f>IF(OR($B72="",'_Data'!$H$11=""),"",$D72-$E72)</f>
        <v>23.5</v>
      </c>
      <c r="G72" s="36">
        <f>IF($B72="","",'_Data'!$K$11)</f>
        <v>2</v>
      </c>
      <c r="H72" s="36">
        <f>IF($B72="","",'_Data'!$L$11)</f>
        <v>1</v>
      </c>
      <c r="I72" s="36">
        <f>IF($B72="","",'_Data'!$M$11)</f>
        <v>1</v>
      </c>
      <c r="J72" s="36">
        <f>IF($B72="","",'_Data'!$N$11)</f>
        <v>1</v>
      </c>
      <c r="K72" s="36">
        <f>IF($B72="","",'_Data'!$O$11)</f>
        <v>1</v>
      </c>
      <c r="L72" s="37">
        <f>IF($B72="","",'_Data'!$P$11)</f>
        <v>0.5</v>
      </c>
      <c r="M72" s="38" t="str">
        <f>IF($B72="","",REPT("█",ROUND(IFERROR($L72,0)*10,0))&amp;REPT("░",10-ROUND(IFERROR($L72,0)*10,0)))</f>
        <v>█████░░░░░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65</v>
      </c>
      <c r="E73" s="35">
        <f>IF($B73="","",'_Data'!$J$12)</f>
        <v>32.0</v>
      </c>
      <c r="F73" s="35">
        <f>IF(OR($B73="",'_Data'!$H$12=""),"",$D73-$E73)</f>
        <v>33.0</v>
      </c>
      <c r="G73" s="36">
        <f>IF($B73="","",'_Data'!$K$12)</f>
        <v>2</v>
      </c>
      <c r="H73" s="36">
        <f>IF($B73="","",'_Data'!$L$12)</f>
        <v>1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1</v>
      </c>
      <c r="L73" s="37">
        <f>IF($B73="","",'_Data'!$P$12)</f>
        <v>0.5</v>
      </c>
      <c r="M73" s="38" t="str">
        <f>IF($B73="","",REPT("█",ROUND(IFERROR($L73,0)*10,0))&amp;REPT("░",10-ROUND(IFERROR($L73,0)*10,0)))</f>
        <v>█████░░░░░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58</v>
      </c>
      <c r="E74" s="35">
        <f>IF($B74="","",'_Data'!$J$13)</f>
        <v>53.5</v>
      </c>
      <c r="F74" s="35">
        <f>IF(OR($B74="",'_Data'!$H$13=""),"",$D74-$E74)</f>
        <v>4.5</v>
      </c>
      <c r="G74" s="36">
        <f>IF($B74="","",'_Data'!$K$13)</f>
        <v>2</v>
      </c>
      <c r="H74" s="36">
        <f>IF($B74="","",'_Data'!$L$13)</f>
        <v>2</v>
      </c>
      <c r="I74" s="36">
        <f>IF($B74="","",'_Data'!$M$13)</f>
        <v>2</v>
      </c>
      <c r="J74" s="36">
        <f>IF($B74="","",'_Data'!$N$13)</f>
        <v>1</v>
      </c>
      <c r="K74" s="36">
        <f>IF($B74="","",'_Data'!$O$13)</f>
        <v>0</v>
      </c>
      <c r="L74" s="37">
        <f>IF($B74="","",'_Data'!$P$13)</f>
        <v>1.0</v>
      </c>
      <c r="M74" s="38" t="str">
        <f>IF($B74="","",REPT("█",ROUND(IFERROR($L74,0)*10,0))&amp;REPT("░",10-ROUND(IFERROR($L74,0)*10,0)))</f>
        <v>██████████</v>
      </c>
    </row>
    <row r="75" spans="1:13" ht="18" customHeight="1" x14ac:dyDescent="0.25">
      <c r="A75" s="1"/>
      <c r="B75" s="34" t="str">
        <f>'_Data'!$H$14</f>
        <v>Uncle Bill</v>
      </c>
      <c r="C75" s="34"/>
      <c r="D75" s="35">
        <f>IF($B75="","",'_Data'!$I$14)</f>
        <v>0</v>
      </c>
      <c r="E75" s="35">
        <f>IF($B75="","",'_Data'!$J$14)</f>
        <v>0</v>
      </c>
      <c r="F75" s="35">
        <f>IF(OR($B75="",'_Data'!$H$14=""),"",$D75-$E75)</f>
        <v>0</v>
      </c>
      <c r="G75" s="36">
        <f>IF($B75="","",'_Data'!$K$14)</f>
        <v>0</v>
      </c>
      <c r="H75" s="36">
        <f>IF($B75="","",'_Data'!$L$14)</f>
        <v>0</v>
      </c>
      <c r="I75" s="36">
        <f>IF($B75="","",'_Data'!$M$14)</f>
        <v>0</v>
      </c>
      <c r="J75" s="36">
        <f>IF($B75="","",'_Data'!$N$14)</f>
        <v>0</v>
      </c>
      <c r="K75" s="36">
        <f>IF($B75="","",'_Data'!$O$14)</f>
        <v>0</v>
      </c>
      <c r="L75" s="37">
        <f>IF($B75="","",'_Data'!$P$14)</f>
        <v/>
      </c>
      <c r="M75" s="38" t="str">
        <f>IF($B75="","",REPT("█",ROUND(IFERROR($L75,0)*10,0))&amp;REPT("░",10-ROUND(IFERROR($L75,0)*10,0)))</f>
        <v>░░░░░░░░░░</v>
      </c>
    </row>
    <row r="76" spans="1:13" ht="18" customHeight="1" x14ac:dyDescent="0.25">
      <c r="A76" s="1"/>
      <c r="B76" s="34" t="str">
        <f>'_Data'!$H$15</f>
        <v>Secret Santa</v>
      </c>
      <c r="C76" s="34"/>
      <c r="D76" s="35">
        <f>IF($B76="","",'_Data'!$I$15)</f>
        <v>15</v>
      </c>
      <c r="E76" s="35">
        <f>IF($B76="","",'_Data'!$J$15)</f>
        <v>12.99</v>
      </c>
      <c r="F76" s="35">
        <f>IF(OR($B76="",'_Data'!$H$15=""),"",$D76-$E76)</f>
        <v>2.01</v>
      </c>
      <c r="G76" s="36">
        <f>IF($B76="","",'_Data'!$K$15)</f>
        <v>1</v>
      </c>
      <c r="H76" s="36">
        <f>IF($B76="","",'_Data'!$L$15)</f>
        <v>1</v>
      </c>
      <c r="I76" s="36">
        <f>IF($B76="","",'_Data'!$M$15)</f>
        <v>0</v>
      </c>
      <c r="J76" s="36">
        <f>IF($B76="","",'_Data'!$N$15)</f>
        <v>0</v>
      </c>
      <c r="K76" s="36">
        <f>IF($B76="","",'_Data'!$O$15)</f>
        <v>0</v>
      </c>
      <c r="L76" s="37">
        <f>IF($B76="","",'_Data'!$P$15)</f>
        <v>1.0</v>
      </c>
      <c r="M76" s="38" t="str">
        <f>IF($B76="","",REPT("█",ROUND(IFERROR($L76,0)*10,0))&amp;REPT("░",10-ROUND(IFERROR($L76,0)*10,0)))</f>
        <v>██████████</v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591</v>
      </c>
      <c r="C79" s="39"/>
      <c r="D79" s="40">
        <f>SUM(D63:D78)</f>
        <v>1177</v>
      </c>
      <c r="E79" s="40">
        <f>SUM(E63:E78)</f>
        <v>1003.95</v>
      </c>
      <c r="F79" s="40">
        <f>SUM(F63:F78)</f>
        <v>173.04999999999998</v>
      </c>
      <c r="G79" s="39">
        <f>SUM(G63:G78)</f>
        <v>25</v>
      </c>
      <c r="H79" s="39">
        <f>SUM(H63:H78)</f>
        <v>18</v>
      </c>
      <c r="I79" s="39">
        <f>SUM(I63:I78)</f>
        <v>13</v>
      </c>
      <c r="J79" s="39">
        <f>SUM(J63:J78)</f>
        <v>6</v>
      </c>
      <c r="K79" s="39">
        <f>SUM(K63:K78)</f>
        <v>4</v>
      </c>
      <c r="L79" s="41">
        <f>IFERROR('_Data'!$AF$5/'_Data'!$AF$4,0)</f>
        <v>0.72</v>
      </c>
      <c r="M79" s="42" t="str">
        <f>SUM(M63:M78)</f>
        <v>███████░░░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592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593</v>
      </c>
      <c r="C82" s="43"/>
      <c r="D82" s="44" t="s">
        <v>249</v>
      </c>
      <c r="E82" s="44"/>
      <c r="F82" s="45" t="s">
        <v>250</v>
      </c>
      <c r="G82" s="45"/>
      <c r="H82" s="46" t="s">
        <v>251</v>
      </c>
      <c r="I82" s="46"/>
      <c r="J82" s="47" t="s">
        <v>252</v>
      </c>
      <c r="K82" s="47"/>
      <c r="L82" s="48" t="s">
        <v>253</v>
      </c>
      <c r="M82" s="48"/>
    </row>
    <row r="83" spans="1:13" ht="24" customHeight="1" x14ac:dyDescent="0.25">
      <c r="A83" s="1"/>
      <c r="B83" s="49" t="s">
        <v>254</v>
      </c>
      <c r="C83" s="49"/>
      <c r="D83" s="50" t="s">
        <v>255</v>
      </c>
      <c r="E83" s="50"/>
      <c r="F83" s="44" t="s">
        <v>256</v>
      </c>
      <c r="G83" s="44"/>
      <c r="H83" s="46" t="s">
        <v>257</v>
      </c>
      <c r="I83" s="46"/>
      <c r="J83" s="43" t="s">
        <v>327</v>
      </c>
      <c r="K83" s="43"/>
      <c r="L83" s="44" t="s">
        <v>259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594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25</v>
      </c>
      <c r="C5" s="55"/>
      <c r="D5" s="55"/>
      <c r="E5" s="56" t="str">
        <f>"✅ Purchased: "&amp;'_Data'!$AF$5</f>
        <v>✅ Purchased: 18</v>
      </c>
      <c r="F5" s="56"/>
      <c r="G5" s="56"/>
      <c r="H5" s="57" t="str">
        <f>"🎀 Wrapped: "&amp;'_Data'!$AF$6</f>
        <v>🎀 Wrapped: 13</v>
      </c>
      <c r="I5" s="57"/>
      <c r="J5" s="57"/>
      <c r="K5" s="58" t="str">
        <f>"📦 Given: "&amp;'_Data'!$AF$7</f>
        <v>📦 Given: 6</v>
      </c>
      <c r="L5" s="58"/>
      <c r="M5" s="58"/>
      <c r="N5" s="59" t="str">
        <f>"🛒 Still to buy: "&amp;'_Data'!$AF$8</f>
        <v>🛒 Still to buy: 4</v>
      </c>
      <c r="O5" s="59"/>
      <c r="P5" s="59"/>
      <c r="Q5" s="60" t="str">
        <f>"💰 Spent on gifts: "&amp;Currency&amp;TEXT('_Data'!$AF$16,"#,##0")</f>
        <v>💰 Spent on gifts: $1,004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263</v>
      </c>
      <c r="C7" s="33" t="s">
        <v>23</v>
      </c>
      <c r="D7" s="33" t="s">
        <v>264</v>
      </c>
      <c r="E7" s="33" t="s">
        <v>265</v>
      </c>
      <c r="F7" s="33" t="s">
        <v>266</v>
      </c>
      <c r="G7" s="33" t="s">
        <v>267</v>
      </c>
      <c r="H7" s="33" t="s">
        <v>268</v>
      </c>
      <c r="I7" s="61" t="s">
        <v>269</v>
      </c>
      <c r="J7" s="33" t="s">
        <v>270</v>
      </c>
      <c r="K7" s="33" t="s">
        <v>271</v>
      </c>
      <c r="L7" s="62" t="s">
        <v>272</v>
      </c>
      <c r="M7" s="62" t="s">
        <v>273</v>
      </c>
      <c r="N7" s="33" t="s">
        <v>33</v>
      </c>
      <c r="O7" s="33" t="s">
        <v>242</v>
      </c>
      <c r="P7" s="33" t="s">
        <v>274</v>
      </c>
      <c r="Q7" s="33" t="s">
        <v>275</v>
      </c>
      <c r="R7" s="62" t="s">
        <v>276</v>
      </c>
      <c r="S7" s="62" t="s">
        <v>277</v>
      </c>
      <c r="T7" s="33" t="s">
        <v>278</v>
      </c>
    </row>
    <row r="8" spans="1:20" ht="20" customHeight="1" x14ac:dyDescent="0.25">
      <c r="A8" s="1"/>
      <c r="B8" s="63">
        <f>IF($C8="","",ROW()-7)</f>
        <v>1</v>
      </c>
      <c r="C8" s="64" t="s">
        <v>125</v>
      </c>
      <c r="D8" s="65" t="s">
        <v>125</v>
      </c>
      <c r="E8" s="64" t="s">
        <v>279</v>
      </c>
      <c r="F8" s="65" t="s">
        <v>126</v>
      </c>
      <c r="G8" s="64" t="s">
        <v>155</v>
      </c>
      <c r="H8" s="66" t="s">
        <v>280</v>
      </c>
      <c r="I8" s="67" t="str">
        <f>IF($H8="","",HYPERLINK($H8,"🔗"))</f>
        <v>🔗</v>
      </c>
      <c r="J8" s="68">
        <v>60</v>
      </c>
      <c r="K8" s="68">
        <v>55</v>
      </c>
      <c r="L8" s="69">
        <f>IF($K8="","",IF($J8="",0,$J8)-$K8)</f>
        <v>5.0</v>
      </c>
      <c r="M8" s="70">
        <f>IF(OR($K8="",$J8="",$J8=0),"",$K8/$J8)</f>
        <v>0.9166666666666666</v>
      </c>
      <c r="N8" s="65" t="s">
        <v>240</v>
      </c>
      <c r="O8" s="71" t="s">
        <v>233</v>
      </c>
      <c r="P8" s="71"/>
      <c r="Q8" s="72">
        <v>46371</v>
      </c>
      <c r="R8" s="73">
        <f>IF($Q8="","",$Q8-TODAY())</f>
        <v>94</v>
      </c>
      <c r="S8" s="67" t="str">
        <f>IF($C8="","",IF(OR($N8="📦 Delivered",$P8="✓"),"✅ Done",IF($Q8="","",IF($Q8&lt;TODAY(),"🔴 Overdue",IF($Q8-TODAY()&lt;=DueSoonDays,"🟠 Due soon","🟢 On track")))))</f>
        <v>🟢 On track</v>
      </c>
      <c r="T8" s="64" t="s">
        <v>281</v>
      </c>
    </row>
    <row r="9" spans="1:20" ht="20" customHeight="1" x14ac:dyDescent="0.25">
      <c r="A9" s="1"/>
      <c r="B9" s="74">
        <f>IF($C9="","",ROW()-7)</f>
        <v>2</v>
      </c>
      <c r="C9" s="75" t="s">
        <v>125</v>
      </c>
      <c r="D9" s="76" t="s">
        <v>125</v>
      </c>
      <c r="E9" s="75" t="s">
        <v>282</v>
      </c>
      <c r="F9" s="76" t="s">
        <v>132</v>
      </c>
      <c r="G9" s="75" t="s">
        <v>185</v>
      </c>
      <c r="H9" s="77" t="s">
        <v>283</v>
      </c>
      <c r="I9" s="67" t="str">
        <f>IF($H9="","",HYPERLINK($H9,"🔗"))</f>
        <v>🔗</v>
      </c>
      <c r="J9" s="78">
        <v>45</v>
      </c>
      <c r="K9" s="78">
        <v>42.99</v>
      </c>
      <c r="L9" s="69">
        <f>IF($K9="","",IF($J9="",0,$J9)-$K9)</f>
        <v>2.009999999999998</v>
      </c>
      <c r="M9" s="70">
        <f>IF(OR($K9="",$J9="",$J9=0),"",$K9/$J9)</f>
        <v>0.9553333333333334</v>
      </c>
      <c r="N9" s="76" t="s">
        <v>242</v>
      </c>
      <c r="O9" s="79" t="s">
        <v>233</v>
      </c>
      <c r="P9" s="79"/>
      <c r="Q9" s="80">
        <v>46371</v>
      </c>
      <c r="R9" s="73">
        <f>IF($Q9="","",$Q9-TODAY())</f>
        <v>94</v>
      </c>
      <c r="S9" s="67" t="str">
        <f>IF($C9="","",IF(OR($N9="📦 Delivered",$P9="✓"),"✅ Done",IF($Q9="","",IF($Q9&lt;TODAY(),"🔴 Overdue",IF($Q9-TODAY()&lt;=DueSoonDays,"🟠 Due soon","🟢 On track")))))</f>
        <v>🟢 On track</v>
      </c>
      <c r="T9" s="75"/>
    </row>
    <row r="10" spans="1:20" ht="20" customHeight="1" x14ac:dyDescent="0.25">
      <c r="A10" s="1"/>
      <c r="B10" s="63">
        <f>IF($C10="","",ROW()-7)</f>
        <v>3</v>
      </c>
      <c r="C10" s="64" t="s">
        <v>131</v>
      </c>
      <c r="D10" s="65" t="s">
        <v>131</v>
      </c>
      <c r="E10" s="64" t="s">
        <v>284</v>
      </c>
      <c r="F10" s="65" t="s">
        <v>126</v>
      </c>
      <c r="G10" s="64" t="s">
        <v>127</v>
      </c>
      <c r="H10" s="66" t="s">
        <v>285</v>
      </c>
      <c r="I10" s="67" t="str">
        <f>IF($H10="","",HYPERLINK($H10,"🔗"))</f>
        <v>🔗</v>
      </c>
      <c r="J10" s="68">
        <v>40</v>
      </c>
      <c r="K10" s="68">
        <v>38.5</v>
      </c>
      <c r="L10" s="69">
        <f>IF($K10="","",IF($J10="",0,$J10)-$K10)</f>
        <v>1.5</v>
      </c>
      <c r="M10" s="70">
        <f>IF(OR($K10="",$J10="",$J10=0),"",$K10/$J10)</f>
        <v>0.9625</v>
      </c>
      <c r="N10" s="65" t="s">
        <v>244</v>
      </c>
      <c r="O10" s="71" t="s">
        <v>233</v>
      </c>
      <c r="P10" s="71" t="s">
        <v>233</v>
      </c>
      <c r="Q10" s="72">
        <v>46367</v>
      </c>
      <c r="R10" s="73">
        <f>IF($Q10="","",$Q10-TODAY())</f>
        <v>90</v>
      </c>
      <c r="S10" s="67" t="str">
        <f>IF($C10="","",IF(OR($N10="📦 Delivered",$P10="✓"),"✅ Done",IF($Q10="","",IF($Q10&lt;TODAY(),"🔴 Overdue",IF($Q10-TODAY()&lt;=DueSoonDays,"🟠 Due soon","🟢 On track")))))</f>
        <v>✅ Done</v>
      </c>
      <c r="T10" s="64" t="s">
        <v>286</v>
      </c>
    </row>
    <row r="11" spans="1:20" ht="20" customHeight="1" x14ac:dyDescent="0.25">
      <c r="A11" s="1"/>
      <c r="B11" s="74">
        <f>IF($C11="","",ROW()-7)</f>
        <v>4</v>
      </c>
      <c r="C11" s="75" t="s">
        <v>131</v>
      </c>
      <c r="D11" s="76" t="s">
        <v>131</v>
      </c>
      <c r="E11" s="75" t="s">
        <v>287</v>
      </c>
      <c r="F11" s="76" t="s">
        <v>169</v>
      </c>
      <c r="G11" s="75" t="s">
        <v>215</v>
      </c>
      <c r="H11" s="77" t="s">
        <v>288</v>
      </c>
      <c r="I11" s="67" t="str">
        <f>IF($H11="","",HYPERLINK($H11,"🔗"))</f>
        <v>🔗</v>
      </c>
      <c r="J11" s="78">
        <v>55</v>
      </c>
      <c r="K11" s="78">
        <v>55</v>
      </c>
      <c r="L11" s="69">
        <f>IF($K11="","",IF($J11="",0,$J11)-$K11)</f>
        <v>0.0</v>
      </c>
      <c r="M11" s="70">
        <f>IF(OR($K11="",$J11="",$J11=0),"",$K11/$J11)</f>
        <v>1.0</v>
      </c>
      <c r="N11" s="76" t="s">
        <v>240</v>
      </c>
      <c r="O11" s="79" t="s">
        <v>233</v>
      </c>
      <c r="P11" s="79"/>
      <c r="Q11" s="80">
        <v>46373</v>
      </c>
      <c r="R11" s="73">
        <f>IF($Q11="","",$Q11-TODAY())</f>
        <v>96</v>
      </c>
      <c r="S11" s="67" t="str">
        <f>IF($C11="","",IF(OR($N11="📦 Delivered",$P11="✓"),"✅ Done",IF($Q11="","",IF($Q11&lt;TODAY(),"🔴 Overdue",IF($Q11-TODAY()&lt;=DueSoonDays,"🟠 Due soon","🟢 On track")))))</f>
        <v>🟢 On track</v>
      </c>
      <c r="T11" s="75"/>
    </row>
    <row r="12" spans="1:20" ht="20" customHeight="1" x14ac:dyDescent="0.25">
      <c r="A12" s="1"/>
      <c r="B12" s="63">
        <f>IF($C12="","",ROW()-7)</f>
        <v>5</v>
      </c>
      <c r="C12" s="64" t="s">
        <v>139</v>
      </c>
      <c r="D12" s="65" t="s">
        <v>140</v>
      </c>
      <c r="E12" s="64" t="s">
        <v>289</v>
      </c>
      <c r="F12" s="65" t="s">
        <v>141</v>
      </c>
      <c r="G12" s="64" t="s">
        <v>127</v>
      </c>
      <c r="H12" s="66" t="s">
        <v>285</v>
      </c>
      <c r="I12" s="67" t="str">
        <f>IF($H12="","",HYPERLINK($H12,"🔗"))</f>
        <v>🔗</v>
      </c>
      <c r="J12" s="68">
        <v>90</v>
      </c>
      <c r="K12" s="68">
        <v>84.98999999999999</v>
      </c>
      <c r="L12" s="69">
        <f>IF($K12="","",IF($J12="",0,$J12)-$K12)</f>
        <v>5.010000000000005</v>
      </c>
      <c r="M12" s="70">
        <f>IF(OR($K12="",$J12="",$J12=0),"",$K12/$J12)</f>
        <v>0.9443333333333332</v>
      </c>
      <c r="N12" s="65" t="s">
        <v>237</v>
      </c>
      <c r="O12" s="71"/>
      <c r="P12" s="71"/>
      <c r="Q12" s="72">
        <v>46376</v>
      </c>
      <c r="R12" s="73">
        <f>IF($Q12="","",$Q12-TODAY())</f>
        <v>99</v>
      </c>
      <c r="S12" s="67" t="str">
        <f>IF($C12="","",IF(OR($N12="📦 Delivered",$P12="✓"),"✅ Done",IF($Q12="","",IF($Q12&lt;TODAY(),"🔴 Overdue",IF($Q12-TODAY()&lt;=DueSoonDays,"🟠 Due soon","🟢 On track")))))</f>
        <v>🟢 On track</v>
      </c>
      <c r="T12" s="64" t="s">
        <v>290</v>
      </c>
    </row>
    <row r="13" spans="1:20" ht="20" customHeight="1" x14ac:dyDescent="0.25">
      <c r="A13" s="1"/>
      <c r="B13" s="74">
        <f>IF($C13="","",ROW()-7)</f>
        <v>6</v>
      </c>
      <c r="C13" s="75" t="s">
        <v>139</v>
      </c>
      <c r="D13" s="76" t="s">
        <v>140</v>
      </c>
      <c r="E13" s="75" t="s">
        <v>291</v>
      </c>
      <c r="F13" s="76" t="s">
        <v>184</v>
      </c>
      <c r="G13" s="75" t="s">
        <v>133</v>
      </c>
      <c r="H13" s="77" t="s">
        <v>292</v>
      </c>
      <c r="I13" s="67" t="str">
        <f>IF($H13="","",HYPERLINK($H13,"🔗"))</f>
        <v>🔗</v>
      </c>
      <c r="J13" s="78">
        <v>45</v>
      </c>
      <c r="K13" s="78">
        <v>45</v>
      </c>
      <c r="L13" s="69">
        <f>IF($K13="","",IF($J13="",0,$J13)-$K13)</f>
        <v>0.0</v>
      </c>
      <c r="M13" s="70">
        <f>IF(OR($K13="",$J13="",$J13=0),"",$K13/$J13)</f>
        <v>1.0</v>
      </c>
      <c r="N13" s="76" t="s">
        <v>242</v>
      </c>
      <c r="O13" s="79" t="s">
        <v>233</v>
      </c>
      <c r="P13" s="79"/>
      <c r="Q13" s="80">
        <v>46369</v>
      </c>
      <c r="R13" s="73">
        <f>IF($Q13="","",$Q13-TODAY())</f>
        <v>92</v>
      </c>
      <c r="S13" s="67" t="str">
        <f>IF($C13="","",IF(OR($N13="📦 Delivered",$P13="✓"),"✅ Done",IF($Q13="","",IF($Q13&lt;TODAY(),"🔴 Overdue",IF($Q13-TODAY()&lt;=DueSoonDays,"🟠 Due soon","🟢 On track")))))</f>
        <v>🟢 On track</v>
      </c>
      <c r="T13" s="75"/>
    </row>
    <row r="14" spans="1:20" ht="20" customHeight="1" x14ac:dyDescent="0.25">
      <c r="A14" s="1"/>
      <c r="B14" s="63">
        <f>IF($C14="","",ROW()-7)</f>
        <v>7</v>
      </c>
      <c r="C14" s="64" t="s">
        <v>146</v>
      </c>
      <c r="D14" s="65" t="s">
        <v>147</v>
      </c>
      <c r="E14" s="64" t="s">
        <v>293</v>
      </c>
      <c r="F14" s="65" t="s">
        <v>154</v>
      </c>
      <c r="G14" s="64" t="s">
        <v>211</v>
      </c>
      <c r="H14" s="66"/>
      <c r="I14" s="67">
        <f>IF($H14="","",HYPERLINK($H14,"🔗"))</f>
        <v/>
      </c>
      <c r="J14" s="68">
        <v>25</v>
      </c>
      <c r="K14" s="68">
        <v>22</v>
      </c>
      <c r="L14" s="69">
        <f>IF($K14="","",IF($J14="",0,$J14)-$K14)</f>
        <v>3.0</v>
      </c>
      <c r="M14" s="70">
        <f>IF(OR($K14="",$J14="",$J14=0),"",$K14/$J14)</f>
        <v>0.88</v>
      </c>
      <c r="N14" s="65" t="s">
        <v>244</v>
      </c>
      <c r="O14" s="71" t="s">
        <v>233</v>
      </c>
      <c r="P14" s="71" t="s">
        <v>233</v>
      </c>
      <c r="Q14" s="72">
        <v>46365</v>
      </c>
      <c r="R14" s="73">
        <f>IF($Q14="","",$Q14-TODAY())</f>
        <v>88</v>
      </c>
      <c r="S14" s="67" t="str">
        <f>IF($C14="","",IF(OR($N14="📦 Delivered",$P14="✓"),"✅ Done",IF($Q14="","",IF($Q14&lt;TODAY(),"🔴 Overdue",IF($Q14-TODAY()&lt;=DueSoonDays,"🟠 Due soon","🟢 On track")))))</f>
        <v>✅ Done</v>
      </c>
      <c r="T14" s="64"/>
    </row>
    <row r="15" spans="1:20" ht="20" customHeight="1" x14ac:dyDescent="0.25">
      <c r="A15" s="1"/>
      <c r="B15" s="74">
        <f>IF($C15="","",ROW()-7)</f>
        <v>8</v>
      </c>
      <c r="C15" s="75" t="s">
        <v>146</v>
      </c>
      <c r="D15" s="76" t="s">
        <v>147</v>
      </c>
      <c r="E15" s="75" t="s">
        <v>294</v>
      </c>
      <c r="F15" s="76" t="s">
        <v>126</v>
      </c>
      <c r="G15" s="75" t="s">
        <v>127</v>
      </c>
      <c r="H15" s="77" t="s">
        <v>285</v>
      </c>
      <c r="I15" s="67" t="str">
        <f>IF($H15="","",HYPERLINK($H15,"🔗"))</f>
        <v>🔗</v>
      </c>
      <c r="J15" s="78">
        <v>30</v>
      </c>
      <c r="K15" s="78">
        <v>27.5</v>
      </c>
      <c r="L15" s="69">
        <f>IF($K15="","",IF($J15="",0,$J15)-$K15)</f>
        <v>2.5</v>
      </c>
      <c r="M15" s="70">
        <f>IF(OR($K15="",$J15="",$J15=0),"",$K15/$J15)</f>
        <v>0.9166666666666666</v>
      </c>
      <c r="N15" s="76" t="s">
        <v>244</v>
      </c>
      <c r="O15" s="79" t="s">
        <v>233</v>
      </c>
      <c r="P15" s="79" t="s">
        <v>233</v>
      </c>
      <c r="Q15" s="80">
        <v>46365</v>
      </c>
      <c r="R15" s="73">
        <f>IF($Q15="","",$Q15-TODAY())</f>
        <v>88</v>
      </c>
      <c r="S15" s="67" t="str">
        <f>IF($C15="","",IF(OR($N15="📦 Delivered",$P15="✓"),"✅ Done",IF($Q15="","",IF($Q15&lt;TODAY(),"🔴 Overdue",IF($Q15-TODAY()&lt;=DueSoonDays,"🟠 Due soon","🟢 On track")))))</f>
        <v>✅ Done</v>
      </c>
      <c r="T15" s="75"/>
    </row>
    <row r="16" spans="1:20" ht="20" customHeight="1" x14ac:dyDescent="0.25">
      <c r="A16" s="1"/>
      <c r="B16" s="63">
        <f>IF($C16="","",ROW()-7)</f>
        <v>9</v>
      </c>
      <c r="C16" s="64" t="s">
        <v>152</v>
      </c>
      <c r="D16" s="65" t="s">
        <v>153</v>
      </c>
      <c r="E16" s="64" t="s">
        <v>295</v>
      </c>
      <c r="F16" s="65" t="s">
        <v>192</v>
      </c>
      <c r="G16" s="64" t="s">
        <v>133</v>
      </c>
      <c r="H16" s="66" t="s">
        <v>292</v>
      </c>
      <c r="I16" s="67" t="str">
        <f>IF($H16="","",HYPERLINK($H16,"🔗"))</f>
        <v>🔗</v>
      </c>
      <c r="J16" s="68">
        <v>50</v>
      </c>
      <c r="K16" s="68">
        <v>48</v>
      </c>
      <c r="L16" s="69">
        <f>IF($K16="","",IF($J16="",0,$J16)-$K16)</f>
        <v>2.0</v>
      </c>
      <c r="M16" s="70">
        <f>IF(OR($K16="",$J16="",$J16=0),"",$K16/$J16)</f>
        <v>0.96</v>
      </c>
      <c r="N16" s="65" t="s">
        <v>242</v>
      </c>
      <c r="O16" s="71" t="s">
        <v>233</v>
      </c>
      <c r="P16" s="71"/>
      <c r="Q16" s="72">
        <v>46375</v>
      </c>
      <c r="R16" s="73">
        <f>IF($Q16="","",$Q16-TODAY())</f>
        <v>98</v>
      </c>
      <c r="S16" s="67" t="str">
        <f>IF($C16="","",IF(OR($N16="📦 Delivered",$P16="✓"),"✅ Done",IF($Q16="","",IF($Q16&lt;TODAY(),"🔴 Overdue",IF($Q16-TODAY()&lt;=DueSoonDays,"🟠 Due soon","🟢 On track")))))</f>
        <v>🟢 On track</v>
      </c>
      <c r="T16" s="64"/>
    </row>
    <row r="17" spans="1:20" ht="20" customHeight="1" x14ac:dyDescent="0.25">
      <c r="A17" s="1"/>
      <c r="B17" s="74">
        <f>IF($C17="","",ROW()-7)</f>
        <v>10</v>
      </c>
      <c r="C17" s="75" t="s">
        <v>152</v>
      </c>
      <c r="D17" s="76" t="s">
        <v>153</v>
      </c>
      <c r="E17" s="75" t="s">
        <v>296</v>
      </c>
      <c r="F17" s="76" t="s">
        <v>132</v>
      </c>
      <c r="G17" s="75" t="s">
        <v>185</v>
      </c>
      <c r="H17" s="77" t="s">
        <v>283</v>
      </c>
      <c r="I17" s="67" t="str">
        <f>IF($H17="","",HYPERLINK($H17,"🔗"))</f>
        <v>🔗</v>
      </c>
      <c r="J17" s="78">
        <v>25</v>
      </c>
      <c r="K17" s="78"/>
      <c r="L17" s="69">
        <f>IF($K17="","",IF($J17="",0,$J17)-$K17)</f>
        <v/>
      </c>
      <c r="M17" s="70">
        <f>IF(OR($K17="",$J17="",$J17=0),"",$K17/$J17)</f>
        <v/>
      </c>
      <c r="N17" s="76" t="s">
        <v>234</v>
      </c>
      <c r="O17" s="79"/>
      <c r="P17" s="79"/>
      <c r="Q17" s="80">
        <v>46375</v>
      </c>
      <c r="R17" s="73">
        <f>IF($Q17="","",$Q17-TODAY())</f>
        <v>98</v>
      </c>
      <c r="S17" s="67" t="str">
        <f>IF($C17="","",IF(OR($N17="📦 Delivered",$P17="✓"),"✅ Done",IF($Q17="","",IF($Q17&lt;TODAY(),"🔴 Overdue",IF($Q17-TODAY()&lt;=DueSoonDays,"🟠 Due soon","🟢 On track")))))</f>
        <v>🟢 On track</v>
      </c>
      <c r="T17" s="75" t="s">
        <v>297</v>
      </c>
    </row>
    <row r="18" spans="1:20" ht="20" customHeight="1" x14ac:dyDescent="0.25">
      <c r="A18" s="1"/>
      <c r="B18" s="63">
        <f>IF($C18="","",ROW()-7)</f>
        <v>11</v>
      </c>
      <c r="C18" s="64" t="s">
        <v>160</v>
      </c>
      <c r="D18" s="65" t="s">
        <v>161</v>
      </c>
      <c r="E18" s="64" t="s">
        <v>298</v>
      </c>
      <c r="F18" s="65" t="s">
        <v>141</v>
      </c>
      <c r="G18" s="64" t="s">
        <v>193</v>
      </c>
      <c r="H18" s="66" t="s">
        <v>299</v>
      </c>
      <c r="I18" s="67" t="str">
        <f>IF($H18="","",HYPERLINK($H18,"🔗"))</f>
        <v>🔗</v>
      </c>
      <c r="J18" s="68">
        <v>80</v>
      </c>
      <c r="K18" s="68">
        <v>74.98999999999999</v>
      </c>
      <c r="L18" s="69">
        <f>IF($K18="","",IF($J18="",0,$J18)-$K18)</f>
        <v>5.010000000000005</v>
      </c>
      <c r="M18" s="70">
        <f>IF(OR($K18="",$J18="",$J18=0),"",$K18/$J18)</f>
        <v>0.937375</v>
      </c>
      <c r="N18" s="65" t="s">
        <v>237</v>
      </c>
      <c r="O18" s="71"/>
      <c r="P18" s="71"/>
      <c r="Q18" s="72">
        <v>46377</v>
      </c>
      <c r="R18" s="73">
        <f>IF($Q18="","",$Q18-TODAY())</f>
        <v>100</v>
      </c>
      <c r="S18" s="67" t="str">
        <f>IF($C18="","",IF(OR($N18="📦 Delivered",$P18="✓"),"✅ Done",IF($Q18="","",IF($Q18&lt;TODAY(),"🔴 Overdue",IF($Q18-TODAY()&lt;=DueSoonDays,"🟠 Due soon","🟢 On track")))))</f>
        <v>🟢 On track</v>
      </c>
      <c r="T18" s="64" t="s">
        <v>300</v>
      </c>
    </row>
    <row r="19" spans="1:20" ht="20" customHeight="1" x14ac:dyDescent="0.25">
      <c r="A19" s="1"/>
      <c r="B19" s="74">
        <f>IF($C19="","",ROW()-7)</f>
        <v>12</v>
      </c>
      <c r="C19" s="75" t="s">
        <v>160</v>
      </c>
      <c r="D19" s="76" t="s">
        <v>161</v>
      </c>
      <c r="E19" s="75" t="s">
        <v>301</v>
      </c>
      <c r="F19" s="76" t="s">
        <v>169</v>
      </c>
      <c r="G19" s="75" t="s">
        <v>163</v>
      </c>
      <c r="H19" s="77"/>
      <c r="I19" s="67">
        <f>IF($H19="","",HYPERLINK($H19,"🔗"))</f>
        <v/>
      </c>
      <c r="J19" s="78">
        <v>35</v>
      </c>
      <c r="K19" s="78">
        <v>33</v>
      </c>
      <c r="L19" s="69">
        <f>IF($K19="","",IF($J19="",0,$J19)-$K19)</f>
        <v>2.0</v>
      </c>
      <c r="M19" s="70">
        <f>IF(OR($K19="",$J19="",$J19=0),"",$K19/$J19)</f>
        <v>0.9428571428571428</v>
      </c>
      <c r="N19" s="76" t="s">
        <v>240</v>
      </c>
      <c r="O19" s="79"/>
      <c r="P19" s="79"/>
      <c r="Q19" s="80">
        <v>46372</v>
      </c>
      <c r="R19" s="73">
        <f>IF($Q19="","",$Q19-TODAY())</f>
        <v>95</v>
      </c>
      <c r="S19" s="67" t="str">
        <f>IF($C19="","",IF(OR($N19="📦 Delivered",$P19="✓"),"✅ Done",IF($Q19="","",IF($Q19&lt;TODAY(),"🔴 Overdue",IF($Q19-TODAY()&lt;=DueSoonDays,"🟠 Due soon","🟢 On track")))))</f>
        <v>🟢 On track</v>
      </c>
      <c r="T19" s="75"/>
    </row>
    <row r="20" spans="1:20" ht="20" customHeight="1" x14ac:dyDescent="0.25">
      <c r="A20" s="1"/>
      <c r="B20" s="63">
        <f>IF($C20="","",ROW()-7)</f>
        <v>13</v>
      </c>
      <c r="C20" s="64" t="s">
        <v>167</v>
      </c>
      <c r="D20" s="65" t="s">
        <v>191</v>
      </c>
      <c r="E20" s="64" t="s">
        <v>302</v>
      </c>
      <c r="F20" s="65" t="s">
        <v>148</v>
      </c>
      <c r="G20" s="64" t="s">
        <v>127</v>
      </c>
      <c r="H20" s="66" t="s">
        <v>285</v>
      </c>
      <c r="I20" s="67" t="str">
        <f>IF($H20="","",HYPERLINK($H20,"🔗"))</f>
        <v>🔗</v>
      </c>
      <c r="J20" s="68">
        <v>45</v>
      </c>
      <c r="K20" s="68">
        <v>39.99</v>
      </c>
      <c r="L20" s="69">
        <f>IF($K20="","",IF($J20="",0,$J20)-$K20)</f>
        <v>5.009999999999998</v>
      </c>
      <c r="M20" s="70">
        <f>IF(OR($K20="",$J20="",$J20=0),"",$K20/$J20)</f>
        <v>0.8886666666666667</v>
      </c>
      <c r="N20" s="65" t="s">
        <v>244</v>
      </c>
      <c r="O20" s="71" t="s">
        <v>233</v>
      </c>
      <c r="P20" s="71" t="s">
        <v>233</v>
      </c>
      <c r="Q20" s="72">
        <v>46363</v>
      </c>
      <c r="R20" s="73">
        <f>IF($Q20="","",$Q20-TODAY())</f>
        <v>86</v>
      </c>
      <c r="S20" s="67" t="str">
        <f>IF($C20="","",IF(OR($N20="📦 Delivered",$P20="✓"),"✅ Done",IF($Q20="","",IF($Q20&lt;TODAY(),"🔴 Overdue",IF($Q20-TODAY()&lt;=DueSoonDays,"🟠 Due soon","🟢 On track")))))</f>
        <v>✅ Done</v>
      </c>
      <c r="T20" s="64" t="s">
        <v>303</v>
      </c>
    </row>
    <row r="21" spans="1:20" ht="20" customHeight="1" x14ac:dyDescent="0.25">
      <c r="A21" s="1"/>
      <c r="B21" s="74">
        <f>IF($C21="","",ROW()-7)</f>
        <v>14</v>
      </c>
      <c r="C21" s="75" t="s">
        <v>167</v>
      </c>
      <c r="D21" s="76" t="s">
        <v>191</v>
      </c>
      <c r="E21" s="75" t="s">
        <v>304</v>
      </c>
      <c r="F21" s="76" t="s">
        <v>214</v>
      </c>
      <c r="G21" s="75" t="s">
        <v>133</v>
      </c>
      <c r="H21" s="77" t="s">
        <v>292</v>
      </c>
      <c r="I21" s="67" t="str">
        <f>IF($H21="","",HYPERLINK($H21,"🔗"))</f>
        <v>🔗</v>
      </c>
      <c r="J21" s="78">
        <v>22</v>
      </c>
      <c r="K21" s="78">
        <v>20</v>
      </c>
      <c r="L21" s="69">
        <f>IF($K21="","",IF($J21="",0,$J21)-$K21)</f>
        <v>2.0</v>
      </c>
      <c r="M21" s="70">
        <f>IF(OR($K21="",$J21="",$J21=0),"",$K21/$J21)</f>
        <v>0.9090909090909091</v>
      </c>
      <c r="N21" s="76" t="s">
        <v>242</v>
      </c>
      <c r="O21" s="79" t="s">
        <v>233</v>
      </c>
      <c r="P21" s="79"/>
      <c r="Q21" s="80">
        <v>46374</v>
      </c>
      <c r="R21" s="73">
        <f>IF($Q21="","",$Q21-TODAY())</f>
        <v>97</v>
      </c>
      <c r="S21" s="67" t="str">
        <f>IF($C21="","",IF(OR($N21="📦 Delivered",$P21="✓"),"✅ Done",IF($Q21="","",IF($Q21&lt;TODAY(),"🔴 Overdue",IF($Q21-TODAY()&lt;=DueSoonDays,"🟠 Due soon","🟢 On track")))))</f>
        <v>🟢 On track</v>
      </c>
      <c r="T21" s="75"/>
    </row>
    <row r="22" spans="1:20" ht="20" customHeight="1" x14ac:dyDescent="0.25">
      <c r="A22" s="1"/>
      <c r="B22" s="63">
        <f>IF($C22="","",ROW()-7)</f>
        <v>15</v>
      </c>
      <c r="C22" s="64" t="s">
        <v>174</v>
      </c>
      <c r="D22" s="65" t="s">
        <v>198</v>
      </c>
      <c r="E22" s="64" t="s">
        <v>305</v>
      </c>
      <c r="F22" s="65" t="s">
        <v>220</v>
      </c>
      <c r="G22" s="64" t="s">
        <v>195</v>
      </c>
      <c r="H22" s="66"/>
      <c r="I22" s="67">
        <f>IF($H22="","",HYPERLINK($H22,"🔗"))</f>
        <v/>
      </c>
      <c r="J22" s="68">
        <v>40</v>
      </c>
      <c r="K22" s="68">
        <v>36</v>
      </c>
      <c r="L22" s="69">
        <f>IF($K22="","",IF($J22="",0,$J22)-$K22)</f>
        <v>4.0</v>
      </c>
      <c r="M22" s="70">
        <f>IF(OR($K22="",$J22="",$J22=0),"",$K22/$J22)</f>
        <v>0.9</v>
      </c>
      <c r="N22" s="65" t="s">
        <v>240</v>
      </c>
      <c r="O22" s="71"/>
      <c r="P22" s="71"/>
      <c r="Q22" s="72">
        <v>46378</v>
      </c>
      <c r="R22" s="73">
        <f>IF($Q22="","",$Q22-TODAY())</f>
        <v>101</v>
      </c>
      <c r="S22" s="67" t="str">
        <f>IF($C22="","",IF(OR($N22="📦 Delivered",$P22="✓"),"✅ Done",IF($Q22="","",IF($Q22&lt;TODAY(),"🔴 Overdue",IF($Q22-TODAY()&lt;=DueSoonDays,"🟠 Due soon","🟢 On track")))))</f>
        <v>🟢 On track</v>
      </c>
      <c r="T22" s="64" t="s">
        <v>306</v>
      </c>
    </row>
    <row r="23" spans="1:20" ht="20" customHeight="1" x14ac:dyDescent="0.25">
      <c r="A23" s="1"/>
      <c r="B23" s="74">
        <f>IF($C23="","",ROW()-7)</f>
        <v>16</v>
      </c>
      <c r="C23" s="75" t="s">
        <v>174</v>
      </c>
      <c r="D23" s="76" t="s">
        <v>198</v>
      </c>
      <c r="E23" s="75" t="s">
        <v>307</v>
      </c>
      <c r="F23" s="76" t="s">
        <v>154</v>
      </c>
      <c r="G23" s="75" t="s">
        <v>211</v>
      </c>
      <c r="H23" s="77"/>
      <c r="I23" s="67">
        <f>IF($H23="","",HYPERLINK($H23,"🔗"))</f>
        <v/>
      </c>
      <c r="J23" s="78">
        <v>25</v>
      </c>
      <c r="K23" s="78"/>
      <c r="L23" s="69">
        <f>IF($K23="","",IF($J23="",0,$J23)-$K23)</f>
        <v/>
      </c>
      <c r="M23" s="70">
        <f>IF(OR($K23="",$J23="",$J23=0),"",$K23/$J23)</f>
        <v/>
      </c>
      <c r="N23" s="76" t="s">
        <v>230</v>
      </c>
      <c r="O23" s="79"/>
      <c r="P23" s="79"/>
      <c r="Q23" s="80">
        <v>46378</v>
      </c>
      <c r="R23" s="73">
        <f>IF($Q23="","",$Q23-TODAY())</f>
        <v>101</v>
      </c>
      <c r="S23" s="67" t="str">
        <f>IF($C23="","",IF(OR($N23="📦 Delivered",$P23="✓"),"✅ Done",IF($Q23="","",IF($Q23&lt;TODAY(),"🔴 Overdue",IF($Q23-TODAY()&lt;=DueSoonDays,"🟠 Due soon","🟢 On track")))))</f>
        <v>🟢 On track</v>
      </c>
      <c r="T23" s="75" t="s">
        <v>308</v>
      </c>
    </row>
    <row r="24" spans="1:20" ht="20" customHeight="1" x14ac:dyDescent="0.25">
      <c r="A24" s="1"/>
      <c r="B24" s="63">
        <f>IF($C24="","",ROW()-7)</f>
        <v>17</v>
      </c>
      <c r="C24" s="64" t="s">
        <v>182</v>
      </c>
      <c r="D24" s="65" t="s">
        <v>168</v>
      </c>
      <c r="E24" s="64" t="s">
        <v>309</v>
      </c>
      <c r="F24" s="65" t="s">
        <v>220</v>
      </c>
      <c r="G24" s="64" t="s">
        <v>195</v>
      </c>
      <c r="H24" s="66"/>
      <c r="I24" s="67">
        <f>IF($H24="","",HYPERLINK($H24,"🔗"))</f>
        <v/>
      </c>
      <c r="J24" s="68">
        <v>180</v>
      </c>
      <c r="K24" s="68">
        <v>165</v>
      </c>
      <c r="L24" s="69">
        <f>IF($K24="","",IF($J24="",0,$J24)-$K24)</f>
        <v>15.0</v>
      </c>
      <c r="M24" s="70">
        <f>IF(OR($K24="",$J24="",$J24=0),"",$K24/$J24)</f>
        <v>0.9166666666666666</v>
      </c>
      <c r="N24" s="65" t="s">
        <v>240</v>
      </c>
      <c r="O24" s="71"/>
      <c r="P24" s="71"/>
      <c r="Q24" s="72">
        <v>46379</v>
      </c>
      <c r="R24" s="73">
        <f>IF($Q24="","",$Q24-TODAY())</f>
        <v>102</v>
      </c>
      <c r="S24" s="67" t="str">
        <f>IF($C24="","",IF(OR($N24="📦 Delivered",$P24="✓"),"✅ Done",IF($Q24="","",IF($Q24&lt;TODAY(),"🔴 Overdue",IF($Q24-TODAY()&lt;=DueSoonDays,"🟠 Due soon","🟢 On track")))))</f>
        <v>🟢 On track</v>
      </c>
      <c r="T24" s="64" t="s">
        <v>310</v>
      </c>
    </row>
    <row r="25" spans="1:20" ht="20" customHeight="1" x14ac:dyDescent="0.25">
      <c r="A25" s="1"/>
      <c r="B25" s="74">
        <f>IF($C25="","",ROW()-7)</f>
        <v>18</v>
      </c>
      <c r="C25" s="75" t="s">
        <v>182</v>
      </c>
      <c r="D25" s="76" t="s">
        <v>168</v>
      </c>
      <c r="E25" s="75" t="s">
        <v>311</v>
      </c>
      <c r="F25" s="76" t="s">
        <v>192</v>
      </c>
      <c r="G25" s="75" t="s">
        <v>133</v>
      </c>
      <c r="H25" s="77" t="s">
        <v>292</v>
      </c>
      <c r="I25" s="67" t="str">
        <f>IF($H25="","",HYPERLINK($H25,"🔗"))</f>
        <v>🔗</v>
      </c>
      <c r="J25" s="78">
        <v>95</v>
      </c>
      <c r="K25" s="78">
        <v>89</v>
      </c>
      <c r="L25" s="69">
        <f>IF($K25="","",IF($J25="",0,$J25)-$K25)</f>
        <v>6.0</v>
      </c>
      <c r="M25" s="70">
        <f>IF(OR($K25="",$J25="",$J25=0),"",$K25/$J25)</f>
        <v>0.9368421052631579</v>
      </c>
      <c r="N25" s="76" t="s">
        <v>237</v>
      </c>
      <c r="O25" s="79"/>
      <c r="P25" s="79"/>
      <c r="Q25" s="80">
        <v>46376</v>
      </c>
      <c r="R25" s="73">
        <f>IF($Q25="","",$Q25-TODAY())</f>
        <v>99</v>
      </c>
      <c r="S25" s="67" t="str">
        <f>IF($C25="","",IF(OR($N25="📦 Delivered",$P25="✓"),"✅ Done",IF($Q25="","",IF($Q25&lt;TODAY(),"🔴 Overdue",IF($Q25-TODAY()&lt;=DueSoonDays,"🟠 Due soon","🟢 On track")))))</f>
        <v>🟢 On track</v>
      </c>
      <c r="T25" s="75"/>
    </row>
    <row r="26" spans="1:20" ht="20" customHeight="1" x14ac:dyDescent="0.25">
      <c r="A26" s="1"/>
      <c r="B26" s="63">
        <f>IF($C26="","",ROW()-7)</f>
        <v>19</v>
      </c>
      <c r="C26" s="64" t="s">
        <v>190</v>
      </c>
      <c r="D26" s="65" t="s">
        <v>216</v>
      </c>
      <c r="E26" s="64" t="s">
        <v>312</v>
      </c>
      <c r="F26" s="65" t="s">
        <v>162</v>
      </c>
      <c r="G26" s="64" t="s">
        <v>215</v>
      </c>
      <c r="H26" s="66" t="s">
        <v>288</v>
      </c>
      <c r="I26" s="67" t="str">
        <f>IF($H26="","",HYPERLINK($H26,"🔗"))</f>
        <v>🔗</v>
      </c>
      <c r="J26" s="68">
        <v>30</v>
      </c>
      <c r="K26" s="68">
        <v>28.5</v>
      </c>
      <c r="L26" s="69">
        <f>IF($K26="","",IF($J26="",0,$J26)-$K26)</f>
        <v>1.5</v>
      </c>
      <c r="M26" s="70">
        <f>IF(OR($K26="",$J26="",$J26=0),"",$K26/$J26)</f>
        <v>0.95</v>
      </c>
      <c r="N26" s="65" t="s">
        <v>244</v>
      </c>
      <c r="O26" s="71" t="s">
        <v>233</v>
      </c>
      <c r="P26" s="71" t="s">
        <v>233</v>
      </c>
      <c r="Q26" s="72">
        <v>46361</v>
      </c>
      <c r="R26" s="73">
        <f>IF($Q26="","",$Q26-TODAY())</f>
        <v>84</v>
      </c>
      <c r="S26" s="67" t="str">
        <f>IF($C26="","",IF(OR($N26="📦 Delivered",$P26="✓"),"✅ Done",IF($Q26="","",IF($Q26&lt;TODAY(),"🔴 Overdue",IF($Q26-TODAY()&lt;=DueSoonDays,"🟠 Due soon","🟢 On track")))))</f>
        <v>✅ Done</v>
      </c>
      <c r="T26" s="64"/>
    </row>
    <row r="27" spans="1:20" ht="20" customHeight="1" x14ac:dyDescent="0.25">
      <c r="A27" s="1"/>
      <c r="B27" s="74">
        <f>IF($C27="","",ROW()-7)</f>
        <v>20</v>
      </c>
      <c r="C27" s="75" t="s">
        <v>190</v>
      </c>
      <c r="D27" s="76" t="s">
        <v>216</v>
      </c>
      <c r="E27" s="75" t="s">
        <v>313</v>
      </c>
      <c r="F27" s="76" t="s">
        <v>154</v>
      </c>
      <c r="G27" s="75" t="s">
        <v>127</v>
      </c>
      <c r="H27" s="77" t="s">
        <v>285</v>
      </c>
      <c r="I27" s="67" t="str">
        <f>IF($H27="","",HYPERLINK($H27,"🔗"))</f>
        <v>🔗</v>
      </c>
      <c r="J27" s="78">
        <v>22</v>
      </c>
      <c r="K27" s="78"/>
      <c r="L27" s="69">
        <f>IF($K27="","",IF($J27="",0,$J27)-$K27)</f>
        <v/>
      </c>
      <c r="M27" s="70">
        <f>IF(OR($K27="",$J27="",$J27=0),"",$K27/$J27)</f>
        <v/>
      </c>
      <c r="N27" s="76" t="s">
        <v>234</v>
      </c>
      <c r="O27" s="79"/>
      <c r="P27" s="79"/>
      <c r="Q27" s="80">
        <v>46375</v>
      </c>
      <c r="R27" s="73">
        <f>IF($Q27="","",$Q27-TODAY())</f>
        <v>98</v>
      </c>
      <c r="S27" s="67" t="str">
        <f>IF($C27="","",IF(OR($N27="📦 Delivered",$P27="✓"),"✅ Done",IF($Q27="","",IF($Q27&lt;TODAY(),"🔴 Overdue",IF($Q27-TODAY()&lt;=DueSoonDays,"🟠 Due soon","🟢 On track")))))</f>
        <v>🟢 On track</v>
      </c>
      <c r="T27" s="75"/>
    </row>
    <row r="28" spans="1:20" ht="20" customHeight="1" x14ac:dyDescent="0.25">
      <c r="A28" s="1"/>
      <c r="B28" s="63">
        <f>IF($C28="","",ROW()-7)</f>
        <v>21</v>
      </c>
      <c r="C28" s="64" t="s">
        <v>197</v>
      </c>
      <c r="D28" s="65" t="s">
        <v>204</v>
      </c>
      <c r="E28" s="64" t="s">
        <v>314</v>
      </c>
      <c r="F28" s="65" t="s">
        <v>199</v>
      </c>
      <c r="G28" s="64" t="s">
        <v>142</v>
      </c>
      <c r="H28" s="66" t="s">
        <v>315</v>
      </c>
      <c r="I28" s="67" t="str">
        <f>IF($H28="","",HYPERLINK($H28,"🔗"))</f>
        <v>🔗</v>
      </c>
      <c r="J28" s="68">
        <v>35</v>
      </c>
      <c r="K28" s="68">
        <v>32</v>
      </c>
      <c r="L28" s="69">
        <f>IF($K28="","",IF($J28="",0,$J28)-$K28)</f>
        <v>3.0</v>
      </c>
      <c r="M28" s="70">
        <f>IF(OR($K28="",$J28="",$J28=0),"",$K28/$J28)</f>
        <v>0.9142857142857143</v>
      </c>
      <c r="N28" s="65" t="s">
        <v>240</v>
      </c>
      <c r="O28" s="71"/>
      <c r="P28" s="71"/>
      <c r="Q28" s="72">
        <v>46373</v>
      </c>
      <c r="R28" s="73">
        <f>IF($Q28="","",$Q28-TODAY())</f>
        <v>96</v>
      </c>
      <c r="S28" s="67" t="str">
        <f>IF($C28="","",IF(OR($N28="📦 Delivered",$P28="✓"),"✅ Done",IF($Q28="","",IF($Q28&lt;TODAY(),"🔴 Overdue",IF($Q28-TODAY()&lt;=DueSoonDays,"🟠 Due soon","🟢 On track")))))</f>
        <v>🟢 On track</v>
      </c>
      <c r="T28" s="64"/>
    </row>
    <row r="29" spans="1:20" ht="20" customHeight="1" x14ac:dyDescent="0.25">
      <c r="A29" s="1"/>
      <c r="B29" s="74">
        <f>IF($C29="","",ROW()-7)</f>
        <v>22</v>
      </c>
      <c r="C29" s="75" t="s">
        <v>197</v>
      </c>
      <c r="D29" s="76" t="s">
        <v>204</v>
      </c>
      <c r="E29" s="75" t="s">
        <v>316</v>
      </c>
      <c r="F29" s="76" t="s">
        <v>169</v>
      </c>
      <c r="G29" s="75" t="s">
        <v>133</v>
      </c>
      <c r="H29" s="77" t="s">
        <v>292</v>
      </c>
      <c r="I29" s="67" t="str">
        <f>IF($H29="","",HYPERLINK($H29,"🔗"))</f>
        <v>🔗</v>
      </c>
      <c r="J29" s="78">
        <v>30</v>
      </c>
      <c r="K29" s="78"/>
      <c r="L29" s="69">
        <f>IF($K29="","",IF($J29="",0,$J29)-$K29)</f>
        <v/>
      </c>
      <c r="M29" s="70">
        <f>IF(OR($K29="",$J29="",$J29=0),"",$K29/$J29)</f>
        <v/>
      </c>
      <c r="N29" s="76" t="s">
        <v>234</v>
      </c>
      <c r="O29" s="79"/>
      <c r="P29" s="79"/>
      <c r="Q29" s="80">
        <v>46373</v>
      </c>
      <c r="R29" s="73">
        <f>IF($Q29="","",$Q29-TODAY())</f>
        <v>96</v>
      </c>
      <c r="S29" s="67" t="str">
        <f>IF($C29="","",IF(OR($N29="📦 Delivered",$P29="✓"),"✅ Done",IF($Q29="","",IF($Q29&lt;TODAY(),"🔴 Overdue",IF($Q29-TODAY()&lt;=DueSoonDays,"🟠 Due soon","🟢 On track")))))</f>
        <v>🟢 On track</v>
      </c>
      <c r="T29" s="75" t="s">
        <v>317</v>
      </c>
    </row>
    <row r="30" spans="1:20" ht="20" customHeight="1" x14ac:dyDescent="0.25">
      <c r="A30" s="1"/>
      <c r="B30" s="63">
        <f>IF($C30="","",ROW()-7)</f>
        <v>23</v>
      </c>
      <c r="C30" s="64" t="s">
        <v>203</v>
      </c>
      <c r="D30" s="65" t="s">
        <v>209</v>
      </c>
      <c r="E30" s="64" t="s">
        <v>318</v>
      </c>
      <c r="F30" s="65" t="s">
        <v>126</v>
      </c>
      <c r="G30" s="64" t="s">
        <v>206</v>
      </c>
      <c r="H30" s="66" t="s">
        <v>319</v>
      </c>
      <c r="I30" s="67" t="str">
        <f>IF($H30="","",HYPERLINK($H30,"🔗"))</f>
        <v>🔗</v>
      </c>
      <c r="J30" s="68">
        <v>40</v>
      </c>
      <c r="K30" s="68">
        <v>37.5</v>
      </c>
      <c r="L30" s="69">
        <f>IF($K30="","",IF($J30="",0,$J30)-$K30)</f>
        <v>2.5</v>
      </c>
      <c r="M30" s="70">
        <f>IF(OR($K30="",$J30="",$J30=0),"",$K30/$J30)</f>
        <v>0.9375</v>
      </c>
      <c r="N30" s="65" t="s">
        <v>244</v>
      </c>
      <c r="O30" s="71" t="s">
        <v>233</v>
      </c>
      <c r="P30" s="71" t="s">
        <v>233</v>
      </c>
      <c r="Q30" s="72">
        <v>46360</v>
      </c>
      <c r="R30" s="73">
        <f>IF($Q30="","",$Q30-TODAY())</f>
        <v>83</v>
      </c>
      <c r="S30" s="67" t="str">
        <f>IF($C30="","",IF(OR($N30="📦 Delivered",$P30="✓"),"✅ Done",IF($Q30="","",IF($Q30&lt;TODAY(),"🔴 Overdue",IF($Q30-TODAY()&lt;=DueSoonDays,"🟠 Due soon","🟢 On track")))))</f>
        <v>✅ Done</v>
      </c>
      <c r="T30" s="64"/>
    </row>
    <row r="31" spans="1:20" ht="20" customHeight="1" x14ac:dyDescent="0.25">
      <c r="A31" s="1"/>
      <c r="B31" s="74">
        <f>IF($C31="","",ROW()-7)</f>
        <v>24</v>
      </c>
      <c r="C31" s="75" t="s">
        <v>203</v>
      </c>
      <c r="D31" s="76" t="s">
        <v>209</v>
      </c>
      <c r="E31" s="75" t="s">
        <v>320</v>
      </c>
      <c r="F31" s="76" t="s">
        <v>162</v>
      </c>
      <c r="G31" s="75" t="s">
        <v>127</v>
      </c>
      <c r="H31" s="77" t="s">
        <v>285</v>
      </c>
      <c r="I31" s="67" t="str">
        <f>IF($H31="","",HYPERLINK($H31,"🔗"))</f>
        <v>🔗</v>
      </c>
      <c r="J31" s="78">
        <v>18</v>
      </c>
      <c r="K31" s="78">
        <v>16</v>
      </c>
      <c r="L31" s="69">
        <f>IF($K31="","",IF($J31="",0,$J31)-$K31)</f>
        <v>2.0</v>
      </c>
      <c r="M31" s="70">
        <f>IF(OR($K31="",$J31="",$J31=0),"",$K31/$J31)</f>
        <v>0.8888888888888888</v>
      </c>
      <c r="N31" s="76" t="s">
        <v>242</v>
      </c>
      <c r="O31" s="79" t="s">
        <v>233</v>
      </c>
      <c r="P31" s="79"/>
      <c r="Q31" s="80">
        <v>46374</v>
      </c>
      <c r="R31" s="73">
        <f>IF($Q31="","",$Q31-TODAY())</f>
        <v>97</v>
      </c>
      <c r="S31" s="67" t="str">
        <f>IF($C31="","",IF(OR($N31="📦 Delivered",$P31="✓"),"✅ Done",IF($Q31="","",IF($Q31&lt;TODAY(),"🔴 Overdue",IF($Q31-TODAY()&lt;=DueSoonDays,"🟠 Due soon","🟢 On track")))))</f>
        <v>🟢 On track</v>
      </c>
      <c r="T31" s="75"/>
    </row>
    <row r="32" spans="1:20" ht="20" customHeight="1" x14ac:dyDescent="0.25">
      <c r="A32" s="1"/>
      <c r="B32" s="63">
        <f>IF($C32="","",ROW()-7)</f>
        <v>25</v>
      </c>
      <c r="C32" s="64" t="s">
        <v>5</v>
      </c>
      <c r="D32" s="65" t="s">
        <v>5</v>
      </c>
      <c r="E32" s="64" t="s">
        <v>321</v>
      </c>
      <c r="F32" s="65" t="s">
        <v>195</v>
      </c>
      <c r="G32" s="64" t="s">
        <v>142</v>
      </c>
      <c r="H32" s="66" t="s">
        <v>315</v>
      </c>
      <c r="I32" s="67" t="str">
        <f>IF($H32="","",HYPERLINK($H32,"🔗"))</f>
        <v>🔗</v>
      </c>
      <c r="J32" s="68">
        <v>15</v>
      </c>
      <c r="K32" s="68">
        <v>12.99</v>
      </c>
      <c r="L32" s="69">
        <f>IF($K32="","",IF($J32="",0,$J32)-$K32)</f>
        <v>2.01</v>
      </c>
      <c r="M32" s="70">
        <f>IF(OR($K32="",$J32="",$J32=0),"",$K32/$J32)</f>
        <v>0.866</v>
      </c>
      <c r="N32" s="65" t="s">
        <v>240</v>
      </c>
      <c r="O32" s="71"/>
      <c r="P32" s="71"/>
      <c r="Q32" s="72">
        <v>46377</v>
      </c>
      <c r="R32" s="73">
        <f>IF($Q32="","",$Q32-TODAY())</f>
        <v>100</v>
      </c>
      <c r="S32" s="67" t="str">
        <f>IF($C32="","",IF(OR($N32="📦 Delivered",$P32="✓"),"✅ Done",IF($Q32="","",IF($Q32&lt;TODAY(),"🔴 Overdue",IF($Q32-TODAY()&lt;=DueSoonDays,"🟠 Due soon","🟢 On track")))))</f>
        <v>🟢 On track</v>
      </c>
      <c r="T32" s="64" t="s">
        <v>322</v>
      </c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323</v>
      </c>
      <c r="C69" s="81"/>
      <c r="D69" s="81"/>
      <c r="E69" s="81"/>
      <c r="F69" s="81"/>
      <c r="G69" s="81"/>
      <c r="H69" s="81"/>
      <c r="I69" s="81"/>
      <c r="J69" s="82">
        <f>SUM($J$8:$J$67)</f>
        <v>1177</v>
      </c>
      <c r="K69" s="82">
        <f>SUM($K$8:$K$67)</f>
        <v>1003.95</v>
      </c>
      <c r="L69" s="82">
        <f>SUM($L$8:$L$67)</f>
        <v>173.04999999999995</v>
      </c>
      <c r="M69" s="83">
        <f>IFERROR(SUM($K$8:$K$67)/SUM($J$8:$J$67),"")</f>
        <v>0.8529736618521666</v>
      </c>
      <c r="N69" s="39" t="str">
        <f>"✅ "&amp;'_Data'!$AF$5&amp;" of "&amp;'_Data'!$AF$4&amp;" gifts bought   •   🎀 "&amp;'_Data'!$AF$6&amp;" wrapped   •   📦 "&amp;'_Data'!$AF$7&amp;" handed over"</f>
        <v>✅ 18 of 25 gifts bought   •   🎀 13 wrapped   •   📦 6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324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325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248</v>
      </c>
      <c r="C74" s="43"/>
      <c r="D74" s="44" t="s">
        <v>326</v>
      </c>
      <c r="E74" s="44"/>
      <c r="F74" s="45" t="s">
        <v>250</v>
      </c>
      <c r="G74" s="45"/>
      <c r="H74" s="46" t="s">
        <v>251</v>
      </c>
      <c r="I74" s="46"/>
      <c r="J74" s="47" t="s">
        <v>252</v>
      </c>
      <c r="K74" s="47"/>
      <c r="L74" s="48" t="s">
        <v>253</v>
      </c>
      <c r="M74" s="48"/>
      <c r="N74" s="49" t="s">
        <v>254</v>
      </c>
      <c r="O74" s="49"/>
      <c r="P74" s="50" t="s">
        <v>255</v>
      </c>
      <c r="Q74" s="50"/>
      <c r="R74" s="44" t="s">
        <v>256</v>
      </c>
      <c r="S74" s="44"/>
      <c r="T74" s="1"/>
    </row>
    <row r="75" spans="1:20" ht="24" customHeight="1" x14ac:dyDescent="0.25">
      <c r="A75" s="1"/>
      <c r="B75" s="46" t="s">
        <v>257</v>
      </c>
      <c r="C75" s="46"/>
      <c r="D75" s="43" t="s">
        <v>327</v>
      </c>
      <c r="E75" s="43"/>
      <c r="F75" s="44" t="s">
        <v>259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328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H8" r:id="rId1"/>
    <hyperlink ref="H9" r:id="rId2"/>
    <hyperlink ref="H10" r:id="rId3"/>
    <hyperlink ref="H11" r:id="rId4"/>
    <hyperlink ref="H12" r:id="rId5"/>
    <hyperlink ref="H13" r:id="rId6"/>
    <hyperlink ref="H15" r:id="rId7"/>
    <hyperlink ref="H16" r:id="rId8"/>
    <hyperlink ref="H17" r:id="rId9"/>
    <hyperlink ref="H18" r:id="rId10"/>
    <hyperlink ref="H20" r:id="rId11"/>
    <hyperlink ref="H21" r:id="rId12"/>
    <hyperlink ref="H25" r:id="rId13"/>
    <hyperlink ref="H26" r:id="rId14"/>
    <hyperlink ref="H27" r:id="rId15"/>
    <hyperlink ref="H28" r:id="rId16"/>
    <hyperlink ref="H29" r:id="rId17"/>
    <hyperlink ref="H30" r:id="rId18"/>
    <hyperlink ref="H31" r:id="rId19"/>
    <hyperlink ref="H32" r:id="rId20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329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330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331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332</v>
      </c>
      <c r="C8" s="85"/>
      <c r="D8" s="86" t="s">
        <v>333</v>
      </c>
      <c r="E8" s="86"/>
      <c r="F8" s="87" t="s">
        <v>334</v>
      </c>
      <c r="G8" s="87"/>
      <c r="H8" s="88" t="s">
        <v>335</v>
      </c>
      <c r="I8" s="88"/>
      <c r="J8" s="89" t="s">
        <v>336</v>
      </c>
      <c r="K8" s="89"/>
    </row>
    <row r="9" spans="1:11" ht="36" customHeight="1" x14ac:dyDescent="0.25">
      <c r="A9" s="1"/>
      <c r="B9" s="90" t="str">
        <f>Currency&amp;TEXT(SUM($C$15:$C$24),"#,##0")</f>
        <v>$1,500</v>
      </c>
      <c r="C9" s="90"/>
      <c r="D9" s="91" t="str">
        <f>Currency&amp;TEXT(SUM($F$15:$F$24),"#,##0")</f>
        <v>$1,318</v>
      </c>
      <c r="E9" s="91"/>
      <c r="F9" s="92" t="str">
        <f>Currency&amp;TEXT(SUM($C$15:$C$24)-SUM($F$15:$F$24),"#,##0")</f>
        <v>$182</v>
      </c>
      <c r="G9" s="92"/>
      <c r="H9" s="13">
        <f>IFERROR(SUM($F$15:$F$24)/SUM($C$15:$C$24),0)</f>
        <v>0.8788800000000001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⚠️  You've spent 88% of your Christmas budget — $181.68 left.</v>
      </c>
      <c r="K9" s="93"/>
    </row>
    <row r="10" spans="1:11" ht="22" customHeight="1" x14ac:dyDescent="0.25">
      <c r="A10" s="1"/>
      <c r="B10" s="14" t="s">
        <v>337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████████████████░░   88%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76% of everything</v>
      </c>
      <c r="C11" s="94"/>
      <c r="D11" s="95" t="str">
        <f>"📈 Biggest spend: "&amp;IFERROR(INDEX($B$15:$B$24,MATCH(MAX($F$15:$F$24),$F$15:$F$24,0)),"—")</f>
        <v>📈 Biggest spend: 🎁 Gifts</v>
      </c>
      <c r="E11" s="95"/>
      <c r="F11" s="95"/>
      <c r="G11" s="96" t="str">
        <f>COUNTIF($G$15:$G$24,"&lt;0")&amp;" over budget"</f>
        <v>3 over budget</v>
      </c>
      <c r="H11" s="96"/>
      <c r="I11" s="97" t="str">
        <f>"🎯 Target "&amp;Currency&amp;TEXT(TotalBudget,"#,##0")&amp;"   •   planned "&amp;Currency&amp;TEXT(SUM($C$15:$C$24),"#,##0")</f>
        <v>🎯 Target $1,500   •   planned $1,500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338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266</v>
      </c>
      <c r="C14" s="33" t="s">
        <v>339</v>
      </c>
      <c r="D14" s="33" t="s">
        <v>340</v>
      </c>
      <c r="E14" s="62" t="s">
        <v>341</v>
      </c>
      <c r="F14" s="62" t="s">
        <v>342</v>
      </c>
      <c r="G14" s="62" t="s">
        <v>343</v>
      </c>
      <c r="H14" s="62" t="s">
        <v>344</v>
      </c>
      <c r="I14" s="62" t="s">
        <v>33</v>
      </c>
      <c r="J14" s="62" t="s">
        <v>345</v>
      </c>
      <c r="K14" s="33" t="s">
        <v>278</v>
      </c>
    </row>
    <row r="15" spans="1:11" ht="22" customHeight="1" x14ac:dyDescent="0.25">
      <c r="A15" s="1"/>
      <c r="B15" s="75" t="s">
        <v>249</v>
      </c>
      <c r="C15" s="78">
        <v>850</v>
      </c>
      <c r="D15" s="78"/>
      <c r="E15" s="69">
        <f>SUM('🎁 Gift Tracker'!$K$8:$K$67)+SUMIFS('🛍️ Shopping List'!$K$8:$K$52,'🛍️ Shopping List'!$D$8:$D$52,"Gifts")</f>
        <v>1003.95</v>
      </c>
      <c r="F15" s="69">
        <f>$D15+$E15</f>
        <v>1003.95</v>
      </c>
      <c r="G15" s="69">
        <f>$C15-$F15</f>
        <v>46.049999999999955</v>
      </c>
      <c r="H15" s="70">
        <f>IF($C15=0,"",$F15/$C15)</f>
        <v>0.9561428571428572</v>
      </c>
      <c r="I15" s="67" t="str">
        <f>IF($C15=0,"⚪ Set a plan",IF($F15&gt;$C15,"🔴 Over budget",IF($F15/$C15&gt;=AlertAt,"🟠 Nearly there",IF($F15=0,"⚪ Not started","🟢 On track"))))</f>
        <v>🟠 Nearly there</v>
      </c>
      <c r="J15" s="98" t="str">
        <f>IF($C15=0,"—",REPT("█",ROUND(MIN(1,IFERROR($F15/$C15,0))*12,0))&amp;REPT("░",12-ROUND(MIN(1,IFERROR($F15/$C15,0))*12,0))&amp;" "&amp;TEXT(IFERROR($F15/$C15,0),"0%"))</f>
        <v>███████████░ 96%</v>
      </c>
      <c r="K15" s="75"/>
    </row>
    <row r="16" spans="1:11" ht="22" customHeight="1" x14ac:dyDescent="0.25">
      <c r="A16" s="1"/>
      <c r="B16" s="64" t="s">
        <v>346</v>
      </c>
      <c r="C16" s="68">
        <v>140</v>
      </c>
      <c r="D16" s="68"/>
      <c r="E16" s="69">
        <f>SUM('🧦 Stockings'!$J$8:$J$52)+SUMIFS('🛍️ Shopping List'!$K$8:$K$52,'🛍️ Shopping List'!$D$8:$D$52,"Stockings")</f>
        <v>124.3</v>
      </c>
      <c r="F16" s="69">
        <f>$D16+$E16</f>
        <v>124.3</v>
      </c>
      <c r="G16" s="69">
        <f>$C16-$F16</f>
        <v>-4.299999999999997</v>
      </c>
      <c r="H16" s="70">
        <f>IF($C16=0,"",$F16/$C16)</f>
        <v>1.0358333333333334</v>
      </c>
      <c r="I16" s="67" t="str">
        <f>IF($C16=0,"⚪ Set a plan",IF($F16&gt;$C16,"🔴 Over budget",IF($F16/$C16&gt;=AlertAt,"🟠 Nearly there",IF($F16=0,"⚪ Not started","🟢 On track"))))</f>
        <v>🔴 Over budget</v>
      </c>
      <c r="J16" s="98" t="str">
        <f>IF($C16=0,"—",REPT("█",ROUND(MIN(1,IFERROR($F16/$C16,0))*12,0))&amp;REPT("░",12-ROUND(MIN(1,IFERROR($F16/$C16,0))*12,0))&amp;" "&amp;TEXT(IFERROR($F16/$C16,0),"0%"))</f>
        <v>████████████ 100%</v>
      </c>
      <c r="K16" s="64"/>
    </row>
    <row r="17" spans="1:11" ht="22" customHeight="1" x14ac:dyDescent="0.25">
      <c r="A17" s="1"/>
      <c r="B17" s="75" t="s">
        <v>347</v>
      </c>
      <c r="C17" s="78">
        <v>55</v>
      </c>
      <c r="D17" s="78"/>
      <c r="E17" s="69">
        <f>SUMIFS('🛍️ Shopping List'!$K$8:$K$52,'🛍️ Shopping List'!$D$8:$D$52,"Wrapping")</f>
        <v>24.3</v>
      </c>
      <c r="F17" s="69">
        <f>$D17+$E17</f>
        <v>24.3</v>
      </c>
      <c r="G17" s="69">
        <f>$C17-$F17</f>
        <v>25.7</v>
      </c>
      <c r="H17" s="70">
        <f>IF($C17=0,"",$F17/$C17)</f>
        <v>0.486</v>
      </c>
      <c r="I17" s="67" t="str">
        <f>IF($C17=0,"⚪ Set a plan",IF($F17&gt;$C17,"🔴 Over budget",IF($F17/$C17&gt;=AlertAt,"🟠 Nearly there",IF($F17=0,"⚪ Not started","🟢 On track"))))</f>
        <v>🟢 On track</v>
      </c>
      <c r="J17" s="98" t="str">
        <f>IF($C17=0,"—",REPT("█",ROUND(MIN(1,IFERROR($F17/$C17,0))*12,0))&amp;REPT("░",12-ROUND(MIN(1,IFERROR($F17/$C17,0))*12,0))&amp;" "&amp;TEXT(IFERROR($F17/$C17,0),"0%"))</f>
        <v>██████░░░░░░ 49%</v>
      </c>
      <c r="K17" s="75"/>
    </row>
    <row r="18" spans="1:11" ht="22" customHeight="1" x14ac:dyDescent="0.25">
      <c r="A18" s="1"/>
      <c r="B18" s="64" t="s">
        <v>348</v>
      </c>
      <c r="C18" s="68">
        <v>40</v>
      </c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37.98</v>
      </c>
      <c r="F18" s="69">
        <f>$D18+$E18</f>
        <v>37.98</v>
      </c>
      <c r="G18" s="69">
        <f>$C18-$F18</f>
        <v>-2.979999999999997</v>
      </c>
      <c r="H18" s="70">
        <f>IF($C18=0,"",$F18/$C18)</f>
        <v>1.085142857142857</v>
      </c>
      <c r="I18" s="67" t="str">
        <f>IF($C18=0,"⚪ Set a plan",IF($F18&gt;$C18,"🔴 Over budget",IF($F18/$C18&gt;=AlertAt,"🟠 Nearly there",IF($F18=0,"⚪ Not started","🟢 On track"))))</f>
        <v>🔴 Over budget</v>
      </c>
      <c r="J18" s="98" t="str">
        <f>IF($C18=0,"—",REPT("█",ROUND(MIN(1,IFERROR($F18/$C18,0))*12,0))&amp;REPT("░",12-ROUND(MIN(1,IFERROR($F18/$C18,0))*12,0))&amp;" "&amp;TEXT(IFERROR($F18/$C18,0),"0%"))</f>
        <v>████████████ 100%</v>
      </c>
      <c r="K18" s="64"/>
    </row>
    <row r="19" spans="1:11" ht="22" customHeight="1" x14ac:dyDescent="0.25">
      <c r="A19" s="1"/>
      <c r="B19" s="75" t="s">
        <v>349</v>
      </c>
      <c r="C19" s="78">
        <v>200</v>
      </c>
      <c r="D19" s="78"/>
      <c r="E19" s="69">
        <f>SUMIFS('🛍️ Shopping List'!$K$8:$K$52,'🛍️ Shopping List'!$D$8:$D$52,"Food")</f>
        <v>22.5</v>
      </c>
      <c r="F19" s="69">
        <f>$D19+$E19</f>
        <v>22.5</v>
      </c>
      <c r="G19" s="69">
        <f>$C19-$F19</f>
        <v>107.5</v>
      </c>
      <c r="H19" s="70">
        <f>IF($C19=0,"",$F19/$C19)</f>
        <v>0.17307692307692307</v>
      </c>
      <c r="I19" s="67" t="str">
        <f>IF($C19=0,"⚪ Set a plan",IF($F19&gt;$C19,"🔴 Over budget",IF($F19/$C19&gt;=AlertAt,"🟠 Nearly there",IF($F19=0,"⚪ Not started","🟢 On track"))))</f>
        <v>🟢 On track</v>
      </c>
      <c r="J19" s="98" t="str">
        <f>IF($C19=0,"—",REPT("█",ROUND(MIN(1,IFERROR($F19/$C19,0))*12,0))&amp;REPT("░",12-ROUND(MIN(1,IFERROR($F19/$C19,0))*12,0))&amp;" "&amp;TEXT(IFERROR($F19/$C19,0),"0%"))</f>
        <v>██░░░░░░░░░░ 17%</v>
      </c>
      <c r="K19" s="75"/>
    </row>
    <row r="20" spans="1:11" ht="22" customHeight="1" x14ac:dyDescent="0.25">
      <c r="A20" s="1"/>
      <c r="B20" s="64" t="s">
        <v>350</v>
      </c>
      <c r="C20" s="68">
        <v>35</v>
      </c>
      <c r="D20" s="68"/>
      <c r="E20" s="69">
        <f>SUMIFS('🛍️ Shopping List'!$K$8:$K$52,'🛍️ Shopping List'!$D$8:$D$52,"Baking")</f>
        <v>10.9</v>
      </c>
      <c r="F20" s="69">
        <f>$D20+$E20</f>
        <v>10.9</v>
      </c>
      <c r="G20" s="69">
        <f>$C20-$F20</f>
        <v>14.1</v>
      </c>
      <c r="H20" s="70">
        <f>IF($C20=0,"",$F20/$C20)</f>
        <v>0.436</v>
      </c>
      <c r="I20" s="67" t="str">
        <f>IF($C20=0,"⚪ Set a plan",IF($F20&gt;$C20,"🔴 Over budget",IF($F20/$C20&gt;=AlertAt,"🟠 Nearly there",IF($F20=0,"⚪ Not started","🟢 On track"))))</f>
        <v>🟢 On track</v>
      </c>
      <c r="J20" s="98" t="str">
        <f>IF($C20=0,"—",REPT("█",ROUND(MIN(1,IFERROR($F20/$C20,0))*12,0))&amp;REPT("░",12-ROUND(MIN(1,IFERROR($F20/$C20,0))*12,0))&amp;" "&amp;TEXT(IFERROR($F20/$C20,0),"0%"))</f>
        <v>█████░░░░░░░ 44%</v>
      </c>
      <c r="K20" s="64"/>
    </row>
    <row r="21" spans="1:11" ht="22" customHeight="1" x14ac:dyDescent="0.25">
      <c r="A21" s="1"/>
      <c r="B21" s="75" t="s">
        <v>351</v>
      </c>
      <c r="C21" s="78">
        <v>60</v>
      </c>
      <c r="D21" s="78"/>
      <c r="E21" s="69">
        <f>SUMIFS('🛍️ Shopping List'!$K$8:$K$52,'🛍️ Shopping List'!$D$8:$D$52,"Decorations")</f>
        <v>30.99</v>
      </c>
      <c r="F21" s="69">
        <f>$D21+$E21</f>
        <v>30.99</v>
      </c>
      <c r="G21" s="69">
        <f>$C21-$F21</f>
        <v>9.010000000000002</v>
      </c>
      <c r="H21" s="70">
        <f>IF($C21=0,"",$F21/$C21)</f>
        <v>0.7747499999999999</v>
      </c>
      <c r="I21" s="67" t="str">
        <f>IF($C21=0,"⚪ Set a plan",IF($F21&gt;$C21,"🔴 Over budget",IF($F21/$C21&gt;=AlertAt,"🟠 Nearly there",IF($F21=0,"⚪ Not started","🟢 On track"))))</f>
        <v>🟢 On track</v>
      </c>
      <c r="J21" s="98" t="str">
        <f>IF($C21=0,"—",REPT("█",ROUND(MIN(1,IFERROR($F21/$C21,0))*12,0))&amp;REPT("░",12-ROUND(MIN(1,IFERROR($F21/$C21,0))*12,0))&amp;" "&amp;TEXT(IFERROR($F21/$C21,0),"0%"))</f>
        <v>█████████░░░ 77%</v>
      </c>
      <c r="K21" s="75"/>
    </row>
    <row r="22" spans="1:11" ht="22" customHeight="1" x14ac:dyDescent="0.25">
      <c r="A22" s="1"/>
      <c r="B22" s="64" t="s">
        <v>352</v>
      </c>
      <c r="C22" s="68">
        <v>45</v>
      </c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25.0</v>
      </c>
      <c r="H22" s="70">
        <f>IF($C22=0,"",$F22/$C22)</f>
        <v>0.0</v>
      </c>
      <c r="I22" s="67" t="str">
        <f>IF($C22=0,"⚪ Set a plan",IF($F22&gt;$C22,"🔴 Over budget",IF($F22/$C22&gt;=AlertAt,"🟠 Nearly there",IF($F22=0,"⚪ Not started","🟢 On track"))))</f>
        <v>⚪ Not started</v>
      </c>
      <c r="J22" s="98" t="str">
        <f>IF($C22=0,"—",REPT("█",ROUND(MIN(1,IFERROR($F22/$C22,0))*12,0))&amp;REPT("░",12-ROUND(MIN(1,IFERROR($F22/$C22,0))*12,0))&amp;" "&amp;TEXT(IFERROR($F22/$C22,0),"0%"))</f>
        <v>░░░░░░░░░░░░ 0%</v>
      </c>
      <c r="K22" s="64"/>
    </row>
    <row r="23" spans="1:11" ht="22" customHeight="1" x14ac:dyDescent="0.25">
      <c r="A23" s="1"/>
      <c r="B23" s="75" t="s">
        <v>353</v>
      </c>
      <c r="C23" s="78">
        <v>35</v>
      </c>
      <c r="D23" s="78">
        <v>38.4</v>
      </c>
      <c r="E23" s="69">
        <f>SUMIFS('🛍️ Shopping List'!$K$8:$K$52,'🛍️ Shopping List'!$D$8:$D$52,"Travel")</f>
        <v>0.0</v>
      </c>
      <c r="F23" s="69">
        <f>$D23+$E23</f>
        <v>38.4</v>
      </c>
      <c r="G23" s="69">
        <f>$C23-$F23</f>
        <v>-38.4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354</v>
      </c>
      <c r="C24" s="68">
        <v>40</v>
      </c>
      <c r="D24" s="68"/>
      <c r="E24" s="69">
        <f>SUMIFS('🛍️ Shopping List'!$K$8:$K$52,'🛍️ Shopping List'!$D$8:$D$52,"Charity")+SUMIFS('🛍️ Shopping List'!$K$8:$K$52,'🛍️ Shopping List'!$D$8:$D$52,"Other")</f>
        <v>25.0</v>
      </c>
      <c r="F24" s="69">
        <f>$D24+$E24</f>
        <v>25.0</v>
      </c>
      <c r="G24" s="69">
        <f>$C24-$F24</f>
        <v>0.0</v>
      </c>
      <c r="H24" s="70">
        <f>IF($C24=0,"",$F24/$C24)</f>
        <v>1.0</v>
      </c>
      <c r="I24" s="67" t="str">
        <f>IF($C24=0,"⚪ Set a plan",IF($F24&gt;$C24,"🔴 Over budget",IF($F24/$C24&gt;=AlertAt,"🟠 Nearly there",IF($F24=0,"⚪ Not started","🟢 On track"))))</f>
        <v>🟠 Nearly there</v>
      </c>
      <c r="J24" s="98" t="str">
        <f>IF($C24=0,"—",REPT("█",ROUND(MIN(1,IFERROR($F24/$C24,0))*12,0))&amp;REPT("░",12-ROUND(MIN(1,IFERROR($F24/$C24,0))*12,0))&amp;" "&amp;TEXT(IFERROR($F24/$C24,0),"0%"))</f>
        <v>████████████ 100%</v>
      </c>
      <c r="K24" s="64"/>
    </row>
    <row r="25" spans="1:11" ht="24" customHeight="1" x14ac:dyDescent="0.25">
      <c r="A25" s="1"/>
      <c r="B25" s="81" t="s">
        <v>355</v>
      </c>
      <c r="C25" s="82">
        <f>SUM($C$15:$C$24)</f>
        <v>1500</v>
      </c>
      <c r="D25" s="82">
        <f>SUM($D$15:$D$24)</f>
        <v>38.4</v>
      </c>
      <c r="E25" s="82">
        <f>SUM($E$15:$E$24)</f>
        <v>1279.92</v>
      </c>
      <c r="F25" s="82">
        <f>SUM($F$15:$F$24)</f>
        <v>1318.3200000000002</v>
      </c>
      <c r="G25" s="82">
        <f>SUM($G$15:$G$24)</f>
        <v>181.67999999999984</v>
      </c>
      <c r="H25" s="83">
        <f>IFERROR(SUM($F$15:$F$24)/SUM($C$15:$C$24),"")</f>
        <v>0.8788800000000001</v>
      </c>
      <c r="I25" s="39" t="str">
        <f>IF(SUM($C$15:$C$24)=0,"—","Budget "&amp;TEXT(SUM($F$15:$F$24)/SUM($C$15:$C$24),"0%")&amp;" used  •  "&amp;Currency&amp;TEXT(SUM($C$15:$C$24)-SUM($F$15:$F$24),"#,##0")&amp;" left")</f>
        <v>Budget 88% used  •  $182 left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356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324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357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248</v>
      </c>
      <c r="C47" s="43"/>
      <c r="D47" s="44" t="s">
        <v>249</v>
      </c>
      <c r="E47" s="44"/>
      <c r="F47" s="45" t="s">
        <v>358</v>
      </c>
      <c r="G47" s="45"/>
      <c r="H47" s="46" t="s">
        <v>251</v>
      </c>
      <c r="I47" s="46"/>
      <c r="J47" s="47" t="s">
        <v>252</v>
      </c>
      <c r="K47" s="47"/>
    </row>
    <row r="48" spans="1:11" ht="24" customHeight="1" x14ac:dyDescent="0.25">
      <c r="A48" s="1"/>
      <c r="B48" s="48" t="s">
        <v>253</v>
      </c>
      <c r="C48" s="48"/>
      <c r="D48" s="49" t="s">
        <v>254</v>
      </c>
      <c r="E48" s="49"/>
      <c r="F48" s="50" t="s">
        <v>255</v>
      </c>
      <c r="G48" s="50"/>
      <c r="H48" s="44" t="s">
        <v>256</v>
      </c>
      <c r="I48" s="44"/>
      <c r="J48" s="46" t="s">
        <v>257</v>
      </c>
      <c r="K48" s="46"/>
    </row>
    <row r="49" spans="1:11" ht="24" customHeight="1" x14ac:dyDescent="0.25">
      <c r="A49" s="1"/>
      <c r="B49" s="43" t="s">
        <v>327</v>
      </c>
      <c r="C49" s="43"/>
      <c r="D49" s="44" t="s">
        <v>259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328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3A6E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404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405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12</v>
      </c>
      <c r="C5" s="99"/>
      <c r="D5" s="100" t="str">
        <f>"⭐ Must-haves: "&amp;'_Data'!$AF$39</f>
        <v>⭐ Must-haves: 5</v>
      </c>
      <c r="E5" s="100"/>
      <c r="F5" s="57" t="str">
        <f>"💰 Value of ideas: "&amp;Currency&amp;TEXT('_Data'!$AF$40,"#,##0")</f>
        <v>💰 Value of ideas: $590</v>
      </c>
      <c r="G5" s="57"/>
      <c r="H5" s="56" t="str">
        <f>"✔ Already on the gift list: "&amp;COUNTIF('💡 Wish List'!$J$8:$J$47,"✔ In gift tracker")</f>
        <v>✔ Already on the gift list: 7</v>
      </c>
      <c r="I5" s="56"/>
      <c r="J5" s="59" t="str">
        <f>"➕ Still to move across: "&amp;COUNTIF('💡 Wish List'!$J$8:$J$47,"➕ Not yet")</f>
        <v>➕ Still to move across: 5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263</v>
      </c>
      <c r="C7" s="33" t="s">
        <v>406</v>
      </c>
      <c r="D7" s="33" t="s">
        <v>265</v>
      </c>
      <c r="E7" s="33" t="s">
        <v>266</v>
      </c>
      <c r="F7" s="33" t="s">
        <v>268</v>
      </c>
      <c r="G7" s="61" t="s">
        <v>269</v>
      </c>
      <c r="H7" s="33" t="s">
        <v>407</v>
      </c>
      <c r="I7" s="33" t="s">
        <v>227</v>
      </c>
      <c r="J7" s="62" t="s">
        <v>408</v>
      </c>
      <c r="K7" s="33" t="s">
        <v>278</v>
      </c>
    </row>
    <row r="8" spans="1:11" ht="20" customHeight="1" x14ac:dyDescent="0.25">
      <c r="A8" s="1"/>
      <c r="B8" s="63">
        <f>IF($D8="","",ROW()-7)</f>
        <v>1</v>
      </c>
      <c r="C8" s="64" t="s">
        <v>182</v>
      </c>
      <c r="D8" s="64" t="s">
        <v>311</v>
      </c>
      <c r="E8" s="65" t="s">
        <v>192</v>
      </c>
      <c r="F8" s="66" t="s">
        <v>409</v>
      </c>
      <c r="G8" s="67" t="str">
        <f>IF($F8="","",HYPERLINK($F8,"🔗"))</f>
        <v>🔗</v>
      </c>
      <c r="H8" s="68">
        <v>95</v>
      </c>
      <c r="I8" s="65" t="s">
        <v>232</v>
      </c>
      <c r="J8" s="67" t="str">
        <f>IF(OR($C8="",$D8=""),"",IF(COUNTIFS('🎁 Gift Tracker'!$C$8:$C$67,$C8,'🎁 Gift Tracker'!$E$8:$E$67,$D8)&gt;0,"✔ In gift tracker","➕ Not yet"))</f>
        <v>✔ In gift tracker</v>
      </c>
      <c r="K8" s="64" t="s">
        <v>410</v>
      </c>
    </row>
    <row r="9" spans="1:11" ht="20" customHeight="1" x14ac:dyDescent="0.25">
      <c r="A9" s="1"/>
      <c r="B9" s="74">
        <f>IF($D9="","",ROW()-7)</f>
        <v>2</v>
      </c>
      <c r="C9" s="75" t="s">
        <v>182</v>
      </c>
      <c r="D9" s="75" t="s">
        <v>411</v>
      </c>
      <c r="E9" s="76" t="s">
        <v>162</v>
      </c>
      <c r="F9" s="77" t="s">
        <v>285</v>
      </c>
      <c r="G9" s="67" t="str">
        <f>IF($F9="","",HYPERLINK($F9,"🔗"))</f>
        <v>🔗</v>
      </c>
      <c r="H9" s="78">
        <v>45</v>
      </c>
      <c r="I9" s="76" t="s">
        <v>236</v>
      </c>
      <c r="J9" s="67" t="str">
        <f>IF(OR($C9="",$D9=""),"",IF(COUNTIFS('🎁 Gift Tracker'!$C$8:$C$67,$C9,'🎁 Gift Tracker'!$E$8:$E$67,$D9)&gt;0,"✔ In gift tracker","➕ Not yet"))</f>
        <v>➕ Not yet</v>
      </c>
      <c r="K9" s="75" t="s">
        <v>412</v>
      </c>
    </row>
    <row r="10" spans="1:11" ht="20" customHeight="1" x14ac:dyDescent="0.25">
      <c r="A10" s="1"/>
      <c r="B10" s="63">
        <f>IF($D10="","",ROW()-7)</f>
        <v>3</v>
      </c>
      <c r="C10" s="64" t="s">
        <v>125</v>
      </c>
      <c r="D10" s="64" t="s">
        <v>279</v>
      </c>
      <c r="E10" s="65" t="s">
        <v>126</v>
      </c>
      <c r="F10" s="66" t="s">
        <v>280</v>
      </c>
      <c r="G10" s="67" t="str">
        <f>IF($F10="","",HYPERLINK($F10,"🔗"))</f>
        <v>🔗</v>
      </c>
      <c r="H10" s="68">
        <v>60</v>
      </c>
      <c r="I10" s="65" t="s">
        <v>232</v>
      </c>
      <c r="J10" s="67" t="str">
        <f>IF(OR($C10="",$D10=""),"",IF(COUNTIFS('🎁 Gift Tracker'!$C$8:$C$67,$C10,'🎁 Gift Tracker'!$E$8:$E$67,$D10)&gt;0,"✔ In gift tracker","➕ Not yet"))</f>
        <v>✔ In gift tracker</v>
      </c>
      <c r="K10" s="64" t="s">
        <v>413</v>
      </c>
    </row>
    <row r="11" spans="1:11" ht="20" customHeight="1" x14ac:dyDescent="0.25">
      <c r="A11" s="1"/>
      <c r="B11" s="74">
        <f>IF($D11="","",ROW()-7)</f>
        <v>4</v>
      </c>
      <c r="C11" s="75" t="s">
        <v>125</v>
      </c>
      <c r="D11" s="75" t="s">
        <v>414</v>
      </c>
      <c r="E11" s="76" t="s">
        <v>154</v>
      </c>
      <c r="F11" s="77"/>
      <c r="G11" s="67">
        <f>IF($F11="","",HYPERLINK($F11,"🔗"))</f>
        <v/>
      </c>
      <c r="H11" s="78">
        <v>18</v>
      </c>
      <c r="I11" s="76" t="s">
        <v>239</v>
      </c>
      <c r="J11" s="67" t="str">
        <f>IF(OR($C11="",$D11=""),"",IF(COUNTIFS('🎁 Gift Tracker'!$C$8:$C$67,$C11,'🎁 Gift Tracker'!$E$8:$E$67,$D11)&gt;0,"✔ In gift tracker","➕ Not yet"))</f>
        <v>➕ Not yet</v>
      </c>
      <c r="K11" s="75"/>
    </row>
    <row r="12" spans="1:11" ht="20" customHeight="1" x14ac:dyDescent="0.25">
      <c r="A12" s="1"/>
      <c r="B12" s="63">
        <f>IF($D12="","",ROW()-7)</f>
        <v>5</v>
      </c>
      <c r="C12" s="64" t="s">
        <v>152</v>
      </c>
      <c r="D12" s="64" t="s">
        <v>296</v>
      </c>
      <c r="E12" s="65" t="s">
        <v>132</v>
      </c>
      <c r="F12" s="66" t="s">
        <v>283</v>
      </c>
      <c r="G12" s="67" t="str">
        <f>IF($F12="","",HYPERLINK($F12,"🔗"))</f>
        <v>🔗</v>
      </c>
      <c r="H12" s="68">
        <v>25</v>
      </c>
      <c r="I12" s="65" t="s">
        <v>232</v>
      </c>
      <c r="J12" s="67" t="str">
        <f>IF(OR($C12="",$D12=""),"",IF(COUNTIFS('🎁 Gift Tracker'!$C$8:$C$67,$C12,'🎁 Gift Tracker'!$E$8:$E$67,$D12)&gt;0,"✔ In gift tracker","➕ Not yet"))</f>
        <v>✔ In gift tracker</v>
      </c>
      <c r="K12" s="64" t="s">
        <v>415</v>
      </c>
    </row>
    <row r="13" spans="1:11" ht="20" customHeight="1" x14ac:dyDescent="0.25">
      <c r="A13" s="1"/>
      <c r="B13" s="74">
        <f>IF($D13="","",ROW()-7)</f>
        <v>6</v>
      </c>
      <c r="C13" s="75" t="s">
        <v>152</v>
      </c>
      <c r="D13" s="75" t="s">
        <v>416</v>
      </c>
      <c r="E13" s="76" t="s">
        <v>162</v>
      </c>
      <c r="F13" s="77" t="s">
        <v>285</v>
      </c>
      <c r="G13" s="67" t="str">
        <f>IF($F13="","",HYPERLINK($F13,"🔗"))</f>
        <v>🔗</v>
      </c>
      <c r="H13" s="78">
        <v>32</v>
      </c>
      <c r="I13" s="76" t="s">
        <v>236</v>
      </c>
      <c r="J13" s="67" t="str">
        <f>IF(OR($C13="",$D13=""),"",IF(COUNTIFS('🎁 Gift Tracker'!$C$8:$C$67,$C13,'🎁 Gift Tracker'!$E$8:$E$67,$D13)&gt;0,"✔ In gift tracker","➕ Not yet"))</f>
        <v>➕ Not yet</v>
      </c>
      <c r="K13" s="75"/>
    </row>
    <row r="14" spans="1:11" ht="20" customHeight="1" x14ac:dyDescent="0.25">
      <c r="A14" s="1"/>
      <c r="B14" s="63">
        <f>IF($D14="","",ROW()-7)</f>
        <v>7</v>
      </c>
      <c r="C14" s="64" t="s">
        <v>174</v>
      </c>
      <c r="D14" s="64" t="s">
        <v>307</v>
      </c>
      <c r="E14" s="65" t="s">
        <v>154</v>
      </c>
      <c r="F14" s="66"/>
      <c r="G14" s="67">
        <f>IF($F14="","",HYPERLINK($F14,"🔗"))</f>
        <v/>
      </c>
      <c r="H14" s="68">
        <v>25</v>
      </c>
      <c r="I14" s="65" t="s">
        <v>236</v>
      </c>
      <c r="J14" s="67" t="str">
        <f>IF(OR($C14="",$D14=""),"",IF(COUNTIFS('🎁 Gift Tracker'!$C$8:$C$67,$C14,'🎁 Gift Tracker'!$E$8:$E$67,$D14)&gt;0,"✔ In gift tracker","➕ Not yet"))</f>
        <v>✔ In gift tracker</v>
      </c>
      <c r="K14" s="64" t="s">
        <v>417</v>
      </c>
    </row>
    <row r="15" spans="1:11" ht="20" customHeight="1" x14ac:dyDescent="0.25">
      <c r="A15" s="1"/>
      <c r="B15" s="74">
        <f>IF($D15="","",ROW()-7)</f>
        <v>8</v>
      </c>
      <c r="C15" s="75" t="s">
        <v>167</v>
      </c>
      <c r="D15" s="75" t="s">
        <v>418</v>
      </c>
      <c r="E15" s="76" t="s">
        <v>214</v>
      </c>
      <c r="F15" s="77" t="s">
        <v>292</v>
      </c>
      <c r="G15" s="67" t="str">
        <f>IF($F15="","",HYPERLINK($F15,"🔗"))</f>
        <v>🔗</v>
      </c>
      <c r="H15" s="78">
        <v>20</v>
      </c>
      <c r="I15" s="76" t="s">
        <v>239</v>
      </c>
      <c r="J15" s="67" t="str">
        <f>IF(OR($C15="",$D15=""),"",IF(COUNTIFS('🎁 Gift Tracker'!$C$8:$C$67,$C15,'🎁 Gift Tracker'!$E$8:$E$67,$D15)&gt;0,"✔ In gift tracker","➕ Not yet"))</f>
        <v>➕ Not yet</v>
      </c>
      <c r="K15" s="75"/>
    </row>
    <row r="16" spans="1:11" ht="20" customHeight="1" x14ac:dyDescent="0.25">
      <c r="A16" s="1"/>
      <c r="B16" s="63">
        <f>IF($D16="","",ROW()-7)</f>
        <v>9</v>
      </c>
      <c r="C16" s="64" t="s">
        <v>139</v>
      </c>
      <c r="D16" s="64" t="s">
        <v>289</v>
      </c>
      <c r="E16" s="65" t="s">
        <v>141</v>
      </c>
      <c r="F16" s="66" t="s">
        <v>285</v>
      </c>
      <c r="G16" s="67" t="str">
        <f>IF($F16="","",HYPERLINK($F16,"🔗"))</f>
        <v>🔗</v>
      </c>
      <c r="H16" s="68">
        <v>90</v>
      </c>
      <c r="I16" s="65" t="s">
        <v>232</v>
      </c>
      <c r="J16" s="67" t="str">
        <f>IF(OR($C16="",$D16=""),"",IF(COUNTIFS('🎁 Gift Tracker'!$C$8:$C$67,$C16,'🎁 Gift Tracker'!$E$8:$E$67,$D16)&gt;0,"✔ In gift tracker","➕ Not yet"))</f>
        <v>✔ In gift tracker</v>
      </c>
      <c r="K16" s="64" t="s">
        <v>419</v>
      </c>
    </row>
    <row r="17" spans="1:11" ht="20" customHeight="1" x14ac:dyDescent="0.25">
      <c r="A17" s="1"/>
      <c r="B17" s="74">
        <f>IF($D17="","",ROW()-7)</f>
        <v>10</v>
      </c>
      <c r="C17" s="75" t="s">
        <v>160</v>
      </c>
      <c r="D17" s="75" t="s">
        <v>298</v>
      </c>
      <c r="E17" s="76" t="s">
        <v>141</v>
      </c>
      <c r="F17" s="77" t="s">
        <v>299</v>
      </c>
      <c r="G17" s="67" t="str">
        <f>IF($F17="","",HYPERLINK($F17,"🔗"))</f>
        <v>🔗</v>
      </c>
      <c r="H17" s="78">
        <v>80</v>
      </c>
      <c r="I17" s="76" t="s">
        <v>232</v>
      </c>
      <c r="J17" s="67" t="str">
        <f>IF(OR($C17="",$D17=""),"",IF(COUNTIFS('🎁 Gift Tracker'!$C$8:$C$67,$C17,'🎁 Gift Tracker'!$E$8:$E$67,$D17)&gt;0,"✔ In gift tracker","➕ Not yet"))</f>
        <v>✔ In gift tracker</v>
      </c>
      <c r="K17" s="75"/>
    </row>
    <row r="18" spans="1:11" ht="20" customHeight="1" x14ac:dyDescent="0.25">
      <c r="A18" s="1"/>
      <c r="B18" s="63">
        <f>IF($D18="","",ROW()-7)</f>
        <v>11</v>
      </c>
      <c r="C18" s="64" t="s">
        <v>190</v>
      </c>
      <c r="D18" s="64" t="s">
        <v>420</v>
      </c>
      <c r="E18" s="65" t="s">
        <v>220</v>
      </c>
      <c r="F18" s="66"/>
      <c r="G18" s="67">
        <f>IF($F18="","",HYPERLINK($F18,"🔗"))</f>
        <v/>
      </c>
      <c r="H18" s="68">
        <v>70</v>
      </c>
      <c r="I18" s="65" t="s">
        <v>236</v>
      </c>
      <c r="J18" s="67" t="str">
        <f>IF(OR($C18="",$D18=""),"",IF(COUNTIFS('🎁 Gift Tracker'!$C$8:$C$67,$C18,'🎁 Gift Tracker'!$E$8:$E$67,$D18)&gt;0,"✔ In gift tracker","➕ Not yet"))</f>
        <v>➕ Not yet</v>
      </c>
      <c r="K18" s="64" t="s">
        <v>421</v>
      </c>
    </row>
    <row r="19" spans="1:11" ht="20" customHeight="1" x14ac:dyDescent="0.25">
      <c r="A19" s="1"/>
      <c r="B19" s="74">
        <f>IF($D19="","",ROW()-7)</f>
        <v>12</v>
      </c>
      <c r="C19" s="75" t="s">
        <v>197</v>
      </c>
      <c r="D19" s="75" t="s">
        <v>316</v>
      </c>
      <c r="E19" s="76" t="s">
        <v>169</v>
      </c>
      <c r="F19" s="77" t="s">
        <v>292</v>
      </c>
      <c r="G19" s="67" t="str">
        <f>IF($F19="","",HYPERLINK($F19,"🔗"))</f>
        <v>🔗</v>
      </c>
      <c r="H19" s="78">
        <v>30</v>
      </c>
      <c r="I19" s="76" t="s">
        <v>239</v>
      </c>
      <c r="J19" s="67" t="str">
        <f>IF(OR($C19="",$D19=""),"",IF(COUNTIFS('🎁 Gift Tracker'!$C$8:$C$67,$C19,'🎁 Gift Tracker'!$E$8:$E$67,$D19)&gt;0,"✔ In gift tracker","➕ Not yet"))</f>
        <v>✔ In gift tracker</v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401</v>
      </c>
      <c r="C49" s="81"/>
      <c r="D49" s="81"/>
      <c r="E49" s="81"/>
      <c r="F49" s="81"/>
      <c r="G49" s="81"/>
      <c r="H49" s="82">
        <f>SUM($H$8:$H$47)</f>
        <v>590.0</v>
      </c>
      <c r="I49" s="101"/>
      <c r="J49" s="102" t="str">
        <f>COUNTIF($J$8:$J$47,"➕ Not yet")&amp;" idea(s) still to move across"</f>
        <v>5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422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423</v>
      </c>
      <c r="I54" s="46"/>
      <c r="J54" s="47" t="s">
        <v>252</v>
      </c>
      <c r="K54" s="47"/>
    </row>
    <row r="55" spans="1:11" ht="24" customHeight="1" x14ac:dyDescent="0.25">
      <c r="A55" s="1"/>
      <c r="B55" s="48" t="s">
        <v>253</v>
      </c>
      <c r="C55" s="48"/>
      <c r="D55" s="49" t="s">
        <v>254</v>
      </c>
      <c r="E55" s="49"/>
      <c r="F55" s="50" t="s">
        <v>255</v>
      </c>
      <c r="G55" s="50"/>
      <c r="H55" s="44" t="s">
        <v>256</v>
      </c>
      <c r="I55" s="44"/>
      <c r="J55" s="46" t="s">
        <v>257</v>
      </c>
      <c r="K55" s="46"/>
    </row>
    <row r="56" spans="1:11" ht="24" customHeight="1" x14ac:dyDescent="0.25">
      <c r="A56" s="1"/>
      <c r="B56" s="43" t="s">
        <v>327</v>
      </c>
      <c r="C56" s="43"/>
      <c r="D56" s="44" t="s">
        <v>259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328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C3A6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F8" r:id="rId1"/>
    <hyperlink ref="F9" r:id="rId2"/>
    <hyperlink ref="F10" r:id="rId3"/>
    <hyperlink ref="F12" r:id="rId4"/>
    <hyperlink ref="F13" r:id="rId5"/>
    <hyperlink ref="F15" r:id="rId6"/>
    <hyperlink ref="F16" r:id="rId7"/>
    <hyperlink ref="F17" r:id="rId8"/>
    <hyperlink ref="F19" r:id="rId9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C3A6E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359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360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24</v>
      </c>
      <c r="C5" s="55"/>
      <c r="D5" s="55"/>
      <c r="E5" s="56" t="str">
        <f>"✅ Bought: "&amp;'_Data'!$AF$22</f>
        <v>✅ Bought: 13</v>
      </c>
      <c r="F5" s="56"/>
      <c r="G5" s="57" t="str">
        <f>"💰 Spent: "&amp;Currency&amp;TEXT('_Data'!$AF$23,"#,##0")</f>
        <v>💰 Spent: $163</v>
      </c>
      <c r="H5" s="57"/>
      <c r="I5" s="100" t="str">
        <f>"💵 Estimated: "&amp;Currency&amp;TEXT(SUM('🛍️ Shopping List'!$H$8:$H$52),"#,##0")</f>
        <v>💵 Estimated: $351</v>
      </c>
      <c r="J5" s="100"/>
      <c r="K5" s="58" t="str">
        <f>"📊 Progress: "&amp;TEXT(IFERROR('_Data'!$AF$22/'_Data'!$AF$21,0),"0%")</f>
        <v>📊 Progress: 54%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263</v>
      </c>
      <c r="C7" s="33" t="s">
        <v>361</v>
      </c>
      <c r="D7" s="33" t="s">
        <v>266</v>
      </c>
      <c r="E7" s="33" t="s">
        <v>362</v>
      </c>
      <c r="F7" s="33" t="s">
        <v>363</v>
      </c>
      <c r="G7" s="33" t="s">
        <v>364</v>
      </c>
      <c r="H7" s="62" t="s">
        <v>365</v>
      </c>
      <c r="I7" s="33" t="s">
        <v>27</v>
      </c>
      <c r="J7" s="33" t="s">
        <v>271</v>
      </c>
      <c r="K7" s="62" t="s">
        <v>366</v>
      </c>
      <c r="L7" s="33" t="s">
        <v>268</v>
      </c>
      <c r="M7" s="33" t="s">
        <v>278</v>
      </c>
    </row>
    <row r="8" spans="1:13" ht="20" customHeight="1">
      <c r="A8" s="1"/>
      <c r="B8" s="63">
        <f>IF($C8="","",ROW()-7)</f>
        <v>1</v>
      </c>
      <c r="C8" s="64" t="s">
        <v>367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 t="s">
        <v>233</v>
      </c>
      <c r="J8" s="68">
        <v>11.5</v>
      </c>
      <c r="K8" s="69">
        <f>IF($I8="✓",IF($J8&lt;&gt;"",$J8,IF($H8&lt;&gt;"",$H8,0)),0)</f>
        <v>11.5</v>
      </c>
      <c r="L8" s="66"/>
      <c r="M8" s="64" t="s">
        <v>368</v>
      </c>
    </row>
    <row r="9" spans="1:13" ht="20" customHeight="1">
      <c r="A9" s="1"/>
      <c r="B9" s="74">
        <f>IF($C9="","",ROW()-7)</f>
        <v>2</v>
      </c>
      <c r="C9" s="75" t="s">
        <v>369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 t="s">
        <v>233</v>
      </c>
      <c r="J9" s="78">
        <v>6.8</v>
      </c>
      <c r="K9" s="69">
        <f>IF($I9="✓",IF($J9&lt;&gt;"",$J9,IF($H9&lt;&gt;"",$H9,0)),0)</f>
        <v>6.8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370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 t="s">
        <v>233</v>
      </c>
      <c r="J10" s="68">
        <v>6</v>
      </c>
      <c r="K10" s="69">
        <f>IF($I10="✓",IF($J10&lt;&gt;"",$J10,IF($H10&lt;&gt;"",$H10,0)),0)</f>
        <v>6.0</v>
      </c>
      <c r="L10" s="66"/>
      <c r="M10" s="64" t="s">
        <v>371</v>
      </c>
    </row>
    <row r="11" spans="1:13" ht="20" customHeight="1">
      <c r="A11" s="1"/>
      <c r="B11" s="74">
        <f>IF($C11="","",ROW()-7)</f>
        <v>4</v>
      </c>
      <c r="C11" s="75" t="s">
        <v>372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373</v>
      </c>
      <c r="D12" s="65" t="s">
        <v>136</v>
      </c>
      <c r="E12" s="64" t="s">
        <v>142</v>
      </c>
      <c r="F12" s="103">
        <v>1</v>
      </c>
      <c r="G12" s="68">
        <v>3</v>
      </c>
      <c r="H12" s="69">
        <f>IF($G12="","",IF($F12="",1,$F12)*$G12)</f>
        <v>3.0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374</v>
      </c>
      <c r="D13" s="76" t="s">
        <v>144</v>
      </c>
      <c r="E13" s="75" t="s">
        <v>127</v>
      </c>
      <c r="F13" s="104">
        <v>1</v>
      </c>
      <c r="G13" s="78">
        <v>14</v>
      </c>
      <c r="H13" s="69">
        <f>IF($G13="","",IF($F13="",1,$F13)*$G13)</f>
        <v>14.0</v>
      </c>
      <c r="I13" s="79" t="s">
        <v>233</v>
      </c>
      <c r="J13" s="78">
        <v>13.5</v>
      </c>
      <c r="K13" s="69">
        <f>IF($I13="✓",IF($J13&lt;&gt;"",$J13,IF($H13&lt;&gt;"",$H13,0)),0)</f>
        <v>13.5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375</v>
      </c>
      <c r="D14" s="65" t="s">
        <v>178</v>
      </c>
      <c r="E14" s="64" t="s">
        <v>376</v>
      </c>
      <c r="F14" s="103">
        <v>1</v>
      </c>
      <c r="G14" s="68">
        <v>20.4</v>
      </c>
      <c r="H14" s="69">
        <f>IF($G14="","",IF($F14="",1,$F14)*$G14)</f>
        <v>20.4</v>
      </c>
      <c r="I14" s="71" t="s">
        <v>233</v>
      </c>
      <c r="J14" s="68">
        <v>20.4</v>
      </c>
      <c r="K14" s="69">
        <f>IF($I14="✓",IF($J14&lt;&gt;"",$J14,IF($H14&lt;&gt;"",$H14,0)),0)</f>
        <v>20.4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377</v>
      </c>
      <c r="D15" s="76" t="s">
        <v>144</v>
      </c>
      <c r="E15" s="75" t="s">
        <v>133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 t="s">
        <v>378</v>
      </c>
    </row>
    <row r="16" spans="1:13" ht="20" customHeight="1">
      <c r="A16" s="1"/>
      <c r="B16" s="63">
        <f>IF($C16="","",ROW()-7)</f>
        <v>9</v>
      </c>
      <c r="C16" s="64" t="s">
        <v>379</v>
      </c>
      <c r="D16" s="65" t="s">
        <v>156</v>
      </c>
      <c r="E16" s="64" t="s">
        <v>380</v>
      </c>
      <c r="F16" s="103">
        <v>2</v>
      </c>
      <c r="G16" s="68">
        <v>1.8</v>
      </c>
      <c r="H16" s="69">
        <f>IF($G16="","",IF($F16="",1,$F16)*$G16)</f>
        <v>3.6</v>
      </c>
      <c r="I16" s="71" t="s">
        <v>233</v>
      </c>
      <c r="J16" s="68">
        <v>3.4</v>
      </c>
      <c r="K16" s="69">
        <f>IF($I16="✓",IF($J16&lt;&gt;"",$J16,IF($H16&lt;&gt;"",$H16,0)),0)</f>
        <v>3.4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381</v>
      </c>
      <c r="D17" s="76" t="s">
        <v>156</v>
      </c>
      <c r="E17" s="75" t="s">
        <v>127</v>
      </c>
      <c r="F17" s="104">
        <v>1</v>
      </c>
      <c r="G17" s="78">
        <v>8</v>
      </c>
      <c r="H17" s="69">
        <f>IF($G17="","",IF($F17="",1,$F17)*$G17)</f>
        <v>8.0</v>
      </c>
      <c r="I17" s="79" t="s">
        <v>233</v>
      </c>
      <c r="J17" s="78">
        <v>7.5</v>
      </c>
      <c r="K17" s="69">
        <f>IF($I17="✓",IF($J17&lt;&gt;"",$J17,IF($H17&lt;&gt;"",$H17,0)),0)</f>
        <v>7.5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382</v>
      </c>
      <c r="D18" s="65" t="s">
        <v>156</v>
      </c>
      <c r="E18" s="64" t="s">
        <v>380</v>
      </c>
      <c r="F18" s="103">
        <v>1</v>
      </c>
      <c r="G18" s="68">
        <v>4.5</v>
      </c>
      <c r="H18" s="69">
        <f>IF($G18="","",IF($F18="",1,$F18)*$G18)</f>
        <v>4.5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383</v>
      </c>
      <c r="D19" s="76" t="s">
        <v>134</v>
      </c>
      <c r="E19" s="75" t="s">
        <v>380</v>
      </c>
      <c r="F19" s="104">
        <v>4</v>
      </c>
      <c r="G19" s="78">
        <v>3.2</v>
      </c>
      <c r="H19" s="69">
        <f>IF($G19="","",IF($F19="",1,$F19)*$G19)</f>
        <v>12.8</v>
      </c>
      <c r="I19" s="79" t="s">
        <v>233</v>
      </c>
      <c r="J19" s="78">
        <v>12</v>
      </c>
      <c r="K19" s="69">
        <f>IF($I19="✓",IF($J19&lt;&gt;"",$J19,IF($H19&lt;&gt;"",$H19,0)),0)</f>
        <v>12.0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384</v>
      </c>
      <c r="D20" s="65" t="s">
        <v>134</v>
      </c>
      <c r="E20" s="64" t="s">
        <v>380</v>
      </c>
      <c r="F20" s="103">
        <v>2</v>
      </c>
      <c r="G20" s="68">
        <v>2</v>
      </c>
      <c r="H20" s="69">
        <f>IF($G20="","",IF($F20="",1,$F20)*$G20)</f>
        <v>4.0</v>
      </c>
      <c r="I20" s="71" t="s">
        <v>233</v>
      </c>
      <c r="J20" s="68">
        <v>3.8</v>
      </c>
      <c r="K20" s="69">
        <f>IF($I20="✓",IF($J20&lt;&gt;"",$J20,IF($H20&lt;&gt;"",$H20,0)),0)</f>
        <v>3.8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385</v>
      </c>
      <c r="D21" s="76" t="s">
        <v>186</v>
      </c>
      <c r="E21" s="75" t="s">
        <v>142</v>
      </c>
      <c r="F21" s="104">
        <v>2</v>
      </c>
      <c r="G21" s="78">
        <v>5.5</v>
      </c>
      <c r="H21" s="69">
        <f>IF($G21="","",IF($F21="",1,$F21)*$G21)</f>
        <v>11.0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>15</v>
      </c>
      <c r="C22" s="64" t="s">
        <v>386</v>
      </c>
      <c r="D22" s="65" t="s">
        <v>186</v>
      </c>
      <c r="E22" s="64" t="s">
        <v>142</v>
      </c>
      <c r="F22" s="103">
        <v>1</v>
      </c>
      <c r="G22" s="68">
        <v>7</v>
      </c>
      <c r="H22" s="69">
        <f>IF($G22="","",IF($F22="",1,$F22)*$G22)</f>
        <v>7.0</v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>16</v>
      </c>
      <c r="C23" s="75" t="s">
        <v>387</v>
      </c>
      <c r="D23" s="76" t="s">
        <v>158</v>
      </c>
      <c r="E23" s="75" t="s">
        <v>200</v>
      </c>
      <c r="F23" s="104">
        <v>2</v>
      </c>
      <c r="G23" s="78">
        <v>9</v>
      </c>
      <c r="H23" s="69">
        <f>IF($G23="","",IF($F23="",1,$F23)*$G23)</f>
        <v>18.0</v>
      </c>
      <c r="I23" s="79" t="s">
        <v>233</v>
      </c>
      <c r="J23" s="78">
        <v>16</v>
      </c>
      <c r="K23" s="69">
        <f>IF($I23="✓",IF($J23&lt;&gt;"",$J23,IF($H23&lt;&gt;"",$H23,0)),0)</f>
        <v>16.0</v>
      </c>
      <c r="L23" s="77"/>
      <c r="M23" s="75"/>
    </row>
    <row r="24" spans="1:13" ht="20" customHeight="1">
      <c r="A24" s="1"/>
      <c r="B24" s="63">
        <f>IF($C24="","",ROW()-7)</f>
        <v>17</v>
      </c>
      <c r="C24" s="64" t="s">
        <v>388</v>
      </c>
      <c r="D24" s="65" t="s">
        <v>158</v>
      </c>
      <c r="E24" s="64" t="s">
        <v>127</v>
      </c>
      <c r="F24" s="103">
        <v>1</v>
      </c>
      <c r="G24" s="68">
        <v>15</v>
      </c>
      <c r="H24" s="69">
        <f>IF($G24="","",IF($F24="",1,$F24)*$G24)</f>
        <v>15.0</v>
      </c>
      <c r="I24" s="71" t="s">
        <v>233</v>
      </c>
      <c r="J24" s="68">
        <v>14.99</v>
      </c>
      <c r="K24" s="69">
        <f>IF($I24="✓",IF($J24&lt;&gt;"",$J24,IF($H24&lt;&gt;"",$H24,0)),0)</f>
        <v>14.99</v>
      </c>
      <c r="L24" s="66"/>
      <c r="M24" s="64"/>
    </row>
    <row r="25" spans="1:13" ht="20" customHeight="1">
      <c r="A25" s="1"/>
      <c r="B25" s="74">
        <f>IF($C25="","",ROW()-7)</f>
        <v>18</v>
      </c>
      <c r="C25" s="75" t="s">
        <v>389</v>
      </c>
      <c r="D25" s="76" t="s">
        <v>158</v>
      </c>
      <c r="E25" s="75" t="s">
        <v>390</v>
      </c>
      <c r="F25" s="104">
        <v>1</v>
      </c>
      <c r="G25" s="78">
        <v>22</v>
      </c>
      <c r="H25" s="69">
        <f>IF($G25="","",IF($F25="",1,$F25)*$G25)</f>
        <v>22.0</v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>19</v>
      </c>
      <c r="C26" s="64" t="s">
        <v>391</v>
      </c>
      <c r="D26" s="65" t="s">
        <v>150</v>
      </c>
      <c r="E26" s="64" t="s">
        <v>380</v>
      </c>
      <c r="F26" s="103">
        <v>1</v>
      </c>
      <c r="G26" s="68">
        <v>65</v>
      </c>
      <c r="H26" s="69">
        <f>IF($G26="","",IF($F26="",1,$F26)*$G26)</f>
        <v>65.0</v>
      </c>
      <c r="I26" s="71"/>
      <c r="J26" s="68"/>
      <c r="K26" s="69">
        <f>IF($I26="✓",IF($J26&lt;&gt;"",$J26,IF($H26&lt;&gt;"",$H26,0)),0)</f>
        <v>0</v>
      </c>
      <c r="L26" s="66"/>
      <c r="M26" s="64" t="s">
        <v>392</v>
      </c>
    </row>
    <row r="27" spans="1:13" ht="20" customHeight="1">
      <c r="A27" s="1"/>
      <c r="B27" s="74">
        <f>IF($C27="","",ROW()-7)</f>
        <v>20</v>
      </c>
      <c r="C27" s="75" t="s">
        <v>393</v>
      </c>
      <c r="D27" s="76" t="s">
        <v>150</v>
      </c>
      <c r="E27" s="75" t="s">
        <v>380</v>
      </c>
      <c r="F27" s="104">
        <v>2</v>
      </c>
      <c r="G27" s="78">
        <v>6.5</v>
      </c>
      <c r="H27" s="69">
        <f>IF($G27="","",IF($F27="",1,$F27)*$G27)</f>
        <v>13.0</v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>21</v>
      </c>
      <c r="C28" s="64" t="s">
        <v>394</v>
      </c>
      <c r="D28" s="65" t="s">
        <v>150</v>
      </c>
      <c r="E28" s="64" t="s">
        <v>380</v>
      </c>
      <c r="F28" s="103">
        <v>3</v>
      </c>
      <c r="G28" s="68">
        <v>8</v>
      </c>
      <c r="H28" s="69">
        <f>IF($G28="","",IF($F28="",1,$F28)*$G28)</f>
        <v>24.0</v>
      </c>
      <c r="I28" s="71" t="s">
        <v>233</v>
      </c>
      <c r="J28" s="68">
        <v>22.5</v>
      </c>
      <c r="K28" s="69">
        <f>IF($I28="✓",IF($J28&lt;&gt;"",$J28,IF($H28&lt;&gt;"",$H28,0)),0)</f>
        <v>22.5</v>
      </c>
      <c r="L28" s="66"/>
      <c r="M28" s="64" t="s">
        <v>395</v>
      </c>
    </row>
    <row r="29" spans="1:13" ht="20" customHeight="1">
      <c r="A29" s="1"/>
      <c r="B29" s="74">
        <f>IF($C29="","",ROW()-7)</f>
        <v>22</v>
      </c>
      <c r="C29" s="75" t="s">
        <v>396</v>
      </c>
      <c r="D29" s="76" t="s">
        <v>165</v>
      </c>
      <c r="E29" s="75" t="s">
        <v>397</v>
      </c>
      <c r="F29" s="104">
        <v>1</v>
      </c>
      <c r="G29" s="78">
        <v>38.4</v>
      </c>
      <c r="H29" s="69">
        <f>IF($G29="","",IF($F29="",1,$F29)*$G29)</f>
        <v>38.4</v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>23</v>
      </c>
      <c r="C30" s="64" t="s">
        <v>398</v>
      </c>
      <c r="D30" s="65" t="s">
        <v>201</v>
      </c>
      <c r="E30" s="64" t="s">
        <v>399</v>
      </c>
      <c r="F30" s="103">
        <v>1</v>
      </c>
      <c r="G30" s="68">
        <v>25</v>
      </c>
      <c r="H30" s="69">
        <f>IF($G30="","",IF($F30="",1,$F30)*$G30)</f>
        <v>25.0</v>
      </c>
      <c r="I30" s="71" t="s">
        <v>233</v>
      </c>
      <c r="J30" s="68">
        <v>25</v>
      </c>
      <c r="K30" s="69">
        <f>IF($I30="✓",IF($J30&lt;&gt;"",$J30,IF($H30&lt;&gt;"",$H30,0)),0)</f>
        <v>25.0</v>
      </c>
      <c r="L30" s="66"/>
      <c r="M30" s="64"/>
    </row>
    <row r="31" spans="1:13" ht="20" customHeight="1">
      <c r="A31" s="1"/>
      <c r="B31" s="74">
        <f>IF($C31="","",ROW()-7)</f>
        <v>24</v>
      </c>
      <c r="C31" s="75" t="s">
        <v>400</v>
      </c>
      <c r="D31" s="76" t="s">
        <v>195</v>
      </c>
      <c r="E31" s="75" t="s">
        <v>142</v>
      </c>
      <c r="F31" s="104">
        <v>1</v>
      </c>
      <c r="G31" s="78">
        <v>4</v>
      </c>
      <c r="H31" s="69">
        <f>IF($G31="","",IF($F31="",1,$F31)*$G31)</f>
        <v>4.0</v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401</v>
      </c>
      <c r="C54" s="81"/>
      <c r="D54" s="81"/>
      <c r="E54" s="81"/>
      <c r="F54" s="81"/>
      <c r="G54" s="101"/>
      <c r="H54" s="82">
        <f>SUM($H$8:$H$52)</f>
        <v>350.7</v>
      </c>
      <c r="I54" s="102" t="str">
        <f>COUNTIF($I$8:$I$52,"✓")&amp;" / "&amp;COUNTA($C$8:$C$52)</f>
        <v>13 / 24</v>
      </c>
      <c r="J54" s="82">
        <f>SUM($J$8:$J$52)</f>
        <v>163.39</v>
      </c>
      <c r="K54" s="82">
        <f>SUM($K$8:$K$52)</f>
        <v>163.39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324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402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248</v>
      </c>
      <c r="C59" s="43"/>
      <c r="D59" s="44" t="s">
        <v>249</v>
      </c>
      <c r="E59" s="44"/>
      <c r="F59" s="45" t="s">
        <v>250</v>
      </c>
      <c r="G59" s="45"/>
      <c r="H59" s="46" t="s">
        <v>251</v>
      </c>
      <c r="I59" s="46"/>
      <c r="J59" s="47" t="s">
        <v>403</v>
      </c>
      <c r="K59" s="47"/>
      <c r="L59" s="48" t="s">
        <v>253</v>
      </c>
      <c r="M59" s="48"/>
    </row>
    <row r="60" spans="1:13" ht="24" customHeight="1">
      <c r="A60" s="1"/>
      <c r="B60" s="49" t="s">
        <v>254</v>
      </c>
      <c r="C60" s="49"/>
      <c r="D60" s="50" t="s">
        <v>255</v>
      </c>
      <c r="E60" s="50"/>
      <c r="F60" s="44" t="s">
        <v>256</v>
      </c>
      <c r="G60" s="44"/>
      <c r="H60" s="46" t="s">
        <v>257</v>
      </c>
      <c r="I60" s="46"/>
      <c r="J60" s="43" t="s">
        <v>327</v>
      </c>
      <c r="K60" s="43"/>
      <c r="L60" s="44" t="s">
        <v>259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328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6B45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5" width="20.7109375" customWidth="1"/>
    <col min="6" max="6" width="20.7109375" customWidth="1"/>
    <col min="7" max="7" width="12.7109375" customWidth="1"/>
    <col min="8" max="8" width="13.7109375" customWidth="1"/>
    <col min="9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424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425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8</v>
      </c>
      <c r="C5" s="55"/>
      <c r="D5" s="55"/>
      <c r="E5" s="58" t="str">
        <f>"🚚 Still coming: "&amp;'_Data'!$AF$32</f>
        <v>🚚 Still coming: 4</v>
      </c>
      <c r="F5" s="58"/>
      <c r="G5" s="58"/>
      <c r="H5" s="56" t="str">
        <f>"✅ Arrived: "&amp;COUNTIF('📦 Order Tracker'!$L$8:$L$47,"✅ Delivered")</f>
        <v>✅ Arrived: 4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$417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263</v>
      </c>
      <c r="C7" s="33" t="s">
        <v>23</v>
      </c>
      <c r="D7" s="33" t="s">
        <v>426</v>
      </c>
      <c r="E7" s="33" t="s">
        <v>362</v>
      </c>
      <c r="F7" s="33" t="s">
        <v>427</v>
      </c>
      <c r="G7" s="33" t="s">
        <v>428</v>
      </c>
      <c r="H7" s="33" t="s">
        <v>429</v>
      </c>
      <c r="I7" s="33" t="s">
        <v>430</v>
      </c>
      <c r="J7" s="33" t="s">
        <v>431</v>
      </c>
      <c r="K7" s="61" t="s">
        <v>269</v>
      </c>
      <c r="L7" s="33" t="s">
        <v>226</v>
      </c>
      <c r="M7" s="62" t="s">
        <v>276</v>
      </c>
      <c r="N7" s="62" t="s">
        <v>432</v>
      </c>
      <c r="O7" s="33" t="s">
        <v>433</v>
      </c>
      <c r="P7" s="33" t="s">
        <v>434</v>
      </c>
      <c r="Q7" s="33" t="s">
        <v>435</v>
      </c>
      <c r="R7" s="33" t="s">
        <v>278</v>
      </c>
    </row>
    <row r="8" spans="1:18" ht="20" customHeight="1">
      <c r="A8" s="1"/>
      <c r="B8" s="63">
        <f>IF($D8="","",ROW()-7)</f>
        <v>1</v>
      </c>
      <c r="C8" s="64" t="s">
        <v>139</v>
      </c>
      <c r="D8" s="64" t="s">
        <v>289</v>
      </c>
      <c r="E8" s="64" t="s">
        <v>127</v>
      </c>
      <c r="F8" s="64" t="s">
        <v>436</v>
      </c>
      <c r="G8" s="72">
        <v>46361</v>
      </c>
      <c r="H8" s="72">
        <v>46378</v>
      </c>
      <c r="I8" s="72"/>
      <c r="J8" s="66" t="s">
        <v>437</v>
      </c>
      <c r="K8" s="67" t="str">
        <f>IF($J8="","",HYPERLINK($J8,"🔗"))</f>
        <v>🔗</v>
      </c>
      <c r="L8" s="65" t="s">
        <v>235</v>
      </c>
      <c r="M8" s="73">
        <f>IF($H8="","",$H8-TODAY())</f>
        <v>101</v>
      </c>
      <c r="N8" s="67" t="str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>🔵 On the way</v>
      </c>
      <c r="O8" s="72">
        <v>46406</v>
      </c>
      <c r="P8" s="71"/>
      <c r="Q8" s="68">
        <v>84.98999999999999</v>
      </c>
      <c r="R8" s="64" t="s">
        <v>438</v>
      </c>
    </row>
    <row r="9" spans="1:18" ht="20" customHeight="1">
      <c r="A9" s="1"/>
      <c r="B9" s="74">
        <f>IF($D9="","",ROW()-7)</f>
        <v>2</v>
      </c>
      <c r="C9" s="75" t="s">
        <v>160</v>
      </c>
      <c r="D9" s="75" t="s">
        <v>298</v>
      </c>
      <c r="E9" s="75" t="s">
        <v>193</v>
      </c>
      <c r="F9" s="75" t="s">
        <v>439</v>
      </c>
      <c r="G9" s="80">
        <v>46363</v>
      </c>
      <c r="H9" s="80">
        <v>46377</v>
      </c>
      <c r="I9" s="80"/>
      <c r="J9" s="77" t="s">
        <v>440</v>
      </c>
      <c r="K9" s="67" t="str">
        <f>IF($J9="","",HYPERLINK($J9,"🔗"))</f>
        <v>🔗</v>
      </c>
      <c r="L9" s="76" t="s">
        <v>238</v>
      </c>
      <c r="M9" s="73">
        <f>IF($H9="","",$H9-TODAY())</f>
        <v>100</v>
      </c>
      <c r="N9" s="67" t="str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>🔵 On the way</v>
      </c>
      <c r="O9" s="80">
        <v>46405</v>
      </c>
      <c r="P9" s="79"/>
      <c r="Q9" s="78">
        <v>74.98999999999999</v>
      </c>
      <c r="R9" s="75" t="s">
        <v>441</v>
      </c>
    </row>
    <row r="10" spans="1:18" ht="20" customHeight="1">
      <c r="A10" s="1"/>
      <c r="B10" s="63">
        <f>IF($D10="","",ROW()-7)</f>
        <v>3</v>
      </c>
      <c r="C10" s="64" t="s">
        <v>182</v>
      </c>
      <c r="D10" s="64" t="s">
        <v>311</v>
      </c>
      <c r="E10" s="64" t="s">
        <v>133</v>
      </c>
      <c r="F10" s="64" t="s">
        <v>442</v>
      </c>
      <c r="G10" s="72">
        <v>46356</v>
      </c>
      <c r="H10" s="72">
        <v>46375</v>
      </c>
      <c r="I10" s="72"/>
      <c r="J10" s="66" t="s">
        <v>443</v>
      </c>
      <c r="K10" s="67" t="str">
        <f>IF($J10="","",HYPERLINK($J10,"🔗"))</f>
        <v>🔗</v>
      </c>
      <c r="L10" s="65" t="s">
        <v>235</v>
      </c>
      <c r="M10" s="73">
        <f>IF($H10="","",$H10-TODAY())</f>
        <v>98</v>
      </c>
      <c r="N10" s="67" t="str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>🔵 On the way</v>
      </c>
      <c r="O10" s="72">
        <v>46403</v>
      </c>
      <c r="P10" s="71"/>
      <c r="Q10" s="68">
        <v>89</v>
      </c>
      <c r="R10" s="64" t="s">
        <v>444</v>
      </c>
    </row>
    <row r="11" spans="1:18" ht="20" customHeight="1">
      <c r="A11" s="1"/>
      <c r="B11" s="74">
        <f>IF($D11="","",ROW()-7)</f>
        <v>4</v>
      </c>
      <c r="C11" s="75" t="s">
        <v>131</v>
      </c>
      <c r="D11" s="75" t="s">
        <v>284</v>
      </c>
      <c r="E11" s="75" t="s">
        <v>127</v>
      </c>
      <c r="F11" s="75" t="s">
        <v>445</v>
      </c>
      <c r="G11" s="80">
        <v>46349</v>
      </c>
      <c r="H11" s="80">
        <v>46367</v>
      </c>
      <c r="I11" s="80">
        <v>46366</v>
      </c>
      <c r="J11" s="77" t="s">
        <v>446</v>
      </c>
      <c r="K11" s="67" t="str">
        <f>IF($J11="","",HYPERLINK($J11,"🔗"))</f>
        <v>🔗</v>
      </c>
      <c r="L11" s="76" t="s">
        <v>241</v>
      </c>
      <c r="M11" s="73">
        <f>IF($H11="","",$H11-TODAY())</f>
        <v>90</v>
      </c>
      <c r="N11" s="67" t="str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>✅ Arrived</v>
      </c>
      <c r="O11" s="80">
        <v>46397</v>
      </c>
      <c r="P11" s="79"/>
      <c r="Q11" s="78">
        <v>38.5</v>
      </c>
      <c r="R11" s="75" t="s">
        <v>447</v>
      </c>
    </row>
    <row r="12" spans="1:18" ht="20" customHeight="1">
      <c r="A12" s="1"/>
      <c r="B12" s="63">
        <f>IF($D12="","",ROW()-7)</f>
        <v>5</v>
      </c>
      <c r="C12" s="64" t="s">
        <v>167</v>
      </c>
      <c r="D12" s="64" t="s">
        <v>302</v>
      </c>
      <c r="E12" s="64" t="s">
        <v>127</v>
      </c>
      <c r="F12" s="64" t="s">
        <v>448</v>
      </c>
      <c r="G12" s="72">
        <v>46341</v>
      </c>
      <c r="H12" s="72">
        <v>46363</v>
      </c>
      <c r="I12" s="72">
        <v>46363</v>
      </c>
      <c r="J12" s="66" t="s">
        <v>449</v>
      </c>
      <c r="K12" s="67" t="str">
        <f>IF($J12="","",HYPERLINK($J12,"🔗"))</f>
        <v>🔗</v>
      </c>
      <c r="L12" s="65" t="s">
        <v>241</v>
      </c>
      <c r="M12" s="73">
        <f>IF($H12="","",$H12-TODAY())</f>
        <v>86</v>
      </c>
      <c r="N12" s="67" t="str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>✅ Arrived</v>
      </c>
      <c r="O12" s="72">
        <v>46393</v>
      </c>
      <c r="P12" s="71"/>
      <c r="Q12" s="68">
        <v>39.99</v>
      </c>
      <c r="R12" s="64"/>
    </row>
    <row r="13" spans="1:18" ht="20" customHeight="1">
      <c r="A13" s="1"/>
      <c r="B13" s="74">
        <f>IF($D13="","",ROW()-7)</f>
        <v>6</v>
      </c>
      <c r="C13" s="75" t="s">
        <v>190</v>
      </c>
      <c r="D13" s="75" t="s">
        <v>312</v>
      </c>
      <c r="E13" s="75" t="s">
        <v>215</v>
      </c>
      <c r="F13" s="75" t="s">
        <v>450</v>
      </c>
      <c r="G13" s="80">
        <v>46336</v>
      </c>
      <c r="H13" s="80">
        <v>46361</v>
      </c>
      <c r="I13" s="80">
        <v>46362</v>
      </c>
      <c r="J13" s="77" t="s">
        <v>451</v>
      </c>
      <c r="K13" s="67" t="str">
        <f>IF($J13="","",HYPERLINK($J13,"🔗"))</f>
        <v>🔗</v>
      </c>
      <c r="L13" s="76" t="s">
        <v>241</v>
      </c>
      <c r="M13" s="73">
        <f>IF($H13="","",$H13-TODAY())</f>
        <v>84</v>
      </c>
      <c r="N13" s="67" t="str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>✅ Arrived</v>
      </c>
      <c r="O13" s="80">
        <v>46391</v>
      </c>
      <c r="P13" s="79"/>
      <c r="Q13" s="78">
        <v>28.5</v>
      </c>
      <c r="R13" s="75"/>
    </row>
    <row r="14" spans="1:18" ht="20" customHeight="1">
      <c r="A14" s="1"/>
      <c r="B14" s="63">
        <f>IF($D14="","",ROW()-7)</f>
        <v>7</v>
      </c>
      <c r="C14" s="64" t="s">
        <v>203</v>
      </c>
      <c r="D14" s="64" t="s">
        <v>318</v>
      </c>
      <c r="E14" s="64" t="s">
        <v>206</v>
      </c>
      <c r="F14" s="64" t="s">
        <v>452</v>
      </c>
      <c r="G14" s="72">
        <v>46331</v>
      </c>
      <c r="H14" s="72">
        <v>46360</v>
      </c>
      <c r="I14" s="72">
        <v>46360</v>
      </c>
      <c r="J14" s="66" t="s">
        <v>453</v>
      </c>
      <c r="K14" s="67" t="str">
        <f>IF($J14="","",HYPERLINK($J14,"🔗"))</f>
        <v>🔗</v>
      </c>
      <c r="L14" s="65" t="s">
        <v>241</v>
      </c>
      <c r="M14" s="73">
        <f>IF($H14="","",$H14-TODAY())</f>
        <v>83</v>
      </c>
      <c r="N14" s="67" t="str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>✅ Arrived</v>
      </c>
      <c r="O14" s="72">
        <v>46390</v>
      </c>
      <c r="P14" s="71"/>
      <c r="Q14" s="68">
        <v>37.5</v>
      </c>
      <c r="R14" s="64"/>
    </row>
    <row r="15" spans="1:18" ht="20" customHeight="1">
      <c r="A15" s="1"/>
      <c r="B15" s="74">
        <f>IF($D15="","",ROW()-7)</f>
        <v>8</v>
      </c>
      <c r="C15" s="75" t="s">
        <v>152</v>
      </c>
      <c r="D15" s="75" t="s">
        <v>296</v>
      </c>
      <c r="E15" s="75" t="s">
        <v>185</v>
      </c>
      <c r="F15" s="75" t="s">
        <v>454</v>
      </c>
      <c r="G15" s="80">
        <v>46375</v>
      </c>
      <c r="H15" s="80">
        <v>46380</v>
      </c>
      <c r="I15" s="80"/>
      <c r="J15" s="77" t="s">
        <v>455</v>
      </c>
      <c r="K15" s="67" t="str">
        <f>IF($J15="","",HYPERLINK($J15,"🔗"))</f>
        <v>🔗</v>
      </c>
      <c r="L15" s="76" t="s">
        <v>231</v>
      </c>
      <c r="M15" s="73">
        <f>IF($H15="","",$H15-TODAY())</f>
        <v>103</v>
      </c>
      <c r="N15" s="67" t="str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>🔵 On the way</v>
      </c>
      <c r="O15" s="80">
        <v>46410</v>
      </c>
      <c r="P15" s="79"/>
      <c r="Q15" s="78">
        <v>24</v>
      </c>
      <c r="R15" s="75" t="s">
        <v>456</v>
      </c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401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4 of 8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417.47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457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251</v>
      </c>
      <c r="I54" s="46"/>
      <c r="J54" s="47" t="s">
        <v>252</v>
      </c>
      <c r="K54" s="47"/>
      <c r="L54" s="48" t="s">
        <v>458</v>
      </c>
      <c r="M54" s="48"/>
      <c r="N54" s="49" t="s">
        <v>254</v>
      </c>
      <c r="O54" s="49"/>
      <c r="P54" s="50" t="s">
        <v>255</v>
      </c>
      <c r="Q54" s="50"/>
      <c r="R54" s="1"/>
    </row>
    <row r="55" spans="1:18" ht="24" customHeight="1">
      <c r="A55" s="1"/>
      <c r="B55" s="44" t="s">
        <v>256</v>
      </c>
      <c r="C55" s="44"/>
      <c r="D55" s="46" t="s">
        <v>257</v>
      </c>
      <c r="E55" s="46"/>
      <c r="F55" s="43" t="s">
        <v>327</v>
      </c>
      <c r="G55" s="43"/>
      <c r="H55" s="44" t="s">
        <v>259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328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J8" r:id="rId1"/>
    <hyperlink ref="J9" r:id="rId2"/>
    <hyperlink ref="J10" r:id="rId3"/>
    <hyperlink ref="J11" r:id="rId4"/>
    <hyperlink ref="J12" r:id="rId5"/>
    <hyperlink ref="J13" r:id="rId6"/>
    <hyperlink ref="J14" r:id="rId7"/>
    <hyperlink ref="J15" r:id="rId8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1443C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5" width="13.7109375" customWidth="1"/>
    <col min="6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459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460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5</v>
      </c>
      <c r="C5" s="59"/>
      <c r="D5" s="56" t="str">
        <f>"✅ Wrapped: "&amp;'_Data'!$AF$6</f>
        <v>✅ Wrapped: 13</v>
      </c>
      <c r="E5" s="56"/>
      <c r="F5" s="58" t="str">
        <f>"🏷️ Tags done: "&amp;COUNTIF('🎀 Wrapping &amp; Hiding'!$H$8:$H$67,"✓")</f>
        <v>🏷️ Tags done: 10</v>
      </c>
      <c r="G5" s="58"/>
      <c r="H5" s="99" t="str">
        <f>"🙈 Spots noted: "&amp;COUNTA('🎀 Wrapping &amp; Hiding'!$G$8:$G$67)</f>
        <v>🙈 Spots noted: 11</v>
      </c>
      <c r="I5" s="55" t="str">
        <f>"📦 Handed over: "&amp;'_Data'!$AF$7</f>
        <v>📦 Handed over: 6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263</v>
      </c>
      <c r="C7" s="62" t="s">
        <v>461</v>
      </c>
      <c r="D7" s="62" t="s">
        <v>462</v>
      </c>
      <c r="E7" s="62" t="s">
        <v>463</v>
      </c>
      <c r="F7" s="62" t="s">
        <v>464</v>
      </c>
      <c r="G7" s="33" t="s">
        <v>465</v>
      </c>
      <c r="H7" s="33" t="s">
        <v>466</v>
      </c>
      <c r="I7" s="62" t="s">
        <v>467</v>
      </c>
      <c r="J7" s="33" t="s">
        <v>278</v>
      </c>
    </row>
    <row r="8" spans="1:10" ht="20" customHeight="1">
      <c r="A8" s="1"/>
      <c r="B8" s="67">
        <f>IF('🎁 Gift Tracker'!$C$8="","",ROW()-7)</f>
        <v>1</v>
      </c>
      <c r="C8" s="106" t="str">
        <f>IF('🎁 Gift Tracker'!$C$8="","",'🎁 Gift Tracker'!$C$8)</f>
        <v>Mum</v>
      </c>
      <c r="D8" s="106" t="str">
        <f>IF('🎁 Gift Tracker'!$C$8="","",'🎁 Gift Tracker'!$E$8)</f>
        <v>Cashmere scarf</v>
      </c>
      <c r="E8" s="67" t="str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>✅ Bought</v>
      </c>
      <c r="F8" s="67" t="str">
        <f>IF('🎁 Gift Tracker'!$C$8="","",IF(OR('🎁 Gift Tracker'!$O$8="✓",'🎁 Gift Tracker'!$N$8="🎀 Wrapped",'🎁 Gift Tracker'!$N$8="📦 Delivered"),"🎀 Wrapped","— to wrap"))</f>
        <v>🎀 Wrapped</v>
      </c>
      <c r="G8" s="64"/>
      <c r="H8" s="71"/>
      <c r="I8" s="67" t="str">
        <f>IF('🎁 Gift Tracker'!$C$8="","",IF(OR('🎁 Gift Tracker'!$P$8="✓",'🎁 Gift Tracker'!$N$8="📦 Delivered"),"📦 Given","—"))</f>
        <v>—</v>
      </c>
      <c r="J8" s="64"/>
    </row>
    <row r="9" spans="1:10" ht="20" customHeight="1">
      <c r="A9" s="1"/>
      <c r="B9" s="67">
        <f>IF('🎁 Gift Tracker'!$C$9="","",ROW()-7)</f>
        <v>2</v>
      </c>
      <c r="C9" s="106" t="str">
        <f>IF('🎁 Gift Tracker'!$C$9="","",'🎁 Gift Tracker'!$C$9)</f>
        <v>Mum</v>
      </c>
      <c r="D9" s="106" t="str">
        <f>IF('🎁 Gift Tracker'!$C$9="","",'🎁 Gift Tracker'!$E$9)</f>
        <v>Spa gift set</v>
      </c>
      <c r="E9" s="67" t="str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>✅ Bought</v>
      </c>
      <c r="F9" s="67" t="str">
        <f>IF('🎁 Gift Tracker'!$C$9="","",IF(OR('🎁 Gift Tracker'!$O$9="✓",'🎁 Gift Tracker'!$N$9="🎀 Wrapped",'🎁 Gift Tracker'!$N$9="📦 Delivered"),"🎀 Wrapped","— to wrap"))</f>
        <v>🎀 Wrapped</v>
      </c>
      <c r="G9" s="75" t="s">
        <v>128</v>
      </c>
      <c r="H9" s="79" t="s">
        <v>233</v>
      </c>
      <c r="I9" s="67" t="str">
        <f>IF('🎁 Gift Tracker'!$C$9="","",IF(OR('🎁 Gift Tracker'!$P$9="✓",'🎁 Gift Tracker'!$N$9="📦 Delivered"),"📦 Given","—"))</f>
        <v>—</v>
      </c>
      <c r="J9" s="75"/>
    </row>
    <row r="10" spans="1:10" ht="20" customHeight="1">
      <c r="A10" s="1"/>
      <c r="B10" s="67">
        <f>IF('🎁 Gift Tracker'!$C$10="","",ROW()-7)</f>
        <v>3</v>
      </c>
      <c r="C10" s="106" t="str">
        <f>IF('🎁 Gift Tracker'!$C$10="","",'🎁 Gift Tracker'!$C$10)</f>
        <v>Dad</v>
      </c>
      <c r="D10" s="106" t="str">
        <f>IF('🎁 Gift Tracker'!$C$10="","",'🎁 Gift Tracker'!$E$10)</f>
        <v>Leather wallet</v>
      </c>
      <c r="E10" s="67" t="str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>✅ Bought</v>
      </c>
      <c r="F10" s="67" t="str">
        <f>IF('🎁 Gift Tracker'!$C$10="","",IF(OR('🎁 Gift Tracker'!$O$10="✓",'🎁 Gift Tracker'!$N$10="🎀 Wrapped",'🎁 Gift Tracker'!$N$10="📦 Delivered"),"🎀 Wrapped","— to wrap"))</f>
        <v>🎀 Wrapped</v>
      </c>
      <c r="G10" s="64" t="s">
        <v>194</v>
      </c>
      <c r="H10" s="71" t="s">
        <v>233</v>
      </c>
      <c r="I10" s="67" t="str">
        <f>IF('🎁 Gift Tracker'!$C$10="","",IF(OR('🎁 Gift Tracker'!$P$10="✓",'🎁 Gift Tracker'!$N$10="📦 Delivered"),"📦 Given","—"))</f>
        <v>📦 Given</v>
      </c>
      <c r="J10" s="64"/>
    </row>
    <row r="11" spans="1:10" ht="20" customHeight="1">
      <c r="A11" s="1"/>
      <c r="B11" s="67">
        <f>IF('🎁 Gift Tracker'!$C$11="","",ROW()-7)</f>
        <v>4</v>
      </c>
      <c r="C11" s="106" t="str">
        <f>IF('🎁 Gift Tracker'!$C$11="","",'🎁 Gift Tracker'!$C$11)</f>
        <v>Dad</v>
      </c>
      <c r="D11" s="106" t="str">
        <f>IF('🎁 Gift Tracker'!$C$11="","",'🎁 Gift Tracker'!$E$11)</f>
        <v>Whisky tasting set</v>
      </c>
      <c r="E11" s="67" t="str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>✅ Bought</v>
      </c>
      <c r="F11" s="67" t="str">
        <f>IF('🎁 Gift Tracker'!$C$11="","",IF(OR('🎁 Gift Tracker'!$O$11="✓",'🎁 Gift Tracker'!$N$11="🎀 Wrapped",'🎁 Gift Tracker'!$N$11="📦 Delivered"),"🎀 Wrapped","— to wrap"))</f>
        <v>🎀 Wrapped</v>
      </c>
      <c r="G11" s="75"/>
      <c r="H11" s="79"/>
      <c r="I11" s="67" t="str">
        <f>IF('🎁 Gift Tracker'!$C$11="","",IF(OR('🎁 Gift Tracker'!$P$11="✓",'🎁 Gift Tracker'!$N$11="📦 Delivered"),"📦 Given","—"))</f>
        <v>—</v>
      </c>
      <c r="J11" s="75"/>
    </row>
    <row r="12" spans="1:10" ht="20" customHeight="1">
      <c r="A12" s="1"/>
      <c r="B12" s="67">
        <f>IF('🎁 Gift Tracker'!$C$12="","",ROW()-7)</f>
        <v>5</v>
      </c>
      <c r="C12" s="106" t="str">
        <f>IF('🎁 Gift Tracker'!$C$12="","",'🎁 Gift Tracker'!$C$12)</f>
        <v>Grandma Rose</v>
      </c>
      <c r="D12" s="106" t="str">
        <f>IF('🎁 Gift Tracker'!$C$12="","",'🎁 Gift Tracker'!$E$12)</f>
        <v>Digital photo frame</v>
      </c>
      <c r="E12" s="67" t="str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>🚚 On the way</v>
      </c>
      <c r="F12" s="67" t="str">
        <f>IF('🎁 Gift Tracker'!$C$12="","",IF(OR('🎁 Gift Tracker'!$O$12="✓",'🎁 Gift Tracker'!$N$12="🎀 Wrapped",'🎁 Gift Tracker'!$N$12="📦 Delivered"),"🎀 Wrapped","— to wrap"))</f>
        <v>— to wrap</v>
      </c>
      <c r="G12" s="64"/>
      <c r="H12" s="71"/>
      <c r="I12" s="67" t="str">
        <f>IF('🎁 Gift Tracker'!$C$12="","",IF(OR('🎁 Gift Tracker'!$P$12="✓",'🎁 Gift Tracker'!$N$12="📦 Delivered"),"📦 Given","—"))</f>
        <v>—</v>
      </c>
      <c r="J12" s="64"/>
    </row>
    <row r="13" spans="1:10" ht="20" customHeight="1">
      <c r="A13" s="1"/>
      <c r="B13" s="67">
        <f>IF('🎁 Gift Tracker'!$C$13="","",ROW()-7)</f>
        <v>6</v>
      </c>
      <c r="C13" s="106" t="str">
        <f>IF('🎁 Gift Tracker'!$C$13="","",'🎁 Gift Tracker'!$C$13)</f>
        <v>Grandma Rose</v>
      </c>
      <c r="D13" s="106" t="str">
        <f>IF('🎁 Gift Tracker'!$C$13="","",'🎁 Gift Tracker'!$E$13)</f>
        <v>Chunky knitted blanket</v>
      </c>
      <c r="E13" s="67" t="str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>✅ Bought</v>
      </c>
      <c r="F13" s="67" t="str">
        <f>IF('🎁 Gift Tracker'!$C$13="","",IF(OR('🎁 Gift Tracker'!$O$13="✓",'🎁 Gift Tracker'!$N$13="🎀 Wrapped",'🎁 Gift Tracker'!$N$13="📦 Delivered"),"🎀 Wrapped","— to wrap"))</f>
        <v>🎀 Wrapped</v>
      </c>
      <c r="G13" s="75" t="s">
        <v>151</v>
      </c>
      <c r="H13" s="79" t="s">
        <v>233</v>
      </c>
      <c r="I13" s="67" t="str">
        <f>IF('🎁 Gift Tracker'!$C$13="","",IF(OR('🎁 Gift Tracker'!$P$13="✓",'🎁 Gift Tracker'!$N$13="📦 Delivered"),"📦 Given","—"))</f>
        <v>—</v>
      </c>
      <c r="J13" s="75"/>
    </row>
    <row r="14" spans="1:10" ht="20" customHeight="1">
      <c r="A14" s="1"/>
      <c r="B14" s="67">
        <f>IF('🎁 Gift Tracker'!$C$14="","",ROW()-7)</f>
        <v>7</v>
      </c>
      <c r="C14" s="106" t="str">
        <f>IF('🎁 Gift Tracker'!$C$14="","",'🎁 Gift Tracker'!$C$14)</f>
        <v>Grandpa Joe</v>
      </c>
      <c r="D14" s="106" t="str">
        <f>IF('🎁 Gift Tracker'!$C$14="","",'🎁 Gift Tracker'!$E$14)</f>
        <v>Crossword book bundle</v>
      </c>
      <c r="E14" s="67" t="str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>✅ Bought</v>
      </c>
      <c r="F14" s="67" t="str">
        <f>IF('🎁 Gift Tracker'!$C$14="","",IF(OR('🎁 Gift Tracker'!$O$14="✓",'🎁 Gift Tracker'!$N$14="🎀 Wrapped",'🎁 Gift Tracker'!$N$14="📦 Delivered"),"🎀 Wrapped","— to wrap"))</f>
        <v>🎀 Wrapped</v>
      </c>
      <c r="G14" s="64" t="s">
        <v>179</v>
      </c>
      <c r="H14" s="71" t="s">
        <v>233</v>
      </c>
      <c r="I14" s="67" t="str">
        <f>IF('🎁 Gift Tracker'!$C$14="","",IF(OR('🎁 Gift Tracker'!$P$14="✓",'🎁 Gift Tracker'!$N$14="📦 Delivered"),"📦 Given","—"))</f>
        <v>📦 Given</v>
      </c>
      <c r="J14" s="64"/>
    </row>
    <row r="15" spans="1:10" ht="20" customHeight="1">
      <c r="A15" s="1"/>
      <c r="B15" s="67">
        <f>IF('🎁 Gift Tracker'!$C$15="","",ROW()-7)</f>
        <v>8</v>
      </c>
      <c r="C15" s="106" t="str">
        <f>IF('🎁 Gift Tracker'!$C$15="","",'🎁 Gift Tracker'!$C$15)</f>
        <v>Grandpa Joe</v>
      </c>
      <c r="D15" s="106" t="str">
        <f>IF('🎁 Gift Tracker'!$C$15="","",'🎁 Gift Tracker'!$E$15)</f>
        <v>Heated slippers</v>
      </c>
      <c r="E15" s="67" t="str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>✅ Bought</v>
      </c>
      <c r="F15" s="67" t="str">
        <f>IF('🎁 Gift Tracker'!$C$15="","",IF(OR('🎁 Gift Tracker'!$O$15="✓",'🎁 Gift Tracker'!$N$15="🎀 Wrapped",'🎁 Gift Tracker'!$N$15="📦 Delivered"),"🎀 Wrapped","— to wrap"))</f>
        <v>🎀 Wrapped</v>
      </c>
      <c r="G15" s="75" t="s">
        <v>135</v>
      </c>
      <c r="H15" s="79" t="s">
        <v>233</v>
      </c>
      <c r="I15" s="67" t="str">
        <f>IF('🎁 Gift Tracker'!$C$15="","",IF(OR('🎁 Gift Tracker'!$P$15="✓",'🎁 Gift Tracker'!$N$15="📦 Delivered"),"📦 Given","—"))</f>
        <v>📦 Given</v>
      </c>
      <c r="J15" s="75"/>
    </row>
    <row r="16" spans="1:10" ht="20" customHeight="1">
      <c r="A16" s="1"/>
      <c r="B16" s="67">
        <f>IF('🎁 Gift Tracker'!$C$16="","",ROW()-7)</f>
        <v>9</v>
      </c>
      <c r="C16" s="106" t="str">
        <f>IF('🎁 Gift Tracker'!$C$16="","",'🎁 Gift Tracker'!$C$16)</f>
        <v>Sister Emily</v>
      </c>
      <c r="D16" s="106" t="str">
        <f>IF('🎁 Gift Tracker'!$C$16="","",'🎁 Gift Tracker'!$E$16)</f>
        <v>Gold hoop earrings</v>
      </c>
      <c r="E16" s="67" t="str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>✅ Bought</v>
      </c>
      <c r="F16" s="67" t="str">
        <f>IF('🎁 Gift Tracker'!$C$16="","",IF(OR('🎁 Gift Tracker'!$O$16="✓",'🎁 Gift Tracker'!$N$16="🎀 Wrapped",'🎁 Gift Tracker'!$N$16="📦 Delivered"),"🎀 Wrapped","— to wrap"))</f>
        <v>🎀 Wrapped</v>
      </c>
      <c r="G16" s="64" t="s">
        <v>164</v>
      </c>
      <c r="H16" s="71" t="s">
        <v>233</v>
      </c>
      <c r="I16" s="67" t="str">
        <f>IF('🎁 Gift Tracker'!$C$16="","",IF(OR('🎁 Gift Tracker'!$P$16="✓",'🎁 Gift Tracker'!$N$16="📦 Delivered"),"📦 Given","—"))</f>
        <v>—</v>
      </c>
      <c r="J16" s="64"/>
    </row>
    <row r="17" spans="1:10" ht="20" customHeight="1">
      <c r="A17" s="1"/>
      <c r="B17" s="67">
        <f>IF('🎁 Gift Tracker'!$C$17="","",ROW()-7)</f>
        <v>10</v>
      </c>
      <c r="C17" s="106" t="str">
        <f>IF('🎁 Gift Tracker'!$C$17="","",'🎁 Gift Tracker'!$C$17)</f>
        <v>Sister Emily</v>
      </c>
      <c r="D17" s="106" t="str">
        <f>IF('🎁 Gift Tracker'!$C$17="","",'🎁 Gift Tracker'!$E$17)</f>
        <v>Bath bomb gift box</v>
      </c>
      <c r="E17" s="67" t="str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>⏳ Not yet</v>
      </c>
      <c r="F17" s="67" t="str">
        <f>IF('🎁 Gift Tracker'!$C$17="","",IF(OR('🎁 Gift Tracker'!$O$17="✓",'🎁 Gift Tracker'!$N$17="🎀 Wrapped",'🎁 Gift Tracker'!$N$17="📦 Delivered"),"🎀 Wrapped","— to wrap"))</f>
        <v>— to wrap</v>
      </c>
      <c r="G17" s="75"/>
      <c r="H17" s="79"/>
      <c r="I17" s="67" t="str">
        <f>IF('🎁 Gift Tracker'!$C$17="","",IF(OR('🎁 Gift Tracker'!$P$17="✓",'🎁 Gift Tracker'!$N$17="📦 Delivered"),"📦 Given","—"))</f>
        <v>—</v>
      </c>
      <c r="J17" s="75"/>
    </row>
    <row r="18" spans="1:10" ht="20" customHeight="1">
      <c r="A18" s="1"/>
      <c r="B18" s="67">
        <f>IF('🎁 Gift Tracker'!$C$18="","",ROW()-7)</f>
        <v>11</v>
      </c>
      <c r="C18" s="106" t="str">
        <f>IF('🎁 Gift Tracker'!$C$18="","",'🎁 Gift Tracker'!$C$18)</f>
        <v>Brother Jack</v>
      </c>
      <c r="D18" s="106" t="str">
        <f>IF('🎁 Gift Tracker'!$C$18="","",'🎁 Gift Tracker'!$E$18)</f>
        <v>Wireless earbuds</v>
      </c>
      <c r="E18" s="67" t="str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>🚚 On the way</v>
      </c>
      <c r="F18" s="67" t="str">
        <f>IF('🎁 Gift Tracker'!$C$18="","",IF(OR('🎁 Gift Tracker'!$O$18="✓",'🎁 Gift Tracker'!$N$18="🎀 Wrapped",'🎁 Gift Tracker'!$N$18="📦 Delivered"),"🎀 Wrapped","— to wrap"))</f>
        <v>— to wrap</v>
      </c>
      <c r="G18" s="64"/>
      <c r="H18" s="71"/>
      <c r="I18" s="67" t="str">
        <f>IF('🎁 Gift Tracker'!$C$18="","",IF(OR('🎁 Gift Tracker'!$P$18="✓",'🎁 Gift Tracker'!$N$18="📦 Delivered"),"📦 Given","—"))</f>
        <v>—</v>
      </c>
      <c r="J18" s="64"/>
    </row>
    <row r="19" spans="1:10" ht="20" customHeight="1">
      <c r="A19" s="1"/>
      <c r="B19" s="67">
        <f>IF('🎁 Gift Tracker'!$C$19="","",ROW()-7)</f>
        <v>12</v>
      </c>
      <c r="C19" s="106" t="str">
        <f>IF('🎁 Gift Tracker'!$C$19="","",'🎁 Gift Tracker'!$C$19)</f>
        <v>Brother Jack</v>
      </c>
      <c r="D19" s="106" t="str">
        <f>IF('🎁 Gift Tracker'!$C$19="","",'🎁 Gift Tracker'!$E$19)</f>
        <v>Craft beer hamper</v>
      </c>
      <c r="E19" s="67" t="str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>✅ Bought</v>
      </c>
      <c r="F19" s="67" t="str">
        <f>IF('🎁 Gift Tracker'!$C$19="","",IF(OR('🎁 Gift Tracker'!$O$19="✓",'🎁 Gift Tracker'!$N$19="🎀 Wrapped",'🎁 Gift Tracker'!$N$19="📦 Delivered"),"🎀 Wrapped","— to wrap"))</f>
        <v>— to wrap</v>
      </c>
      <c r="G19" s="75"/>
      <c r="H19" s="79"/>
      <c r="I19" s="67" t="str">
        <f>IF('🎁 Gift Tracker'!$C$19="","",IF(OR('🎁 Gift Tracker'!$P$19="✓",'🎁 Gift Tracker'!$N$19="📦 Delivered"),"📦 Given","—"))</f>
        <v>—</v>
      </c>
      <c r="J19" s="75"/>
    </row>
    <row r="20" spans="1:10" ht="20" customHeight="1">
      <c r="A20" s="1"/>
      <c r="B20" s="67">
        <f>IF('🎁 Gift Tracker'!$C$20="","",ROW()-7)</f>
        <v>13</v>
      </c>
      <c r="C20" s="106" t="str">
        <f>IF('🎁 Gift Tracker'!$C$20="","",'🎁 Gift Tracker'!$C$20)</f>
        <v>Niece Sophie</v>
      </c>
      <c r="D20" s="106" t="str">
        <f>IF('🎁 Gift Tracker'!$C$20="","",'🎁 Gift Tracker'!$E$20)</f>
        <v>LEGO Friends set</v>
      </c>
      <c r="E20" s="67" t="str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>✅ Bought</v>
      </c>
      <c r="F20" s="67" t="str">
        <f>IF('🎁 Gift Tracker'!$C$20="","",IF(OR('🎁 Gift Tracker'!$O$20="✓",'🎁 Gift Tracker'!$N$20="🎀 Wrapped",'🎁 Gift Tracker'!$N$20="📦 Delivered"),"🎀 Wrapped","— to wrap"))</f>
        <v>🎀 Wrapped</v>
      </c>
      <c r="G20" s="64" t="s">
        <v>143</v>
      </c>
      <c r="H20" s="71" t="s">
        <v>233</v>
      </c>
      <c r="I20" s="67" t="str">
        <f>IF('🎁 Gift Tracker'!$C$20="","",IF(OR('🎁 Gift Tracker'!$P$20="✓",'🎁 Gift Tracker'!$N$20="📦 Delivered"),"📦 Given","—"))</f>
        <v>📦 Given</v>
      </c>
      <c r="J20" s="64"/>
    </row>
    <row r="21" spans="1:10" ht="20" customHeight="1">
      <c r="A21" s="1"/>
      <c r="B21" s="67">
        <f>IF('🎁 Gift Tracker'!$C$21="","",ROW()-7)</f>
        <v>14</v>
      </c>
      <c r="C21" s="106" t="str">
        <f>IF('🎁 Gift Tracker'!$C$21="","",'🎁 Gift Tracker'!$C$21)</f>
        <v>Niece Sophie</v>
      </c>
      <c r="D21" s="106" t="str">
        <f>IF('🎁 Gift Tracker'!$C$21="","",'🎁 Gift Tracker'!$E$21)</f>
        <v>Art supplies case</v>
      </c>
      <c r="E21" s="67" t="str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>✅ Bought</v>
      </c>
      <c r="F21" s="67" t="str">
        <f>IF('🎁 Gift Tracker'!$C$21="","",IF(OR('🎁 Gift Tracker'!$O$21="✓",'🎁 Gift Tracker'!$N$21="🎀 Wrapped",'🎁 Gift Tracker'!$N$21="📦 Delivered"),"🎀 Wrapped","— to wrap"))</f>
        <v>🎀 Wrapped</v>
      </c>
      <c r="G21" s="75" t="s">
        <v>128</v>
      </c>
      <c r="H21" s="79"/>
      <c r="I21" s="67" t="str">
        <f>IF('🎁 Gift Tracker'!$C$21="","",IF(OR('🎁 Gift Tracker'!$P$21="✓",'🎁 Gift Tracker'!$N$21="📦 Delivered"),"📦 Given","—"))</f>
        <v>—</v>
      </c>
      <c r="J21" s="75"/>
    </row>
    <row r="22" spans="1:10" ht="20" customHeight="1">
      <c r="A22" s="1"/>
      <c r="B22" s="67">
        <f>IF('🎁 Gift Tracker'!$C$22="","",ROW()-7)</f>
        <v>15</v>
      </c>
      <c r="C22" s="106" t="str">
        <f>IF('🎁 Gift Tracker'!$C$22="","",'🎁 Gift Tracker'!$C$22)</f>
        <v>Nephew Leo</v>
      </c>
      <c r="D22" s="106" t="str">
        <f>IF('🎁 Gift Tracker'!$C$22="","",'🎁 Gift Tracker'!$E$22)</f>
        <v>Dinosaur museum tickets</v>
      </c>
      <c r="E22" s="67" t="str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>✅ Bought</v>
      </c>
      <c r="F22" s="67" t="str">
        <f>IF('🎁 Gift Tracker'!$C$22="","",IF(OR('🎁 Gift Tracker'!$O$22="✓",'🎁 Gift Tracker'!$N$22="🎀 Wrapped",'🎁 Gift Tracker'!$N$22="📦 Delivered"),"🎀 Wrapped","— to wrap"))</f>
        <v>— to wrap</v>
      </c>
      <c r="G22" s="64"/>
      <c r="H22" s="71"/>
      <c r="I22" s="67" t="str">
        <f>IF('🎁 Gift Tracker'!$C$22="","",IF(OR('🎁 Gift Tracker'!$P$22="✓",'🎁 Gift Tracker'!$N$22="📦 Delivered"),"📦 Given","—"))</f>
        <v>—</v>
      </c>
      <c r="J22" s="64"/>
    </row>
    <row r="23" spans="1:10" ht="20" customHeight="1">
      <c r="A23" s="1"/>
      <c r="B23" s="67">
        <f>IF('🎁 Gift Tracker'!$C$23="","",ROW()-7)</f>
        <v>16</v>
      </c>
      <c r="C23" s="106" t="str">
        <f>IF('🎁 Gift Tracker'!$C$23="","",'🎁 Gift Tracker'!$C$23)</f>
        <v>Nephew Leo</v>
      </c>
      <c r="D23" s="106" t="str">
        <f>IF('🎁 Gift Tracker'!$C$23="","",'🎁 Gift Tracker'!$E$23)</f>
        <v>Graphic novel bundle</v>
      </c>
      <c r="E23" s="67" t="str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>⏳ Not yet</v>
      </c>
      <c r="F23" s="67" t="str">
        <f>IF('🎁 Gift Tracker'!$C$23="","",IF(OR('🎁 Gift Tracker'!$O$23="✓",'🎁 Gift Tracker'!$N$23="🎀 Wrapped",'🎁 Gift Tracker'!$N$23="📦 Delivered"),"🎀 Wrapped","— to wrap"))</f>
        <v>— to wrap</v>
      </c>
      <c r="G23" s="75"/>
      <c r="H23" s="79"/>
      <c r="I23" s="67" t="str">
        <f>IF('🎁 Gift Tracker'!$C$23="","",IF(OR('🎁 Gift Tracker'!$P$23="✓",'🎁 Gift Tracker'!$N$23="📦 Delivered"),"📦 Given","—"))</f>
        <v>—</v>
      </c>
      <c r="J23" s="75"/>
    </row>
    <row r="24" spans="1:10" ht="20" customHeight="1">
      <c r="A24" s="1"/>
      <c r="B24" s="67">
        <f>IF('🎁 Gift Tracker'!$C$24="","",ROW()-7)</f>
        <v>17</v>
      </c>
      <c r="C24" s="106" t="str">
        <f>IF('🎁 Gift Tracker'!$C$24="","",'🎁 Gift Tracker'!$C$24)</f>
        <v>Alex (partner)</v>
      </c>
      <c r="D24" s="106" t="str">
        <f>IF('🎁 Gift Tracker'!$C$24="","",'🎁 Gift Tracker'!$E$24)</f>
        <v>Weekend getaway</v>
      </c>
      <c r="E24" s="67" t="str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>✅ Bought</v>
      </c>
      <c r="F24" s="67" t="str">
        <f>IF('🎁 Gift Tracker'!$C$24="","",IF(OR('🎁 Gift Tracker'!$O$24="✓",'🎁 Gift Tracker'!$N$24="🎀 Wrapped",'🎁 Gift Tracker'!$N$24="📦 Delivered"),"🎀 Wrapped","— to wrap"))</f>
        <v>— to wrap</v>
      </c>
      <c r="G24" s="64"/>
      <c r="H24" s="71"/>
      <c r="I24" s="67" t="str">
        <f>IF('🎁 Gift Tracker'!$C$24="","",IF(OR('🎁 Gift Tracker'!$P$24="✓",'🎁 Gift Tracker'!$N$24="📦 Delivered"),"📦 Given","—"))</f>
        <v>—</v>
      </c>
      <c r="J24" s="64"/>
    </row>
    <row r="25" spans="1:10" ht="20" customHeight="1">
      <c r="A25" s="1"/>
      <c r="B25" s="67">
        <f>IF('🎁 Gift Tracker'!$C$25="","",ROW()-7)</f>
        <v>18</v>
      </c>
      <c r="C25" s="106" t="str">
        <f>IF('🎁 Gift Tracker'!$C$25="","",'🎁 Gift Tracker'!$C$25)</f>
        <v>Alex (partner)</v>
      </c>
      <c r="D25" s="106" t="str">
        <f>IF('🎁 Gift Tracker'!$C$25="","",'🎁 Gift Tracker'!$E$25)</f>
        <v>Engraved watch</v>
      </c>
      <c r="E25" s="67" t="str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>🚚 On the way</v>
      </c>
      <c r="F25" s="67" t="str">
        <f>IF('🎁 Gift Tracker'!$C$25="","",IF(OR('🎁 Gift Tracker'!$O$25="✓",'🎁 Gift Tracker'!$N$25="🎀 Wrapped",'🎁 Gift Tracker'!$N$25="📦 Delivered"),"🎀 Wrapped","— to wrap"))</f>
        <v>— to wrap</v>
      </c>
      <c r="G25" s="75"/>
      <c r="H25" s="79"/>
      <c r="I25" s="67" t="str">
        <f>IF('🎁 Gift Tracker'!$C$25="","",IF(OR('🎁 Gift Tracker'!$P$25="✓",'🎁 Gift Tracker'!$N$25="📦 Delivered"),"📦 Given","—"))</f>
        <v>—</v>
      </c>
      <c r="J25" s="75"/>
    </row>
    <row r="26" spans="1:10" ht="20" customHeight="1">
      <c r="A26" s="1"/>
      <c r="B26" s="67">
        <f>IF('🎁 Gift Tracker'!$C$26="","",ROW()-7)</f>
        <v>19</v>
      </c>
      <c r="C26" s="106" t="str">
        <f>IF('🎁 Gift Tracker'!$C$26="","",'🎁 Gift Tracker'!$C$26)</f>
        <v>Maya (best friend)</v>
      </c>
      <c r="D26" s="106" t="str">
        <f>IF('🎁 Gift Tracker'!$C$26="","",'🎁 Gift Tracker'!$E$26)</f>
        <v>Scented candle trio</v>
      </c>
      <c r="E26" s="67" t="str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>✅ Bought</v>
      </c>
      <c r="F26" s="67" t="str">
        <f>IF('🎁 Gift Tracker'!$C$26="","",IF(OR('🎁 Gift Tracker'!$O$26="✓",'🎁 Gift Tracker'!$N$26="🎀 Wrapped",'🎁 Gift Tracker'!$N$26="📦 Delivered"),"🎀 Wrapped","— to wrap"))</f>
        <v>🎀 Wrapped</v>
      </c>
      <c r="G26" s="64" t="s">
        <v>187</v>
      </c>
      <c r="H26" s="71" t="s">
        <v>233</v>
      </c>
      <c r="I26" s="67" t="str">
        <f>IF('🎁 Gift Tracker'!$C$26="","",IF(OR('🎁 Gift Tracker'!$P$26="✓",'🎁 Gift Tracker'!$N$26="📦 Delivered"),"📦 Given","—"))</f>
        <v>📦 Given</v>
      </c>
      <c r="J26" s="64"/>
    </row>
    <row r="27" spans="1:10" ht="20" customHeight="1">
      <c r="A27" s="1"/>
      <c r="B27" s="67">
        <f>IF('🎁 Gift Tracker'!$C$27="","",ROW()-7)</f>
        <v>20</v>
      </c>
      <c r="C27" s="106" t="str">
        <f>IF('🎁 Gift Tracker'!$C$27="","",'🎁 Gift Tracker'!$C$27)</f>
        <v>Maya (best friend)</v>
      </c>
      <c r="D27" s="106" t="str">
        <f>IF('🎁 Gift Tracker'!$C$27="","",'🎁 Gift Tracker'!$E$27)</f>
        <v>Baking cookbook</v>
      </c>
      <c r="E27" s="67" t="str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>⏳ Not yet</v>
      </c>
      <c r="F27" s="67" t="str">
        <f>IF('🎁 Gift Tracker'!$C$27="","",IF(OR('🎁 Gift Tracker'!$O$27="✓",'🎁 Gift Tracker'!$N$27="🎀 Wrapped",'🎁 Gift Tracker'!$N$27="📦 Delivered"),"🎀 Wrapped","— to wrap"))</f>
        <v>— to wrap</v>
      </c>
      <c r="G27" s="75"/>
      <c r="H27" s="79"/>
      <c r="I27" s="67" t="str">
        <f>IF('🎁 Gift Tracker'!$C$27="","",IF(OR('🎁 Gift Tracker'!$P$27="✓",'🎁 Gift Tracker'!$N$27="📦 Delivered"),"📦 Given","—"))</f>
        <v>—</v>
      </c>
      <c r="J27" s="75"/>
    </row>
    <row r="28" spans="1:10" ht="20" customHeight="1">
      <c r="A28" s="1"/>
      <c r="B28" s="67">
        <f>IF('🎁 Gift Tracker'!$C$28="","",ROW()-7)</f>
        <v>21</v>
      </c>
      <c r="C28" s="106" t="str">
        <f>IF('🎁 Gift Tracker'!$C$28="","",'🎁 Gift Tracker'!$C$28)</f>
        <v>Cousin Dan</v>
      </c>
      <c r="D28" s="106" t="str">
        <f>IF('🎁 Gift Tracker'!$C$28="","",'🎁 Gift Tracker'!$E$28)</f>
        <v>Strategy board game</v>
      </c>
      <c r="E28" s="67" t="str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>✅ Bought</v>
      </c>
      <c r="F28" s="67" t="str">
        <f>IF('🎁 Gift Tracker'!$C$28="","",IF(OR('🎁 Gift Tracker'!$O$28="✓",'🎁 Gift Tracker'!$N$28="🎀 Wrapped",'🎁 Gift Tracker'!$N$28="📦 Delivered"),"🎀 Wrapped","— to wrap"))</f>
        <v>— to wrap</v>
      </c>
      <c r="G28" s="64"/>
      <c r="H28" s="71"/>
      <c r="I28" s="67" t="str">
        <f>IF('🎁 Gift Tracker'!$C$28="","",IF(OR('🎁 Gift Tracker'!$P$28="✓",'🎁 Gift Tracker'!$N$28="📦 Delivered"),"📦 Given","—"))</f>
        <v>—</v>
      </c>
      <c r="J28" s="64"/>
    </row>
    <row r="29" spans="1:10" ht="20" customHeight="1">
      <c r="A29" s="1"/>
      <c r="B29" s="67">
        <f>IF('🎁 Gift Tracker'!$C$29="","",ROW()-7)</f>
        <v>22</v>
      </c>
      <c r="C29" s="106" t="str">
        <f>IF('🎁 Gift Tracker'!$C$29="","",'🎁 Gift Tracker'!$C$29)</f>
        <v>Cousin Dan</v>
      </c>
      <c r="D29" s="106" t="str">
        <f>IF('🎁 Gift Tracker'!$C$29="","",'🎁 Gift Tracker'!$E$29)</f>
        <v>Coffee bean subscription</v>
      </c>
      <c r="E29" s="67" t="str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>⏳ Not yet</v>
      </c>
      <c r="F29" s="67" t="str">
        <f>IF('🎁 Gift Tracker'!$C$29="","",IF(OR('🎁 Gift Tracker'!$O$29="✓",'🎁 Gift Tracker'!$N$29="🎀 Wrapped",'🎁 Gift Tracker'!$N$29="📦 Delivered"),"🎀 Wrapped","— to wrap"))</f>
        <v>— to wrap</v>
      </c>
      <c r="G29" s="75"/>
      <c r="H29" s="79"/>
      <c r="I29" s="67" t="str">
        <f>IF('🎁 Gift Tracker'!$C$29="","",IF(OR('🎁 Gift Tracker'!$P$29="✓",'🎁 Gift Tracker'!$N$29="📦 Delivered"),"📦 Given","—"))</f>
        <v>—</v>
      </c>
      <c r="J29" s="75"/>
    </row>
    <row r="30" spans="1:10" ht="20" customHeight="1">
      <c r="A30" s="1"/>
      <c r="B30" s="67">
        <f>IF('🎁 Gift Tracker'!$C$30="","",ROW()-7)</f>
        <v>23</v>
      </c>
      <c r="C30" s="106" t="str">
        <f>IF('🎁 Gift Tracker'!$C$30="","",'🎁 Gift Tracker'!$C$30)</f>
        <v>Aunt Carol</v>
      </c>
      <c r="D30" s="106" t="str">
        <f>IF('🎁 Gift Tracker'!$C$30="","",'🎁 Gift Tracker'!$E$30)</f>
        <v>Silk scarf</v>
      </c>
      <c r="E30" s="67" t="str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>✅ Bought</v>
      </c>
      <c r="F30" s="67" t="str">
        <f>IF('🎁 Gift Tracker'!$C$30="","",IF(OR('🎁 Gift Tracker'!$O$30="✓",'🎁 Gift Tracker'!$N$30="🎀 Wrapped",'🎁 Gift Tracker'!$N$30="📦 Delivered"),"🎀 Wrapped","— to wrap"))</f>
        <v>🎀 Wrapped</v>
      </c>
      <c r="G30" s="64" t="s">
        <v>171</v>
      </c>
      <c r="H30" s="71" t="s">
        <v>233</v>
      </c>
      <c r="I30" s="67" t="str">
        <f>IF('🎁 Gift Tracker'!$C$30="","",IF(OR('🎁 Gift Tracker'!$P$30="✓",'🎁 Gift Tracker'!$N$30="📦 Delivered"),"📦 Given","—"))</f>
        <v>📦 Given</v>
      </c>
      <c r="J30" s="64"/>
    </row>
    <row r="31" spans="1:10" ht="20" customHeight="1">
      <c r="A31" s="1"/>
      <c r="B31" s="67">
        <f>IF('🎁 Gift Tracker'!$C$31="","",ROW()-7)</f>
        <v>24</v>
      </c>
      <c r="C31" s="106" t="str">
        <f>IF('🎁 Gift Tracker'!$C$31="","",'🎁 Gift Tracker'!$C$31)</f>
        <v>Aunt Carol</v>
      </c>
      <c r="D31" s="106" t="str">
        <f>IF('🎁 Gift Tracker'!$C$31="","",'🎁 Gift Tracker'!$E$31)</f>
        <v>Garden gloves &amp; tool set</v>
      </c>
      <c r="E31" s="67" t="str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>✅ Bought</v>
      </c>
      <c r="F31" s="67" t="str">
        <f>IF('🎁 Gift Tracker'!$C$31="","",IF(OR('🎁 Gift Tracker'!$O$31="✓",'🎁 Gift Tracker'!$N$31="🎀 Wrapped",'🎁 Gift Tracker'!$N$31="📦 Delivered"),"🎀 Wrapped","— to wrap"))</f>
        <v>🎀 Wrapped</v>
      </c>
      <c r="G31" s="75" t="s">
        <v>157</v>
      </c>
      <c r="H31" s="79" t="s">
        <v>233</v>
      </c>
      <c r="I31" s="67" t="str">
        <f>IF('🎁 Gift Tracker'!$C$31="","",IF(OR('🎁 Gift Tracker'!$P$31="✓",'🎁 Gift Tracker'!$N$31="📦 Delivered"),"📦 Given","—"))</f>
        <v>—</v>
      </c>
      <c r="J31" s="75"/>
    </row>
    <row r="32" spans="1:10" ht="20" customHeight="1">
      <c r="A32" s="1"/>
      <c r="B32" s="67">
        <f>IF('🎁 Gift Tracker'!$C$32="","",ROW()-7)</f>
        <v>25</v>
      </c>
      <c r="C32" s="106" t="str">
        <f>IF('🎁 Gift Tracker'!$C$32="","",'🎁 Gift Tracker'!$C$32)</f>
        <v>Secret Santa</v>
      </c>
      <c r="D32" s="106" t="str">
        <f>IF('🎁 Gift Tracker'!$C$32="","",'🎁 Gift Tracker'!$E$32)</f>
        <v>Novelty reindeer mug</v>
      </c>
      <c r="E32" s="67" t="str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>✅ Bought</v>
      </c>
      <c r="F32" s="67" t="str">
        <f>IF('🎁 Gift Tracker'!$C$32="","",IF(OR('🎁 Gift Tracker'!$O$32="✓",'🎁 Gift Tracker'!$N$32="🎀 Wrapped",'🎁 Gift Tracker'!$N$32="📦 Delivered"),"🎀 Wrapped","— to wrap"))</f>
        <v>— to wrap</v>
      </c>
      <c r="G32" s="64"/>
      <c r="H32" s="71"/>
      <c r="I32" s="67" t="str">
        <f>IF('🎁 Gift Tracker'!$C$32="","",IF(OR('🎁 Gift Tracker'!$P$32="✓",'🎁 Gift Tracker'!$N$32="📦 Delivered"),"📦 Given","—"))</f>
        <v>—</v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468</v>
      </c>
      <c r="C69" s="81"/>
      <c r="D69" s="81"/>
      <c r="E69" s="81"/>
      <c r="F69" s="101"/>
      <c r="G69" s="107">
        <f>COUNTA('🎀 Wrapping &amp; Hiding'!$G$8:$G$67)</f>
        <v>11</v>
      </c>
      <c r="H69" s="107">
        <f>COUNTIF('🎀 Wrapping &amp; Hiding'!$H$8:$H$67,"✓")</f>
        <v>10</v>
      </c>
      <c r="I69" s="39" t="str">
        <f>"🎀 "&amp;'_Data'!$AF$6&amp;" wrapped   •   ⏳ "&amp;'_Data'!$AF$10&amp;" still to wrap"</f>
        <v>🎀 13 wrapped   •   ⏳ 5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324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469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248</v>
      </c>
      <c r="C74" s="43"/>
      <c r="D74" s="44" t="s">
        <v>249</v>
      </c>
      <c r="E74" s="44"/>
      <c r="F74" s="45" t="s">
        <v>250</v>
      </c>
      <c r="G74" s="45"/>
      <c r="H74" s="46" t="s">
        <v>251</v>
      </c>
      <c r="I74" s="46"/>
      <c r="J74" s="1"/>
    </row>
    <row r="75" spans="1:10" ht="24" customHeight="1">
      <c r="A75" s="1"/>
      <c r="B75" s="47" t="s">
        <v>252</v>
      </c>
      <c r="C75" s="47"/>
      <c r="D75" s="48" t="s">
        <v>253</v>
      </c>
      <c r="E75" s="48"/>
      <c r="F75" s="49" t="s">
        <v>470</v>
      </c>
      <c r="G75" s="49"/>
      <c r="H75" s="50" t="s">
        <v>255</v>
      </c>
      <c r="I75" s="50"/>
      <c r="J75" s="1"/>
    </row>
    <row r="76" spans="1:10" ht="24" customHeight="1">
      <c r="A76" s="1"/>
      <c r="B76" s="44" t="s">
        <v>256</v>
      </c>
      <c r="C76" s="44"/>
      <c r="D76" s="46" t="s">
        <v>257</v>
      </c>
      <c r="E76" s="46"/>
      <c r="F76" s="43" t="s">
        <v>327</v>
      </c>
      <c r="G76" s="43"/>
      <c r="H76" s="44" t="s">
        <v>259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328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6" width="10.7109375" customWidth="1"/>
    <col min="7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471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472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14</v>
      </c>
      <c r="C5" s="55"/>
      <c r="D5" s="58" t="str">
        <f>"🛒 Bought: "&amp;COUNTIF('💌 Card Tracker'!$F$8:$F$47,"✓")</f>
        <v>🛒 Bought: 11</v>
      </c>
      <c r="E5" s="58"/>
      <c r="F5" s="59" t="str">
        <f>"✍️ Written: "&amp;'_Data'!$AF$25</f>
        <v>✍️ Written: 9</v>
      </c>
      <c r="G5" s="59"/>
      <c r="H5" s="56" t="str">
        <f>"📮 Sent: "&amp;'_Data'!$AF$26</f>
        <v>📮 Sent: 7</v>
      </c>
      <c r="I5" s="56"/>
      <c r="J5" s="99" t="str">
        <f>"📬 Replies: "&amp;COUNTIF('💌 Card Tracker'!$J$8:$J$47,"✓")</f>
        <v>📬 Replies: 3</v>
      </c>
      <c r="K5" s="99"/>
      <c r="L5" s="57" t="str">
        <f>"💰 Postage: "&amp;Currency&amp;TEXT(SUM('💌 Card Tracker'!$K$8:$K$47),"#,##0.00")</f>
        <v>💰 Postage: $4.08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263</v>
      </c>
      <c r="C7" s="33" t="s">
        <v>473</v>
      </c>
      <c r="D7" s="33" t="s">
        <v>264</v>
      </c>
      <c r="E7" s="33" t="s">
        <v>474</v>
      </c>
      <c r="F7" s="33" t="s">
        <v>475</v>
      </c>
      <c r="G7" s="33" t="s">
        <v>476</v>
      </c>
      <c r="H7" s="33" t="s">
        <v>477</v>
      </c>
      <c r="I7" s="33" t="s">
        <v>478</v>
      </c>
      <c r="J7" s="33" t="s">
        <v>479</v>
      </c>
      <c r="K7" s="33" t="s">
        <v>178</v>
      </c>
      <c r="L7" s="62" t="s">
        <v>480</v>
      </c>
      <c r="M7" s="33" t="s">
        <v>278</v>
      </c>
    </row>
    <row r="8" spans="1:13" ht="20" customHeight="1">
      <c r="A8" s="1"/>
      <c r="B8" s="63">
        <f>IF($C8="","",ROW()-7)</f>
        <v>1</v>
      </c>
      <c r="C8" s="64" t="s">
        <v>139</v>
      </c>
      <c r="D8" s="65" t="s">
        <v>140</v>
      </c>
      <c r="E8" s="64" t="s">
        <v>481</v>
      </c>
      <c r="F8" s="71" t="s">
        <v>233</v>
      </c>
      <c r="G8" s="71" t="s">
        <v>233</v>
      </c>
      <c r="H8" s="71" t="s">
        <v>233</v>
      </c>
      <c r="I8" s="72">
        <v>46369</v>
      </c>
      <c r="J8" s="71" t="s">
        <v>233</v>
      </c>
      <c r="K8" s="68">
        <v>0.68</v>
      </c>
      <c r="L8" s="67" t="str">
        <f>IF($C8="","",IF($H8="✓","📮 Sent",IF($G8="✓","✍️ Written",IF($F8="✓","🛒 Bought","📝 To do"))))</f>
        <v>📮 Sent</v>
      </c>
      <c r="M8" s="64" t="s">
        <v>482</v>
      </c>
    </row>
    <row r="9" spans="1:13" ht="20" customHeight="1">
      <c r="A9" s="1"/>
      <c r="B9" s="74">
        <f>IF($C9="","",ROW()-7)</f>
        <v>2</v>
      </c>
      <c r="C9" s="75" t="s">
        <v>146</v>
      </c>
      <c r="D9" s="76" t="s">
        <v>147</v>
      </c>
      <c r="E9" s="75" t="s">
        <v>481</v>
      </c>
      <c r="F9" s="79" t="s">
        <v>233</v>
      </c>
      <c r="G9" s="79" t="s">
        <v>233</v>
      </c>
      <c r="H9" s="79" t="s">
        <v>233</v>
      </c>
      <c r="I9" s="80">
        <v>46369</v>
      </c>
      <c r="J9" s="79" t="s">
        <v>233</v>
      </c>
      <c r="K9" s="78">
        <v>0.68</v>
      </c>
      <c r="L9" s="67" t="str">
        <f>IF($C9="","",IF($H9="✓","📮 Sent",IF($G9="✓","✍️ Written",IF($F9="✓","🛒 Bought","📝 To do"))))</f>
        <v>📮 Sent</v>
      </c>
      <c r="M9" s="75" t="s">
        <v>483</v>
      </c>
    </row>
    <row r="10" spans="1:13" ht="20" customHeight="1">
      <c r="A10" s="1"/>
      <c r="B10" s="63">
        <f>IF($C10="","",ROW()-7)</f>
        <v>3</v>
      </c>
      <c r="C10" s="64" t="s">
        <v>203</v>
      </c>
      <c r="D10" s="65" t="s">
        <v>209</v>
      </c>
      <c r="E10" s="64" t="s">
        <v>484</v>
      </c>
      <c r="F10" s="71" t="s">
        <v>233</v>
      </c>
      <c r="G10" s="71" t="s">
        <v>233</v>
      </c>
      <c r="H10" s="71" t="s">
        <v>233</v>
      </c>
      <c r="I10" s="72">
        <v>46371</v>
      </c>
      <c r="J10" s="71"/>
      <c r="K10" s="68">
        <v>0.68</v>
      </c>
      <c r="L10" s="67" t="str">
        <f>IF($C10="","",IF($H10="✓","📮 Sent",IF($G10="✓","✍️ Written",IF($F10="✓","🛒 Bought","📝 To do"))))</f>
        <v>📮 Sent</v>
      </c>
      <c r="M10" s="64"/>
    </row>
    <row r="11" spans="1:13" ht="20" customHeight="1">
      <c r="A11" s="1"/>
      <c r="B11" s="74">
        <f>IF($C11="","",ROW()-7)</f>
        <v>4</v>
      </c>
      <c r="C11" s="75" t="s">
        <v>208</v>
      </c>
      <c r="D11" s="76" t="s">
        <v>213</v>
      </c>
      <c r="E11" s="75" t="s">
        <v>484</v>
      </c>
      <c r="F11" s="79" t="s">
        <v>233</v>
      </c>
      <c r="G11" s="79" t="s">
        <v>233</v>
      </c>
      <c r="H11" s="79" t="s">
        <v>233</v>
      </c>
      <c r="I11" s="80">
        <v>46371</v>
      </c>
      <c r="J11" s="79"/>
      <c r="K11" s="78">
        <v>0.68</v>
      </c>
      <c r="L11" s="67" t="str">
        <f>IF($C11="","",IF($H11="✓","📮 Sent",IF($G11="✓","✍️ Written",IF($F11="✓","🛒 Bought","📝 To do"))))</f>
        <v>📮 Sent</v>
      </c>
      <c r="M11" s="75"/>
    </row>
    <row r="12" spans="1:13" ht="20" customHeight="1">
      <c r="A12" s="1"/>
      <c r="B12" s="63">
        <f>IF($C12="","",ROW()-7)</f>
        <v>5</v>
      </c>
      <c r="C12" s="64" t="s">
        <v>197</v>
      </c>
      <c r="D12" s="65" t="s">
        <v>204</v>
      </c>
      <c r="E12" s="64" t="s">
        <v>485</v>
      </c>
      <c r="F12" s="71" t="s">
        <v>233</v>
      </c>
      <c r="G12" s="71" t="s">
        <v>233</v>
      </c>
      <c r="H12" s="71" t="s">
        <v>233</v>
      </c>
      <c r="I12" s="72">
        <v>46372</v>
      </c>
      <c r="J12" s="71"/>
      <c r="K12" s="68">
        <v>0.68</v>
      </c>
      <c r="L12" s="67" t="str">
        <f>IF($C12="","",IF($H12="✓","📮 Sent",IF($G12="✓","✍️ Written",IF($F12="✓","🛒 Bought","📝 To do"))))</f>
        <v>📮 Sent</v>
      </c>
      <c r="M12" s="64"/>
    </row>
    <row r="13" spans="1:13" ht="20" customHeight="1">
      <c r="A13" s="1"/>
      <c r="B13" s="74">
        <f>IF($C13="","",ROW()-7)</f>
        <v>6</v>
      </c>
      <c r="C13" s="75" t="s">
        <v>486</v>
      </c>
      <c r="D13" s="76" t="s">
        <v>204</v>
      </c>
      <c r="E13" s="75" t="s">
        <v>485</v>
      </c>
      <c r="F13" s="79" t="s">
        <v>233</v>
      </c>
      <c r="G13" s="79" t="s">
        <v>233</v>
      </c>
      <c r="H13" s="79"/>
      <c r="I13" s="80"/>
      <c r="J13" s="79"/>
      <c r="K13" s="78">
        <v>0</v>
      </c>
      <c r="L13" s="67" t="str">
        <f>IF($C13="","",IF($H13="✓","📮 Sent",IF($G13="✓","✍️ Written",IF($F13="✓","🛒 Bought","📝 To do"))))</f>
        <v>✍️ Written</v>
      </c>
      <c r="M13" s="75" t="s">
        <v>487</v>
      </c>
    </row>
    <row r="14" spans="1:13" ht="20" customHeight="1">
      <c r="A14" s="1"/>
      <c r="B14" s="63">
        <f>IF($C14="","",ROW()-7)</f>
        <v>7</v>
      </c>
      <c r="C14" s="64" t="s">
        <v>190</v>
      </c>
      <c r="D14" s="65" t="s">
        <v>216</v>
      </c>
      <c r="E14" s="64" t="s">
        <v>488</v>
      </c>
      <c r="F14" s="71" t="s">
        <v>233</v>
      </c>
      <c r="G14" s="71" t="s">
        <v>233</v>
      </c>
      <c r="H14" s="71" t="s">
        <v>233</v>
      </c>
      <c r="I14" s="72">
        <v>46373</v>
      </c>
      <c r="J14" s="71" t="s">
        <v>233</v>
      </c>
      <c r="K14" s="68">
        <v>0.68</v>
      </c>
      <c r="L14" s="67" t="str">
        <f>IF($C14="","",IF($H14="✓","📮 Sent",IF($G14="✓","✍️ Written",IF($F14="✓","🛒 Bought","📝 To do"))))</f>
        <v>📮 Sent</v>
      </c>
      <c r="M14" s="64" t="s">
        <v>489</v>
      </c>
    </row>
    <row r="15" spans="1:13" ht="20" customHeight="1">
      <c r="A15" s="1"/>
      <c r="B15" s="74">
        <f>IF($C15="","",ROW()-7)</f>
        <v>8</v>
      </c>
      <c r="C15" s="75" t="s">
        <v>490</v>
      </c>
      <c r="D15" s="76" t="s">
        <v>216</v>
      </c>
      <c r="E15" s="75" t="s">
        <v>491</v>
      </c>
      <c r="F15" s="79" t="s">
        <v>233</v>
      </c>
      <c r="G15" s="79" t="s">
        <v>233</v>
      </c>
      <c r="H15" s="79"/>
      <c r="I15" s="80"/>
      <c r="J15" s="79"/>
      <c r="K15" s="78">
        <v>0</v>
      </c>
      <c r="L15" s="67" t="str">
        <f>IF($C15="","",IF($H15="✓","📮 Sent",IF($G15="✓","✍️ Written",IF($F15="✓","🛒 Bought","📝 To do"))))</f>
        <v>✍️ Written</v>
      </c>
      <c r="M15" s="75"/>
    </row>
    <row r="16" spans="1:13" ht="20" customHeight="1">
      <c r="A16" s="1"/>
      <c r="B16" s="63">
        <f>IF($C16="","",ROW()-7)</f>
        <v>9</v>
      </c>
      <c r="C16" s="64" t="s">
        <v>492</v>
      </c>
      <c r="D16" s="65" t="s">
        <v>221</v>
      </c>
      <c r="E16" s="64" t="s">
        <v>493</v>
      </c>
      <c r="F16" s="71" t="s">
        <v>233</v>
      </c>
      <c r="G16" s="71"/>
      <c r="H16" s="71"/>
      <c r="I16" s="72"/>
      <c r="J16" s="71"/>
      <c r="K16" s="68">
        <v>0</v>
      </c>
      <c r="L16" s="67" t="str">
        <f>IF($C16="","",IF($H16="✓","📮 Sent",IF($G16="✓","✍️ Written",IF($F16="✓","🛒 Bought","📝 To do"))))</f>
        <v>🛒 Bought</v>
      </c>
      <c r="M16" s="64" t="s">
        <v>494</v>
      </c>
    </row>
    <row r="17" spans="1:13" ht="20" customHeight="1">
      <c r="A17" s="1"/>
      <c r="B17" s="74">
        <f>IF($C17="","",ROW()-7)</f>
        <v>10</v>
      </c>
      <c r="C17" s="75" t="s">
        <v>495</v>
      </c>
      <c r="D17" s="76" t="s">
        <v>222</v>
      </c>
      <c r="E17" s="75" t="s">
        <v>496</v>
      </c>
      <c r="F17" s="79" t="s">
        <v>233</v>
      </c>
      <c r="G17" s="79"/>
      <c r="H17" s="79"/>
      <c r="I17" s="80"/>
      <c r="J17" s="79"/>
      <c r="K17" s="78">
        <v>0</v>
      </c>
      <c r="L17" s="67" t="str">
        <f>IF($C17="","",IF($H17="✓","📮 Sent",IF($G17="✓","✍️ Written",IF($F17="✓","🛒 Bought","📝 To do"))))</f>
        <v>🛒 Bought</v>
      </c>
      <c r="M17" s="75" t="s">
        <v>497</v>
      </c>
    </row>
    <row r="18" spans="1:13" ht="20" customHeight="1">
      <c r="A18" s="1"/>
      <c r="B18" s="63">
        <f>IF($C18="","",ROW()-7)</f>
        <v>11</v>
      </c>
      <c r="C18" s="64" t="s">
        <v>498</v>
      </c>
      <c r="D18" s="65" t="s">
        <v>219</v>
      </c>
      <c r="E18" s="64" t="s">
        <v>499</v>
      </c>
      <c r="F18" s="71" t="s">
        <v>233</v>
      </c>
      <c r="G18" s="71" t="s">
        <v>233</v>
      </c>
      <c r="H18" s="71" t="s">
        <v>233</v>
      </c>
      <c r="I18" s="72">
        <v>46376</v>
      </c>
      <c r="J18" s="71"/>
      <c r="K18" s="68">
        <v>0</v>
      </c>
      <c r="L18" s="67" t="str">
        <f>IF($C18="","",IF($H18="✓","📮 Sent",IF($G18="✓","✍️ Written",IF($F18="✓","🛒 Bought","📝 To do"))))</f>
        <v>📮 Sent</v>
      </c>
      <c r="M18" s="64" t="s">
        <v>500</v>
      </c>
    </row>
    <row r="19" spans="1:13" ht="20" customHeight="1">
      <c r="A19" s="1"/>
      <c r="B19" s="74">
        <f>IF($C19="","",ROW()-7)</f>
        <v>12</v>
      </c>
      <c r="C19" s="75" t="s">
        <v>501</v>
      </c>
      <c r="D19" s="76" t="s">
        <v>140</v>
      </c>
      <c r="E19" s="75" t="s">
        <v>502</v>
      </c>
      <c r="F19" s="79"/>
      <c r="G19" s="79"/>
      <c r="H19" s="79"/>
      <c r="I19" s="80"/>
      <c r="J19" s="79"/>
      <c r="K19" s="78">
        <v>0</v>
      </c>
      <c r="L19" s="67" t="str">
        <f>IF($C19="","",IF($H19="✓","📮 Sent",IF($G19="✓","✍️ Written",IF($F19="✓","🛒 Bought","📝 To do"))))</f>
        <v>📝 To do</v>
      </c>
      <c r="M19" s="75" t="s">
        <v>503</v>
      </c>
    </row>
    <row r="20" spans="1:13" ht="20" customHeight="1">
      <c r="A20" s="1"/>
      <c r="B20" s="63">
        <f>IF($C20="","",ROW()-7)</f>
        <v>13</v>
      </c>
      <c r="C20" s="64" t="s">
        <v>504</v>
      </c>
      <c r="D20" s="65" t="s">
        <v>221</v>
      </c>
      <c r="E20" s="64" t="s">
        <v>505</v>
      </c>
      <c r="F20" s="71"/>
      <c r="G20" s="71"/>
      <c r="H20" s="71"/>
      <c r="I20" s="72"/>
      <c r="J20" s="71"/>
      <c r="K20" s="68">
        <v>0</v>
      </c>
      <c r="L20" s="67" t="str">
        <f>IF($C20="","",IF($H20="✓","📮 Sent",IF($G20="✓","✍️ Written",IF($F20="✓","🛒 Bought","📝 To do"))))</f>
        <v>📝 To do</v>
      </c>
      <c r="M20" s="64"/>
    </row>
    <row r="21" spans="1:13" ht="20" customHeight="1">
      <c r="A21" s="1"/>
      <c r="B21" s="74">
        <f>IF($C21="","",ROW()-7)</f>
        <v>14</v>
      </c>
      <c r="C21" s="75" t="s">
        <v>506</v>
      </c>
      <c r="D21" s="76" t="s">
        <v>204</v>
      </c>
      <c r="E21" s="75" t="s">
        <v>507</v>
      </c>
      <c r="F21" s="79"/>
      <c r="G21" s="79"/>
      <c r="H21" s="79"/>
      <c r="I21" s="80"/>
      <c r="J21" s="79"/>
      <c r="K21" s="78">
        <v>0</v>
      </c>
      <c r="L21" s="67" t="str">
        <f>IF($C21="","",IF($H21="✓","📮 Sent",IF($G21="✓","✍️ Written",IF($F21="✓","🛒 Bought","📝 To do"))))</f>
        <v>📝 To do</v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401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7 / 14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508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251</v>
      </c>
      <c r="I54" s="46"/>
      <c r="J54" s="47" t="s">
        <v>252</v>
      </c>
      <c r="K54" s="47"/>
      <c r="L54" s="48" t="s">
        <v>253</v>
      </c>
      <c r="M54" s="48"/>
    </row>
    <row r="55" spans="1:13" ht="24" customHeight="1">
      <c r="A55" s="1"/>
      <c r="B55" s="49" t="s">
        <v>254</v>
      </c>
      <c r="C55" s="49"/>
      <c r="D55" s="50" t="s">
        <v>509</v>
      </c>
      <c r="E55" s="50"/>
      <c r="F55" s="44" t="s">
        <v>256</v>
      </c>
      <c r="G55" s="44"/>
      <c r="H55" s="46" t="s">
        <v>257</v>
      </c>
      <c r="I55" s="46"/>
      <c r="J55" s="43" t="s">
        <v>327</v>
      </c>
      <c r="K55" s="43"/>
      <c r="L55" s="44" t="s">
        <v>259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328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5A2B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6" width="11.28515625" customWidth="1"/>
    <col min="7" max="7" width="11.28515625" customWidth="1"/>
    <col min="8" max="8" width="10.7109375" customWidth="1"/>
    <col min="9" max="9" width="10.7109375" customWidth="1"/>
    <col min="10" max="10" width="11.28515625" customWidth="1"/>
    <col min="11" max="11" width="24.7109375" customWidth="1"/>
    <col min="12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510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511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4</v>
      </c>
      <c r="C5" s="55"/>
      <c r="D5" s="58" t="str">
        <f>"🎁 Items: "&amp;'_Data'!$AF$29</f>
        <v>🎁 Items: 16</v>
      </c>
      <c r="E5" s="58"/>
      <c r="F5" s="56" t="str">
        <f>"✅ Bought: "&amp;'_Data'!$AF$30</f>
        <v>✅ Bought: 13</v>
      </c>
      <c r="G5" s="56"/>
      <c r="H5" s="100" t="str">
        <f>"💰 Budget: "&amp;Currency&amp;TEXT('_Data'!$AF$27,"#,##0")</f>
        <v>💰 Budget: $144</v>
      </c>
      <c r="I5" s="100"/>
      <c r="J5" s="57" t="str">
        <f>"💸 Spent: "&amp;Currency&amp;TEXT('_Data'!$AF$28,"#,##0")</f>
        <v>💸 Spent: $108</v>
      </c>
      <c r="K5" s="57"/>
      <c r="L5" s="60" t="str">
        <f>"🎯 Left: "&amp;Currency&amp;TEXT('_Data'!$AF$27-'_Data'!$AF$28,"#,##0")</f>
        <v>🎯 Left: $36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263</v>
      </c>
      <c r="C7" s="33" t="s">
        <v>512</v>
      </c>
      <c r="D7" s="33" t="s">
        <v>361</v>
      </c>
      <c r="E7" s="33" t="s">
        <v>513</v>
      </c>
      <c r="F7" s="33" t="s">
        <v>270</v>
      </c>
      <c r="G7" s="33" t="s">
        <v>435</v>
      </c>
      <c r="H7" s="33" t="s">
        <v>27</v>
      </c>
      <c r="I7" s="33" t="s">
        <v>28</v>
      </c>
      <c r="J7" s="62" t="s">
        <v>366</v>
      </c>
      <c r="K7" s="33" t="s">
        <v>465</v>
      </c>
      <c r="L7" s="33" t="s">
        <v>278</v>
      </c>
    </row>
    <row r="8" spans="1:12" ht="20" customHeight="1">
      <c r="A8" s="1"/>
      <c r="B8" s="63">
        <f>IF($D8="","",ROW()-7)</f>
        <v>1</v>
      </c>
      <c r="C8" s="64" t="s">
        <v>129</v>
      </c>
      <c r="D8" s="64" t="s">
        <v>514</v>
      </c>
      <c r="E8" s="65" t="s">
        <v>132</v>
      </c>
      <c r="F8" s="68">
        <v>8</v>
      </c>
      <c r="G8" s="68">
        <v>7.5</v>
      </c>
      <c r="H8" s="71" t="s">
        <v>233</v>
      </c>
      <c r="I8" s="71" t="s">
        <v>233</v>
      </c>
      <c r="J8" s="69">
        <f>IF($C8="","",IF($H8="✓",IF($G8&lt;&gt;"",$G8,IF($F8&lt;&gt;"",$F8,0)),0))</f>
        <v>7.5</v>
      </c>
      <c r="K8" s="64" t="s">
        <v>128</v>
      </c>
      <c r="L8" s="64" t="s">
        <v>515</v>
      </c>
    </row>
    <row r="9" spans="1:12" ht="20" customHeight="1">
      <c r="A9" s="1"/>
      <c r="B9" s="74">
        <f>IF($D9="","",ROW()-7)</f>
        <v>2</v>
      </c>
      <c r="C9" s="75" t="s">
        <v>129</v>
      </c>
      <c r="D9" s="75" t="s">
        <v>516</v>
      </c>
      <c r="E9" s="76" t="s">
        <v>159</v>
      </c>
      <c r="F9" s="78">
        <v>6</v>
      </c>
      <c r="G9" s="78">
        <v>5</v>
      </c>
      <c r="H9" s="79" t="s">
        <v>233</v>
      </c>
      <c r="I9" s="79"/>
      <c r="J9" s="69">
        <f>IF($C9="","",IF($H9="✓",IF($G9&lt;&gt;"",$G9,IF($F9&lt;&gt;"",$F9,0)),0))</f>
        <v>5.0</v>
      </c>
      <c r="K9" s="75" t="s">
        <v>128</v>
      </c>
      <c r="L9" s="75"/>
    </row>
    <row r="10" spans="1:12" ht="20" customHeight="1">
      <c r="A10" s="1"/>
      <c r="B10" s="63">
        <f>IF($D10="","",ROW()-7)</f>
        <v>3</v>
      </c>
      <c r="C10" s="64" t="s">
        <v>129</v>
      </c>
      <c r="D10" s="64" t="s">
        <v>517</v>
      </c>
      <c r="E10" s="65" t="s">
        <v>138</v>
      </c>
      <c r="F10" s="68">
        <v>5</v>
      </c>
      <c r="G10" s="68">
        <v>4.2</v>
      </c>
      <c r="H10" s="71" t="s">
        <v>233</v>
      </c>
      <c r="I10" s="71" t="s">
        <v>233</v>
      </c>
      <c r="J10" s="69">
        <f>IF($C10="","",IF($H10="✓",IF($G10&lt;&gt;"",$G10,IF($F10&lt;&gt;"",$F10,0)),0))</f>
        <v>4.2</v>
      </c>
      <c r="K10" s="64" t="s">
        <v>135</v>
      </c>
      <c r="L10" s="64"/>
    </row>
    <row r="11" spans="1:12" ht="20" customHeight="1">
      <c r="A11" s="1"/>
      <c r="B11" s="74">
        <f>IF($D11="","",ROW()-7)</f>
        <v>4</v>
      </c>
      <c r="C11" s="75" t="s">
        <v>129</v>
      </c>
      <c r="D11" s="75" t="s">
        <v>518</v>
      </c>
      <c r="E11" s="76" t="s">
        <v>166</v>
      </c>
      <c r="F11" s="78">
        <v>9</v>
      </c>
      <c r="G11" s="78">
        <v>8</v>
      </c>
      <c r="H11" s="79"/>
      <c r="I11" s="79"/>
      <c r="J11" s="69">
        <f>IF($C11="","",IF($H11="✓",IF($G11&lt;&gt;"",$G11,IF($F11&lt;&gt;"",$F11,0)),0))</f>
        <v>0</v>
      </c>
      <c r="K11" s="75"/>
      <c r="L11" s="75"/>
    </row>
    <row r="12" spans="1:12" ht="20" customHeight="1">
      <c r="A12" s="1"/>
      <c r="B12" s="63">
        <f>IF($D12="","",ROW()-7)</f>
        <v>5</v>
      </c>
      <c r="C12" s="64" t="s">
        <v>129</v>
      </c>
      <c r="D12" s="64" t="s">
        <v>519</v>
      </c>
      <c r="E12" s="65" t="s">
        <v>145</v>
      </c>
      <c r="F12" s="68">
        <v>7</v>
      </c>
      <c r="G12" s="68">
        <v>6.5</v>
      </c>
      <c r="H12" s="71" t="s">
        <v>233</v>
      </c>
      <c r="I12" s="71"/>
      <c r="J12" s="69">
        <f>IF($C12="","",IF($H12="✓",IF($G12&lt;&gt;"",$G12,IF($F12&lt;&gt;"",$F12,0)),0))</f>
        <v>6.5</v>
      </c>
      <c r="K12" s="64" t="s">
        <v>164</v>
      </c>
      <c r="L12" s="64"/>
    </row>
    <row r="13" spans="1:12" ht="20" customHeight="1">
      <c r="A13" s="1"/>
      <c r="B13" s="74">
        <f>IF($D13="","",ROW()-7)</f>
        <v>6</v>
      </c>
      <c r="C13" s="75" t="s">
        <v>137</v>
      </c>
      <c r="D13" s="75" t="s">
        <v>520</v>
      </c>
      <c r="E13" s="76" t="s">
        <v>173</v>
      </c>
      <c r="F13" s="78">
        <v>12</v>
      </c>
      <c r="G13" s="78">
        <v>11</v>
      </c>
      <c r="H13" s="79" t="s">
        <v>233</v>
      </c>
      <c r="I13" s="79" t="s">
        <v>233</v>
      </c>
      <c r="J13" s="69">
        <f>IF($C13="","",IF($H13="✓",IF($G13&lt;&gt;"",$G13,IF($F13&lt;&gt;"",$F13,0)),0))</f>
        <v>11.0</v>
      </c>
      <c r="K13" s="75" t="s">
        <v>143</v>
      </c>
      <c r="L13" s="75"/>
    </row>
    <row r="14" spans="1:12" ht="20" customHeight="1">
      <c r="A14" s="1"/>
      <c r="B14" s="63">
        <f>IF($D14="","",ROW()-7)</f>
        <v>7</v>
      </c>
      <c r="C14" s="64" t="s">
        <v>137</v>
      </c>
      <c r="D14" s="64" t="s">
        <v>521</v>
      </c>
      <c r="E14" s="65" t="s">
        <v>130</v>
      </c>
      <c r="F14" s="68">
        <v>4</v>
      </c>
      <c r="G14" s="68">
        <v>3.8</v>
      </c>
      <c r="H14" s="71" t="s">
        <v>233</v>
      </c>
      <c r="I14" s="71" t="s">
        <v>233</v>
      </c>
      <c r="J14" s="69">
        <f>IF($C14="","",IF($H14="✓",IF($G14&lt;&gt;"",$G14,IF($F14&lt;&gt;"",$F14,0)),0))</f>
        <v>3.8</v>
      </c>
      <c r="K14" s="64" t="s">
        <v>157</v>
      </c>
      <c r="L14" s="64"/>
    </row>
    <row r="15" spans="1:12" ht="20" customHeight="1">
      <c r="A15" s="1"/>
      <c r="B15" s="74">
        <f>IF($D15="","",ROW()-7)</f>
        <v>8</v>
      </c>
      <c r="C15" s="75" t="s">
        <v>137</v>
      </c>
      <c r="D15" s="75" t="s">
        <v>522</v>
      </c>
      <c r="E15" s="76" t="s">
        <v>196</v>
      </c>
      <c r="F15" s="78">
        <v>6</v>
      </c>
      <c r="G15" s="78">
        <v>5.5</v>
      </c>
      <c r="H15" s="79" t="s">
        <v>233</v>
      </c>
      <c r="I15" s="79"/>
      <c r="J15" s="69">
        <f>IF($C15="","",IF($H15="✓",IF($G15&lt;&gt;"",$G15,IF($F15&lt;&gt;"",$F15,0)),0))</f>
        <v>5.5</v>
      </c>
      <c r="K15" s="75" t="s">
        <v>171</v>
      </c>
      <c r="L15" s="75"/>
    </row>
    <row r="16" spans="1:12" ht="20" customHeight="1">
      <c r="A16" s="1"/>
      <c r="B16" s="63">
        <f>IF($D16="","",ROW()-7)</f>
        <v>9</v>
      </c>
      <c r="C16" s="64" t="s">
        <v>137</v>
      </c>
      <c r="D16" s="64" t="s">
        <v>523</v>
      </c>
      <c r="E16" s="65" t="s">
        <v>166</v>
      </c>
      <c r="F16" s="68">
        <v>7</v>
      </c>
      <c r="G16" s="68"/>
      <c r="H16" s="71"/>
      <c r="I16" s="71"/>
      <c r="J16" s="69">
        <f>IF($C16="","",IF($H16="✓",IF($G16&lt;&gt;"",$G16,IF($F16&lt;&gt;"",$F16,0)),0))</f>
        <v>0</v>
      </c>
      <c r="K16" s="64"/>
      <c r="L16" s="64" t="s">
        <v>524</v>
      </c>
    </row>
    <row r="17" spans="1:12" ht="20" customHeight="1">
      <c r="A17" s="1"/>
      <c r="B17" s="74">
        <f>IF($D17="","",ROW()-7)</f>
        <v>10</v>
      </c>
      <c r="C17" s="75" t="s">
        <v>137</v>
      </c>
      <c r="D17" s="75" t="s">
        <v>525</v>
      </c>
      <c r="E17" s="76" t="s">
        <v>132</v>
      </c>
      <c r="F17" s="78">
        <v>8</v>
      </c>
      <c r="G17" s="78">
        <v>7</v>
      </c>
      <c r="H17" s="79" t="s">
        <v>233</v>
      </c>
      <c r="I17" s="79"/>
      <c r="J17" s="69">
        <f>IF($C17="","",IF($H17="✓",IF($G17&lt;&gt;"",$G17,IF($F17&lt;&gt;"",$F17,0)),0))</f>
        <v>7.0</v>
      </c>
      <c r="K17" s="75" t="s">
        <v>164</v>
      </c>
      <c r="L17" s="75"/>
    </row>
    <row r="18" spans="1:12" ht="20" customHeight="1">
      <c r="A18" s="1"/>
      <c r="B18" s="63">
        <f>IF($D18="","",ROW()-7)</f>
        <v>11</v>
      </c>
      <c r="C18" s="64" t="s">
        <v>125</v>
      </c>
      <c r="D18" s="64" t="s">
        <v>526</v>
      </c>
      <c r="E18" s="65" t="s">
        <v>132</v>
      </c>
      <c r="F18" s="68">
        <v>15</v>
      </c>
      <c r="G18" s="68">
        <v>14</v>
      </c>
      <c r="H18" s="71" t="s">
        <v>233</v>
      </c>
      <c r="I18" s="71" t="s">
        <v>233</v>
      </c>
      <c r="J18" s="69">
        <f>IF($C18="","",IF($H18="✓",IF($G18&lt;&gt;"",$G18,IF($F18&lt;&gt;"",$F18,0)),0))</f>
        <v>14.0</v>
      </c>
      <c r="K18" s="64" t="s">
        <v>151</v>
      </c>
      <c r="L18" s="64"/>
    </row>
    <row r="19" spans="1:12" ht="20" customHeight="1">
      <c r="A19" s="1"/>
      <c r="B19" s="74">
        <f>IF($D19="","",ROW()-7)</f>
        <v>12</v>
      </c>
      <c r="C19" s="75" t="s">
        <v>125</v>
      </c>
      <c r="D19" s="75" t="s">
        <v>527</v>
      </c>
      <c r="E19" s="76" t="s">
        <v>132</v>
      </c>
      <c r="F19" s="78">
        <v>12</v>
      </c>
      <c r="G19" s="78">
        <v>11.5</v>
      </c>
      <c r="H19" s="79" t="s">
        <v>233</v>
      </c>
      <c r="I19" s="79"/>
      <c r="J19" s="69">
        <f>IF($C19="","",IF($H19="✓",IF($G19&lt;&gt;"",$G19,IF($F19&lt;&gt;"",$F19,0)),0))</f>
        <v>11.5</v>
      </c>
      <c r="K19" s="75" t="s">
        <v>187</v>
      </c>
      <c r="L19" s="75"/>
    </row>
    <row r="20" spans="1:12" ht="20" customHeight="1">
      <c r="A20" s="1"/>
      <c r="B20" s="63">
        <f>IF($D20="","",ROW()-7)</f>
        <v>13</v>
      </c>
      <c r="C20" s="64" t="s">
        <v>125</v>
      </c>
      <c r="D20" s="64" t="s">
        <v>528</v>
      </c>
      <c r="E20" s="65" t="s">
        <v>189</v>
      </c>
      <c r="F20" s="68">
        <v>9</v>
      </c>
      <c r="G20" s="68">
        <v>8.5</v>
      </c>
      <c r="H20" s="71" t="s">
        <v>233</v>
      </c>
      <c r="I20" s="71" t="s">
        <v>233</v>
      </c>
      <c r="J20" s="69">
        <f>IF($C20="","",IF($H20="✓",IF($G20&lt;&gt;"",$G20,IF($F20&lt;&gt;"",$F20,0)),0))</f>
        <v>8.5</v>
      </c>
      <c r="K20" s="64" t="s">
        <v>157</v>
      </c>
      <c r="L20" s="64"/>
    </row>
    <row r="21" spans="1:12" ht="20" customHeight="1">
      <c r="A21" s="1"/>
      <c r="B21" s="74">
        <f>IF($D21="","",ROW()-7)</f>
        <v>14</v>
      </c>
      <c r="C21" s="75" t="s">
        <v>131</v>
      </c>
      <c r="D21" s="75" t="s">
        <v>529</v>
      </c>
      <c r="E21" s="76" t="s">
        <v>196</v>
      </c>
      <c r="F21" s="78">
        <v>14</v>
      </c>
      <c r="G21" s="78">
        <v>13</v>
      </c>
      <c r="H21" s="79" t="s">
        <v>233</v>
      </c>
      <c r="I21" s="79"/>
      <c r="J21" s="69">
        <f>IF($C21="","",IF($H21="✓",IF($G21&lt;&gt;"",$G21,IF($F21&lt;&gt;"",$F21,0)),0))</f>
        <v>13.0</v>
      </c>
      <c r="K21" s="75" t="s">
        <v>194</v>
      </c>
      <c r="L21" s="75" t="s">
        <v>530</v>
      </c>
    </row>
    <row r="22" spans="1:12" ht="20" customHeight="1">
      <c r="A22" s="1"/>
      <c r="B22" s="63">
        <f>IF($D22="","",ROW()-7)</f>
        <v>15</v>
      </c>
      <c r="C22" s="64" t="s">
        <v>131</v>
      </c>
      <c r="D22" s="64" t="s">
        <v>531</v>
      </c>
      <c r="E22" s="65" t="s">
        <v>195</v>
      </c>
      <c r="F22" s="68">
        <v>12</v>
      </c>
      <c r="G22" s="68">
        <v>11</v>
      </c>
      <c r="H22" s="71" t="s">
        <v>233</v>
      </c>
      <c r="I22" s="71" t="s">
        <v>233</v>
      </c>
      <c r="J22" s="69">
        <f>IF($C22="","",IF($H22="✓",IF($G22&lt;&gt;"",$G22,IF($F22&lt;&gt;"",$F22,0)),0))</f>
        <v>11.0</v>
      </c>
      <c r="K22" s="64" t="s">
        <v>143</v>
      </c>
      <c r="L22" s="64"/>
    </row>
    <row r="23" spans="1:12" ht="20" customHeight="1">
      <c r="A23" s="1"/>
      <c r="B23" s="74">
        <f>IF($D23="","",ROW()-7)</f>
        <v>16</v>
      </c>
      <c r="C23" s="75" t="s">
        <v>131</v>
      </c>
      <c r="D23" s="75" t="s">
        <v>532</v>
      </c>
      <c r="E23" s="76" t="s">
        <v>189</v>
      </c>
      <c r="F23" s="78">
        <v>10</v>
      </c>
      <c r="G23" s="78">
        <v>9.5</v>
      </c>
      <c r="H23" s="79"/>
      <c r="I23" s="79"/>
      <c r="J23" s="69">
        <f>IF($C23="","",IF($H23="✓",IF($G23&lt;&gt;"",$G23,IF($F23&lt;&gt;"",$F23,0)),0))</f>
        <v>0</v>
      </c>
      <c r="K23" s="75"/>
      <c r="L23" s="75" t="s">
        <v>533</v>
      </c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401</v>
      </c>
      <c r="C54" s="81"/>
      <c r="D54" s="81"/>
      <c r="E54" s="81"/>
      <c r="F54" s="82">
        <f>SUM($F$8:$F$52)</f>
        <v>144</v>
      </c>
      <c r="G54" s="82">
        <f>SUM($G$8:$G$52)</f>
        <v>126.0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$144   •   spent: $108   •   remaining: $36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534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512</v>
      </c>
      <c r="D57" s="33" t="s">
        <v>535</v>
      </c>
      <c r="E57" s="33" t="s">
        <v>270</v>
      </c>
      <c r="F57" s="33" t="s">
        <v>25</v>
      </c>
      <c r="G57" s="33" t="s">
        <v>343</v>
      </c>
      <c r="H57" s="33" t="s">
        <v>27</v>
      </c>
      <c r="I57" s="33" t="s">
        <v>28</v>
      </c>
      <c r="J57" s="33" t="s">
        <v>345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5</v>
      </c>
      <c r="E58" s="69">
        <f>IF($C58="",0,SUMIF('🧦 Stockings'!$C$8:$C$52,$C58,'🧦 Stockings'!$F$8:$F$52))</f>
        <v>35</v>
      </c>
      <c r="F58" s="69">
        <f>IF($C58="",0,SUMIF('🧦 Stockings'!$C$8:$C$52,$C58,'🧦 Stockings'!$J$8:$J$52))</f>
        <v>23.2</v>
      </c>
      <c r="G58" s="69">
        <f>IF($C58="","",$E58-$F58)</f>
        <v>11.8</v>
      </c>
      <c r="H58" s="73">
        <f>IF($C58="",0,COUNTIFS('🧦 Stockings'!$C$8:$C$52,$C58,'🧦 Stockings'!$H$8:$H$52,"✓"))</f>
        <v>4</v>
      </c>
      <c r="I58" s="73">
        <f>IF($C58="",0,COUNTIFS('🧦 Stockings'!$C$8:$C$52,$C58,'🧦 Stockings'!$I$8:$I$52,"✓"))</f>
        <v>2</v>
      </c>
      <c r="J58" s="38" t="str">
        <f>IF($C58="","",REPT("█",ROUND(MIN(1,IFERROR($F58/$E58,0))*16,0))&amp;REPT("░",16-ROUND(MIN(1,IFERROR($F58/$E58,0))*16,0))&amp;"   "&amp;TEXT(IFERROR($F58/$E58,0),"0%")&amp;" spent")</f>
        <v>███████████░░░░░   66%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5</v>
      </c>
      <c r="E59" s="69">
        <f>IF($C59="",0,SUMIF('🧦 Stockings'!$C$8:$C$52,$C59,'🧦 Stockings'!$F$8:$F$52))</f>
        <v>37</v>
      </c>
      <c r="F59" s="69">
        <f>IF($C59="",0,SUMIF('🧦 Stockings'!$C$8:$C$52,$C59,'🧦 Stockings'!$J$8:$J$52))</f>
        <v>27.3</v>
      </c>
      <c r="G59" s="69">
        <f>IF($C59="","",$E59-$F59)</f>
        <v>9.7</v>
      </c>
      <c r="H59" s="73">
        <f>IF($C59="",0,COUNTIFS('🧦 Stockings'!$C$8:$C$52,$C59,'🧦 Stockings'!$H$8:$H$52,"✓"))</f>
        <v>4</v>
      </c>
      <c r="I59" s="73">
        <f>IF($C59="",0,COUNTIFS('🧦 Stockings'!$C$8:$C$52,$C59,'🧦 Stockings'!$I$8:$I$52,"✓"))</f>
        <v>2</v>
      </c>
      <c r="J59" s="38" t="str">
        <f>IF($C59="","",REPT("█",ROUND(MIN(1,IFERROR($F59/$E59,0))*16,0))&amp;REPT("░",16-ROUND(MIN(1,IFERROR($F59/$E59,0))*16,0))&amp;"   "&amp;TEXT(IFERROR($F59/$E59,0),"0%")&amp;" spent")</f>
        <v>████████████░░░░   74%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3</v>
      </c>
      <c r="E60" s="69">
        <f>IF($C60="",0,SUMIF('🧦 Stockings'!$C$8:$C$52,$C60,'🧦 Stockings'!$F$8:$F$52))</f>
        <v>36</v>
      </c>
      <c r="F60" s="69">
        <f>IF($C60="",0,SUMIF('🧦 Stockings'!$C$8:$C$52,$C60,'🧦 Stockings'!$J$8:$J$52))</f>
        <v>34.0</v>
      </c>
      <c r="G60" s="69">
        <f>IF($C60="","",$E60-$F60)</f>
        <v>2.0</v>
      </c>
      <c r="H60" s="73">
        <f>IF($C60="",0,COUNTIFS('🧦 Stockings'!$C$8:$C$52,$C60,'🧦 Stockings'!$H$8:$H$52,"✓"))</f>
        <v>3</v>
      </c>
      <c r="I60" s="73">
        <f>IF($C60="",0,COUNTIFS('🧦 Stockings'!$C$8:$C$52,$C60,'🧦 Stockings'!$I$8:$I$52,"✓"))</f>
        <v>2</v>
      </c>
      <c r="J60" s="38" t="str">
        <f>IF($C60="","",REPT("█",ROUND(MIN(1,IFERROR($F60/$E60,0))*16,0))&amp;REPT("░",16-ROUND(MIN(1,IFERROR($F60/$E60,0))*16,0))&amp;"   "&amp;TEXT(IFERROR($F60/$E60,0),"0%")&amp;" spent")</f>
        <v>███████████████░   94%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3</v>
      </c>
      <c r="E61" s="69">
        <f>IF($C61="",0,SUMIF('🧦 Stockings'!$C$8:$C$52,$C61,'🧦 Stockings'!$F$8:$F$52))</f>
        <v>36</v>
      </c>
      <c r="F61" s="69">
        <f>IF($C61="",0,SUMIF('🧦 Stockings'!$C$8:$C$52,$C61,'🧦 Stockings'!$J$8:$J$52))</f>
        <v>24.0</v>
      </c>
      <c r="G61" s="69">
        <f>IF($C61="","",$E61-$F61)</f>
        <v>12.0</v>
      </c>
      <c r="H61" s="73">
        <f>IF($C61="",0,COUNTIFS('🧦 Stockings'!$C$8:$C$52,$C61,'🧦 Stockings'!$H$8:$H$52,"✓"))</f>
        <v>2</v>
      </c>
      <c r="I61" s="73">
        <f>IF($C61="",0,COUNTIFS('🧦 Stockings'!$C$8:$C$52,$C61,'🧦 Stockings'!$I$8:$I$52,"✓"))</f>
        <v>1</v>
      </c>
      <c r="J61" s="38" t="str">
        <f>IF($C61="","",REPT("█",ROUND(MIN(1,IFERROR($F61/$E61,0))*16,0))&amp;REPT("░",16-ROUND(MIN(1,IFERROR($F61/$E61,0))*16,0))&amp;"   "&amp;TEXT(IFERROR($F61/$E61,0),"0%")&amp;" spent")</f>
        <v>███████████░░░░░   67%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324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536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248</v>
      </c>
      <c r="C70" s="43"/>
      <c r="D70" s="44" t="s">
        <v>249</v>
      </c>
      <c r="E70" s="44"/>
      <c r="F70" s="45" t="s">
        <v>250</v>
      </c>
      <c r="G70" s="45"/>
      <c r="H70" s="46" t="s">
        <v>251</v>
      </c>
      <c r="I70" s="46"/>
      <c r="J70" s="47" t="s">
        <v>252</v>
      </c>
      <c r="K70" s="47"/>
      <c r="L70" s="1"/>
    </row>
    <row r="71" spans="1:12" ht="24" customHeight="1">
      <c r="A71" s="1"/>
      <c r="B71" s="48" t="s">
        <v>253</v>
      </c>
      <c r="C71" s="48"/>
      <c r="D71" s="49" t="s">
        <v>254</v>
      </c>
      <c r="E71" s="49"/>
      <c r="F71" s="50" t="s">
        <v>255</v>
      </c>
      <c r="G71" s="50"/>
      <c r="H71" s="44" t="s">
        <v>537</v>
      </c>
      <c r="I71" s="44"/>
      <c r="J71" s="46" t="s">
        <v>257</v>
      </c>
      <c r="K71" s="46"/>
      <c r="L71" s="1"/>
    </row>
    <row r="72" spans="1:12" ht="24" customHeight="1">
      <c r="A72" s="1"/>
      <c r="B72" s="43" t="s">
        <v>327</v>
      </c>
      <c r="C72" s="43"/>
      <c r="D72" s="44" t="s">
        <v>259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328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F7D4F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538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539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7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█████░░░░░░░░░  35%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540</v>
      </c>
      <c r="C7" s="33" t="s">
        <v>541</v>
      </c>
      <c r="D7" s="33" t="s">
        <v>266</v>
      </c>
      <c r="E7" s="33" t="s">
        <v>542</v>
      </c>
      <c r="F7" s="62" t="s">
        <v>276</v>
      </c>
      <c r="G7" s="62" t="s">
        <v>480</v>
      </c>
      <c r="H7" s="33" t="s">
        <v>278</v>
      </c>
    </row>
    <row r="8" spans="1:8" ht="20" customHeight="1">
      <c r="A8" s="1"/>
      <c r="B8" s="71" t="s">
        <v>233</v>
      </c>
      <c r="C8" s="64" t="s">
        <v>543</v>
      </c>
      <c r="D8" s="65" t="s">
        <v>26</v>
      </c>
      <c r="E8" s="72">
        <f>EventDate-75</f>
        <v>0</v>
      </c>
      <c r="F8" s="73">
        <f>IF(OR($E8="",$B8="✓"),"",$E8-TODAY())</f>
        <v/>
      </c>
      <c r="G8" s="67" t="str">
        <f>IF($C8="","",IF($B8="✓","🟢 Complete",IF($E8="","",IF($E8&lt;TODAY(),"🔴 OVERDUE",IF($E8-TODAY()&lt;=DueSoonDays,"🟠 Due soon","🔵 Upcoming")))))</f>
        <v>🟢 Complete</v>
      </c>
      <c r="H8" s="64"/>
    </row>
    <row r="9" spans="1:8" ht="20" customHeight="1">
      <c r="A9" s="1"/>
      <c r="B9" s="79" t="s">
        <v>233</v>
      </c>
      <c r="C9" s="75" t="s">
        <v>544</v>
      </c>
      <c r="D9" s="76" t="s">
        <v>144</v>
      </c>
      <c r="E9" s="80">
        <f>EventDate-60</f>
        <v>0</v>
      </c>
      <c r="F9" s="73">
        <f>IF(OR($E9="",$B9="✓"),"",$E9-TODAY())</f>
        <v/>
      </c>
      <c r="G9" s="67" t="str">
        <f>IF($C9="","",IF($B9="✓","🟢 Complete",IF($E9="","",IF($E9&lt;TODAY(),"🔴 OVERDUE",IF($E9-TODAY()&lt;=DueSoonDays,"🟠 Due soon","🔵 Upcoming")))))</f>
        <v>🟢 Complete</v>
      </c>
      <c r="H9" s="75"/>
    </row>
    <row r="10" spans="1:8" ht="20" customHeight="1">
      <c r="A10" s="1"/>
      <c r="B10" s="71" t="s">
        <v>233</v>
      </c>
      <c r="C10" s="64" t="s">
        <v>545</v>
      </c>
      <c r="D10" s="65" t="s">
        <v>136</v>
      </c>
      <c r="E10" s="72">
        <f>EventDate-45</f>
        <v>0</v>
      </c>
      <c r="F10" s="73">
        <f>IF(OR($E10="",$B10="✓"),"",$E10-TODAY())</f>
        <v/>
      </c>
      <c r="G10" s="67" t="str">
        <f>IF($C10="","",IF($B10="✓","🟢 Complete",IF($E10="","",IF($E10&lt;TODAY(),"🔴 OVERDUE",IF($E10-TODAY()&lt;=DueSoonDays,"🟠 Due soon","🔵 Upcoming")))))</f>
        <v>🟢 Complete</v>
      </c>
      <c r="H10" s="64"/>
    </row>
    <row r="11" spans="1:8" ht="20" customHeight="1">
      <c r="A11" s="1"/>
      <c r="B11" s="79"/>
      <c r="C11" s="75" t="s">
        <v>546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547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 t="s">
        <v>233</v>
      </c>
      <c r="C13" s="75" t="s">
        <v>548</v>
      </c>
      <c r="D13" s="76" t="s">
        <v>26</v>
      </c>
      <c r="E13" s="80">
        <f>EventDate-30</f>
        <v>0</v>
      </c>
      <c r="F13" s="73">
        <f>IF(OR($E13="",$B13="✓"),"",$E13-TODAY())</f>
        <v/>
      </c>
      <c r="G13" s="67" t="str">
        <f>IF($C13="","",IF($B13="✓","🟢 Complete",IF($E13="","",IF($E13&lt;TODAY(),"🔴 OVERDUE",IF($E13-TODAY()&lt;=DueSoonDays,"🟠 Due soon","🔵 Upcoming")))))</f>
        <v>🟢 Complete</v>
      </c>
      <c r="H13" s="75"/>
    </row>
    <row r="14" spans="1:8" ht="20" customHeight="1">
      <c r="A14" s="1"/>
      <c r="B14" s="71" t="s">
        <v>233</v>
      </c>
      <c r="C14" s="64" t="s">
        <v>549</v>
      </c>
      <c r="D14" s="65" t="s">
        <v>26</v>
      </c>
      <c r="E14" s="72">
        <f>EventDate-21</f>
        <v>0</v>
      </c>
      <c r="F14" s="73">
        <f>IF(OR($E14="",$B14="✓"),"",$E14-TODAY())</f>
        <v/>
      </c>
      <c r="G14" s="67" t="str">
        <f>IF($C14="","",IF($B14="✓","🟢 Complete",IF($E14="","",IF($E14&lt;TODAY(),"🔴 OVERDUE",IF($E14-TODAY()&lt;=DueSoonDays,"🟠 Due soon","🔵 Upcoming")))))</f>
        <v>🟢 Complete</v>
      </c>
      <c r="H14" s="64"/>
    </row>
    <row r="15" spans="1:8" ht="20" customHeight="1">
      <c r="A15" s="1"/>
      <c r="B15" s="79"/>
      <c r="C15" s="75" t="s">
        <v>550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 t="s">
        <v>233</v>
      </c>
      <c r="C16" s="64" t="s">
        <v>551</v>
      </c>
      <c r="D16" s="65" t="s">
        <v>158</v>
      </c>
      <c r="E16" s="72">
        <f>EventDate-20</f>
        <v>0</v>
      </c>
      <c r="F16" s="73">
        <f>IF(OR($E16="",$B16="✓"),"",$E16-TODAY())</f>
        <v/>
      </c>
      <c r="G16" s="67" t="str">
        <f>IF($C16="","",IF($B16="✓","🟢 Complete",IF($E16="","",IF($E16&lt;TODAY(),"🔴 OVERDUE",IF($E16-TODAY()&lt;=DueSoonDays,"🟠 Due soon","🔵 Upcoming")))))</f>
        <v>🟢 Complete</v>
      </c>
      <c r="H16" s="64"/>
    </row>
    <row r="17" spans="1:8" ht="20" customHeight="1">
      <c r="A17" s="1"/>
      <c r="B17" s="79"/>
      <c r="C17" s="75" t="s">
        <v>552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553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554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555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556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557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 t="s">
        <v>233</v>
      </c>
      <c r="C23" s="75" t="s">
        <v>558</v>
      </c>
      <c r="D23" s="76" t="s">
        <v>188</v>
      </c>
      <c r="E23" s="80">
        <f>EventDate-12</f>
        <v>0</v>
      </c>
      <c r="F23" s="73">
        <f>IF(OR($E23="",$B23="✓"),"",$E23-TODAY())</f>
        <v/>
      </c>
      <c r="G23" s="67" t="str">
        <f>IF($C23="","",IF($B23="✓","🟢 Complete",IF($E23="","",IF($E23&lt;TODAY(),"🔴 OVERDUE",IF($E23-TODAY()&lt;=DueSoonDays,"🟠 Due soon","🔵 Upcoming")))))</f>
        <v>🟢 Complete</v>
      </c>
      <c r="H23" s="75"/>
    </row>
    <row r="24" spans="1:8" ht="20" customHeight="1">
      <c r="A24" s="1"/>
      <c r="B24" s="71"/>
      <c r="C24" s="64" t="s">
        <v>559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560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561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562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563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7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324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564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1"/>
    </row>
    <row r="55" spans="1:8" ht="24" customHeight="1">
      <c r="A55" s="1"/>
      <c r="B55" s="46" t="s">
        <v>251</v>
      </c>
      <c r="C55" s="46"/>
      <c r="D55" s="47" t="s">
        <v>252</v>
      </c>
      <c r="E55" s="47"/>
      <c r="F55" s="48" t="s">
        <v>253</v>
      </c>
      <c r="G55" s="48"/>
      <c r="H55" s="1"/>
    </row>
    <row r="56" spans="1:8" ht="24" customHeight="1">
      <c r="A56" s="1"/>
      <c r="B56" s="49" t="s">
        <v>254</v>
      </c>
      <c r="C56" s="49"/>
      <c r="D56" s="50" t="s">
        <v>255</v>
      </c>
      <c r="E56" s="50"/>
      <c r="F56" s="44" t="s">
        <v>256</v>
      </c>
      <c r="G56" s="44"/>
      <c r="H56" s="1"/>
    </row>
    <row r="57" spans="1:8" ht="24" customHeight="1">
      <c r="A57" s="1"/>
      <c r="B57" s="46" t="s">
        <v>565</v>
      </c>
      <c r="C57" s="46"/>
      <c r="D57" s="43" t="s">
        <v>327</v>
      </c>
      <c r="E57" s="43"/>
      <c r="F57" s="44" t="s">
        <v>259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328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1500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 t="s">
        <v>208</v>
      </c>
      <c r="C42" s="120" t="s">
        <v>209</v>
      </c>
      <c r="D42" s="120" t="s">
        <v>210</v>
      </c>
      <c r="E42" s="120" t="s">
        <v>211</v>
      </c>
      <c r="F42" s="120"/>
      <c r="G42" s="120" t="s">
        <v>212</v>
      </c>
      <c r="H42" s="120"/>
      <c r="I42" s="120"/>
      <c r="J42" s="120"/>
    </row>
    <row r="43" spans="1:10" ht="18" customHeight="1">
      <c r="A43" s="1"/>
      <c r="B43" s="121" t="s">
        <v>5</v>
      </c>
      <c r="C43" s="121" t="s">
        <v>213</v>
      </c>
      <c r="D43" s="121" t="s">
        <v>214</v>
      </c>
      <c r="E43" s="121" t="s">
        <v>215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216</v>
      </c>
      <c r="D44" s="120" t="s">
        <v>217</v>
      </c>
      <c r="E44" s="120" t="s">
        <v>218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219</v>
      </c>
      <c r="D45" s="121" t="s">
        <v>220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221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222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223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224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225</v>
      </c>
      <c r="C53" s="122" t="s">
        <v>226</v>
      </c>
      <c r="D53" s="122" t="s">
        <v>227</v>
      </c>
      <c r="E53" s="122" t="s">
        <v>228</v>
      </c>
      <c r="F53" s="84" t="s">
        <v>229</v>
      </c>
      <c r="G53" s="84"/>
      <c r="H53" s="84"/>
      <c r="I53" s="84"/>
      <c r="J53" s="84"/>
    </row>
    <row r="54" spans="1:10" ht="18" customHeight="1">
      <c r="A54" s="1"/>
      <c r="B54" s="123" t="s">
        <v>230</v>
      </c>
      <c r="C54" s="123" t="s">
        <v>231</v>
      </c>
      <c r="D54" s="123" t="s">
        <v>232</v>
      </c>
      <c r="E54" s="123" t="s">
        <v>233</v>
      </c>
      <c r="F54" s="1"/>
      <c r="G54" s="1"/>
      <c r="H54" s="1"/>
      <c r="I54" s="1"/>
      <c r="J54" s="1"/>
    </row>
    <row r="55" spans="1:10" ht="18" customHeight="1">
      <c r="A55" s="1"/>
      <c r="B55" s="123" t="s">
        <v>234</v>
      </c>
      <c r="C55" s="123" t="s">
        <v>235</v>
      </c>
      <c r="D55" s="123" t="s">
        <v>236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237</v>
      </c>
      <c r="C56" s="123" t="s">
        <v>238</v>
      </c>
      <c r="D56" s="123" t="s">
        <v>239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240</v>
      </c>
      <c r="C57" s="123" t="s">
        <v>241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242</v>
      </c>
      <c r="C58" s="123" t="s">
        <v>243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244</v>
      </c>
      <c r="C59" s="123" t="s">
        <v>245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246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247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248</v>
      </c>
      <c r="C64" s="44" t="s">
        <v>249</v>
      </c>
      <c r="D64" s="45" t="s">
        <v>250</v>
      </c>
      <c r="E64" s="46" t="s">
        <v>251</v>
      </c>
      <c r="F64" s="47" t="s">
        <v>252</v>
      </c>
      <c r="G64" s="48" t="s">
        <v>253</v>
      </c>
      <c r="H64" s="49" t="s">
        <v>254</v>
      </c>
      <c r="I64" s="50" t="s">
        <v>255</v>
      </c>
      <c r="J64" s="44" t="s">
        <v>256</v>
      </c>
    </row>
    <row r="65" spans="1:10" ht="24" customHeight="1">
      <c r="A65" s="1"/>
      <c r="B65" s="46" t="s">
        <v>257</v>
      </c>
      <c r="C65" s="43" t="s">
        <v>258</v>
      </c>
      <c r="D65" s="44" t="s">
        <v>259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260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16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20" customHeight="1"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</row>
    <row r="8" spans="2:12" ht="20" customHeight="1"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5" t="s">
        <v>595</v>
      </c>
      <c r="D10" s="125"/>
      <c r="E10" s="125"/>
      <c r="F10" s="125"/>
      <c r="G10" s="125"/>
      <c r="H10" s="125"/>
      <c r="I10" s="124"/>
      <c r="J10" s="124"/>
      <c r="K10" s="124"/>
      <c r="L10" s="124"/>
    </row>
    <row r="11" spans="2:12" ht="20" customHeight="1">
      <c r="B11" s="124"/>
      <c r="C11" s="126" t="s">
        <v>596</v>
      </c>
      <c r="D11" s="126"/>
      <c r="E11" s="126"/>
      <c r="F11" s="126"/>
      <c r="G11" s="126"/>
      <c r="H11" s="126"/>
      <c r="I11" s="124"/>
      <c r="J11" s="124"/>
      <c r="K11" s="124"/>
      <c r="L11" s="124"/>
    </row>
    <row r="12" spans="2:12" ht="20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 ht="20" customHeight="1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2" ht="20" customHeight="1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</row>
    <row r="16" spans="2:12" ht="20" customHeight="1"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</row>
    <row r="17" spans="2:12" ht="20" customHeight="1"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2:12" ht="20" customHeight="1"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2:12" ht="20" customHeight="1"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</row>
    <row r="21" spans="2:12" ht="6" customHeight="1"/>
    <row r="22" spans="2:12" ht="24" customHeight="1">
      <c r="B22" s="5" t="s">
        <v>597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6" customHeight="1"/>
    <row r="24" spans="2:12" ht="20" customHeight="1">
      <c r="B24" s="127" t="s">
        <v>598</v>
      </c>
      <c r="C24" s="128" t="s">
        <v>599</v>
      </c>
      <c r="D24" s="128"/>
      <c r="E24" s="128"/>
      <c r="F24" s="128"/>
      <c r="G24" s="128"/>
      <c r="H24" s="128"/>
      <c r="I24" s="128"/>
      <c r="J24" s="128"/>
      <c r="K24" s="128"/>
      <c r="L24" s="128"/>
    </row>
    <row r="25" spans="2:12" ht="37.2" customHeight="1">
      <c r="B25" s="127"/>
      <c r="C25" s="129" t="s">
        <v>600</v>
      </c>
      <c r="D25" s="129"/>
      <c r="E25" s="129"/>
      <c r="F25" s="129"/>
      <c r="G25" s="129"/>
      <c r="H25" s="129"/>
      <c r="I25" s="129"/>
      <c r="J25" s="129"/>
      <c r="K25" s="129"/>
      <c r="L25" s="129"/>
    </row>
    <row r="26" spans="2:12" ht="20" customHeight="1">
      <c r="B26" s="127" t="s">
        <v>601</v>
      </c>
      <c r="C26" s="128" t="s">
        <v>602</v>
      </c>
      <c r="D26" s="128"/>
      <c r="E26" s="128"/>
      <c r="F26" s="128"/>
      <c r="G26" s="128"/>
      <c r="H26" s="128"/>
      <c r="I26" s="128"/>
      <c r="J26" s="128"/>
      <c r="K26" s="128"/>
      <c r="L26" s="128"/>
    </row>
    <row r="27" spans="2:12" ht="37.2" customHeight="1">
      <c r="B27" s="127"/>
      <c r="C27" s="129" t="s">
        <v>603</v>
      </c>
      <c r="D27" s="129"/>
      <c r="E27" s="129"/>
      <c r="F27" s="129"/>
      <c r="G27" s="129"/>
      <c r="H27" s="129"/>
      <c r="I27" s="129"/>
      <c r="J27" s="129"/>
      <c r="K27" s="129"/>
      <c r="L27" s="129"/>
    </row>
    <row r="28" spans="2:12" ht="20" customHeight="1">
      <c r="B28" s="127" t="s">
        <v>604</v>
      </c>
      <c r="C28" s="128" t="s">
        <v>605</v>
      </c>
      <c r="D28" s="128"/>
      <c r="E28" s="128"/>
      <c r="F28" s="128"/>
      <c r="G28" s="128"/>
      <c r="H28" s="128"/>
      <c r="I28" s="128"/>
      <c r="J28" s="128"/>
      <c r="K28" s="128"/>
      <c r="L28" s="128"/>
    </row>
    <row r="29" spans="2:12" ht="37.2" customHeight="1">
      <c r="B29" s="127"/>
      <c r="C29" s="129" t="s">
        <v>606</v>
      </c>
      <c r="D29" s="129"/>
      <c r="E29" s="129"/>
      <c r="F29" s="129"/>
      <c r="G29" s="129"/>
      <c r="H29" s="129"/>
      <c r="I29" s="129"/>
      <c r="J29" s="129"/>
      <c r="K29" s="129"/>
      <c r="L29" s="129"/>
    </row>
    <row r="30" spans="2:12" ht="20" customHeight="1">
      <c r="B30" s="127" t="s">
        <v>607</v>
      </c>
      <c r="C30" s="128" t="s">
        <v>608</v>
      </c>
      <c r="D30" s="128"/>
      <c r="E30" s="128"/>
      <c r="F30" s="128"/>
      <c r="G30" s="128"/>
      <c r="H30" s="128"/>
      <c r="I30" s="128"/>
      <c r="J30" s="128"/>
      <c r="K30" s="128"/>
      <c r="L30" s="128"/>
    </row>
    <row r="31" spans="2:12" ht="37.2" customHeight="1">
      <c r="B31" s="127"/>
      <c r="C31" s="129" t="s">
        <v>609</v>
      </c>
      <c r="D31" s="129"/>
      <c r="E31" s="129"/>
      <c r="F31" s="129"/>
      <c r="G31" s="129"/>
      <c r="H31" s="129"/>
      <c r="I31" s="129"/>
      <c r="J31" s="129"/>
      <c r="K31" s="129"/>
      <c r="L31" s="129"/>
    </row>
    <row r="32" spans="2:12" ht="20" customHeight="1">
      <c r="B32" s="127" t="s">
        <v>610</v>
      </c>
      <c r="C32" s="128" t="s">
        <v>611</v>
      </c>
      <c r="D32" s="128"/>
      <c r="E32" s="128"/>
      <c r="F32" s="128"/>
      <c r="G32" s="128"/>
      <c r="H32" s="128"/>
      <c r="I32" s="128"/>
      <c r="J32" s="128"/>
      <c r="K32" s="128"/>
      <c r="L32" s="128"/>
    </row>
    <row r="33" spans="2:12" ht="37.2" customHeight="1">
      <c r="B33" s="127"/>
      <c r="C33" s="129" t="s">
        <v>612</v>
      </c>
      <c r="D33" s="129"/>
      <c r="E33" s="129"/>
      <c r="F33" s="129"/>
      <c r="G33" s="129"/>
      <c r="H33" s="129"/>
      <c r="I33" s="129"/>
      <c r="J33" s="129"/>
      <c r="K33" s="129"/>
      <c r="L33" s="129"/>
    </row>
    <row r="34" spans="2:12" ht="20" customHeight="1">
      <c r="B34" s="127" t="s">
        <v>613</v>
      </c>
      <c r="C34" s="128" t="s">
        <v>614</v>
      </c>
      <c r="D34" s="128"/>
      <c r="E34" s="128"/>
      <c r="F34" s="128"/>
      <c r="G34" s="128"/>
      <c r="H34" s="128"/>
      <c r="I34" s="128"/>
      <c r="J34" s="128"/>
      <c r="K34" s="128"/>
      <c r="L34" s="128"/>
    </row>
    <row r="35" spans="2:12" ht="22.6" customHeight="1">
      <c r="B35" s="127"/>
      <c r="C35" s="129" t="s">
        <v>615</v>
      </c>
      <c r="D35" s="129"/>
      <c r="E35" s="129"/>
      <c r="F35" s="129"/>
      <c r="G35" s="129"/>
      <c r="H35" s="129"/>
      <c r="I35" s="129"/>
      <c r="J35" s="129"/>
      <c r="K35" s="129"/>
      <c r="L35" s="129"/>
    </row>
    <row r="36" spans="2:12" ht="8" customHeight="1"/>
    <row r="37" spans="2:12" ht="24" customHeight="1">
      <c r="B37" s="17" t="s">
        <v>616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ht="6" customHeight="1"/>
    <row r="39" spans="2:12" ht="24" customHeight="1">
      <c r="C39" s="33" t="s">
        <v>617</v>
      </c>
      <c r="D39" s="33"/>
      <c r="E39" s="33"/>
      <c r="F39" s="33" t="s">
        <v>618</v>
      </c>
      <c r="G39" s="33"/>
      <c r="H39" s="33"/>
      <c r="I39" s="33" t="s">
        <v>619</v>
      </c>
      <c r="J39" s="33"/>
      <c r="K39" s="33" t="s">
        <v>620</v>
      </c>
      <c r="L39" s="33"/>
    </row>
    <row r="40" spans="2:12" ht="51.8" customHeight="1">
      <c r="C40" s="130" t="s">
        <v>621</v>
      </c>
      <c r="D40" s="130"/>
      <c r="E40" s="130"/>
      <c r="F40" s="130" t="s">
        <v>622</v>
      </c>
      <c r="G40" s="130"/>
      <c r="H40" s="130"/>
      <c r="I40" s="130" t="s">
        <v>623</v>
      </c>
      <c r="J40" s="130"/>
      <c r="K40" s="130" t="s">
        <v>624</v>
      </c>
      <c r="L40" s="130"/>
    </row>
    <row r="41" spans="2:12" ht="37.2" customHeight="1">
      <c r="C41" s="131" t="s">
        <v>625</v>
      </c>
      <c r="D41" s="131"/>
      <c r="E41" s="131"/>
      <c r="F41" s="131" t="s">
        <v>626</v>
      </c>
      <c r="G41" s="131"/>
      <c r="H41" s="131"/>
      <c r="I41" s="131" t="s">
        <v>627</v>
      </c>
      <c r="J41" s="131"/>
      <c r="K41" s="131" t="s">
        <v>628</v>
      </c>
      <c r="L41" s="131"/>
    </row>
    <row r="42" spans="2:12" ht="37.2" customHeight="1">
      <c r="C42" s="130" t="s">
        <v>250</v>
      </c>
      <c r="D42" s="130"/>
      <c r="E42" s="130"/>
      <c r="F42" s="130" t="s">
        <v>629</v>
      </c>
      <c r="G42" s="130"/>
      <c r="H42" s="130"/>
      <c r="I42" s="130" t="s">
        <v>630</v>
      </c>
      <c r="J42" s="130"/>
      <c r="K42" s="130" t="s">
        <v>631</v>
      </c>
      <c r="L42" s="130"/>
    </row>
    <row r="43" spans="2:12" ht="51.8" customHeight="1">
      <c r="C43" s="131" t="s">
        <v>632</v>
      </c>
      <c r="D43" s="131"/>
      <c r="E43" s="131"/>
      <c r="F43" s="131" t="s">
        <v>633</v>
      </c>
      <c r="G43" s="131"/>
      <c r="H43" s="131"/>
      <c r="I43" s="131" t="s">
        <v>634</v>
      </c>
      <c r="J43" s="131"/>
      <c r="K43" s="131" t="s">
        <v>635</v>
      </c>
      <c r="L43" s="131"/>
    </row>
    <row r="44" spans="2:12" ht="51.8" customHeight="1">
      <c r="C44" s="130" t="s">
        <v>636</v>
      </c>
      <c r="D44" s="130"/>
      <c r="E44" s="130"/>
      <c r="F44" s="130" t="s">
        <v>637</v>
      </c>
      <c r="G44" s="130"/>
      <c r="H44" s="130"/>
      <c r="I44" s="130" t="s">
        <v>638</v>
      </c>
      <c r="J44" s="130"/>
      <c r="K44" s="130" t="s">
        <v>639</v>
      </c>
      <c r="L44" s="130"/>
    </row>
    <row r="45" spans="2:12" ht="37.2" customHeight="1">
      <c r="C45" s="131" t="s">
        <v>640</v>
      </c>
      <c r="D45" s="131"/>
      <c r="E45" s="131"/>
      <c r="F45" s="131" t="s">
        <v>641</v>
      </c>
      <c r="G45" s="131"/>
      <c r="H45" s="131"/>
      <c r="I45" s="131" t="s">
        <v>642</v>
      </c>
      <c r="J45" s="131"/>
      <c r="K45" s="131" t="s">
        <v>643</v>
      </c>
      <c r="L45" s="131"/>
    </row>
    <row r="46" spans="2:12" ht="51.8" customHeight="1">
      <c r="C46" s="130" t="s">
        <v>644</v>
      </c>
      <c r="D46" s="130"/>
      <c r="E46" s="130"/>
      <c r="F46" s="130" t="s">
        <v>645</v>
      </c>
      <c r="G46" s="130"/>
      <c r="H46" s="130"/>
      <c r="I46" s="130" t="s">
        <v>646</v>
      </c>
      <c r="J46" s="130"/>
      <c r="K46" s="130" t="s">
        <v>647</v>
      </c>
      <c r="L46" s="130"/>
    </row>
    <row r="47" spans="2:12" ht="37.2" customHeight="1">
      <c r="C47" s="131" t="s">
        <v>648</v>
      </c>
      <c r="D47" s="131"/>
      <c r="E47" s="131"/>
      <c r="F47" s="131" t="s">
        <v>649</v>
      </c>
      <c r="G47" s="131"/>
      <c r="H47" s="131"/>
      <c r="I47" s="131" t="s">
        <v>650</v>
      </c>
      <c r="J47" s="131"/>
      <c r="K47" s="131" t="s">
        <v>651</v>
      </c>
      <c r="L47" s="131"/>
    </row>
    <row r="48" spans="2:12" ht="37.2" customHeight="1">
      <c r="C48" s="130" t="s">
        <v>256</v>
      </c>
      <c r="D48" s="130"/>
      <c r="E48" s="130"/>
      <c r="F48" s="130" t="s">
        <v>652</v>
      </c>
      <c r="G48" s="130"/>
      <c r="H48" s="130"/>
      <c r="I48" s="130" t="s">
        <v>653</v>
      </c>
      <c r="J48" s="130"/>
      <c r="K48" s="130" t="s">
        <v>654</v>
      </c>
      <c r="L48" s="130"/>
    </row>
    <row r="49" spans="2:12" ht="37.2" customHeight="1">
      <c r="C49" s="131" t="s">
        <v>655</v>
      </c>
      <c r="D49" s="131"/>
      <c r="E49" s="131"/>
      <c r="F49" s="131" t="s">
        <v>656</v>
      </c>
      <c r="G49" s="131"/>
      <c r="H49" s="131"/>
      <c r="I49" s="131" t="s">
        <v>657</v>
      </c>
      <c r="J49" s="131"/>
      <c r="K49" s="131" t="s">
        <v>658</v>
      </c>
      <c r="L49" s="131"/>
    </row>
    <row r="50" spans="2:12" ht="37.2" customHeight="1">
      <c r="C50" s="130" t="s">
        <v>327</v>
      </c>
      <c r="D50" s="130"/>
      <c r="E50" s="130"/>
      <c r="F50" s="130" t="s">
        <v>659</v>
      </c>
      <c r="G50" s="130"/>
      <c r="H50" s="130"/>
      <c r="I50" s="130" t="s">
        <v>660</v>
      </c>
      <c r="J50" s="130"/>
      <c r="K50" s="130" t="s">
        <v>661</v>
      </c>
      <c r="L50" s="130"/>
    </row>
    <row r="51" spans="2:12" ht="37.2" customHeight="1">
      <c r="C51" s="131" t="s">
        <v>662</v>
      </c>
      <c r="D51" s="131"/>
      <c r="E51" s="131"/>
      <c r="F51" s="131" t="s">
        <v>663</v>
      </c>
      <c r="G51" s="131"/>
      <c r="H51" s="131"/>
      <c r="I51" s="131" t="s">
        <v>664</v>
      </c>
      <c r="J51" s="131"/>
      <c r="K51" s="131" t="s">
        <v>664</v>
      </c>
      <c r="L51" s="131"/>
    </row>
    <row r="52" spans="2:12" ht="51.8" customHeight="1">
      <c r="C52" s="130" t="s">
        <v>665</v>
      </c>
      <c r="D52" s="130"/>
      <c r="E52" s="130"/>
      <c r="F52" s="130" t="s">
        <v>666</v>
      </c>
      <c r="G52" s="130"/>
      <c r="H52" s="130"/>
      <c r="I52" s="130" t="s">
        <v>667</v>
      </c>
      <c r="J52" s="130"/>
      <c r="K52" s="130" t="s">
        <v>668</v>
      </c>
      <c r="L52" s="130"/>
    </row>
    <row r="53" spans="2:12" ht="8" customHeight="1"/>
    <row r="54" spans="2:12" ht="24" customHeight="1">
      <c r="B54" s="26" t="s">
        <v>669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2:12" ht="6" customHeight="1"/>
    <row r="56" spans="2:12" ht="24" customHeight="1">
      <c r="C56" s="33" t="s">
        <v>670</v>
      </c>
      <c r="D56" s="33"/>
      <c r="E56" s="33" t="s">
        <v>671</v>
      </c>
      <c r="F56" s="33"/>
      <c r="G56" s="33"/>
      <c r="H56" s="33" t="s">
        <v>672</v>
      </c>
      <c r="I56" s="33"/>
      <c r="J56" s="33"/>
      <c r="K56" s="33"/>
      <c r="L56" s="33"/>
    </row>
    <row r="57" spans="2:12" ht="37.2" customHeight="1">
      <c r="C57" s="130" t="s">
        <v>673</v>
      </c>
      <c r="D57" s="130"/>
      <c r="E57" s="130" t="s">
        <v>674</v>
      </c>
      <c r="F57" s="130"/>
      <c r="G57" s="130"/>
      <c r="H57" s="130" t="s">
        <v>675</v>
      </c>
      <c r="I57" s="130"/>
      <c r="J57" s="130"/>
      <c r="K57" s="130"/>
      <c r="L57" s="130"/>
    </row>
    <row r="58" spans="2:12" ht="37.2" customHeight="1">
      <c r="C58" s="131" t="s">
        <v>676</v>
      </c>
      <c r="D58" s="131"/>
      <c r="E58" s="131" t="s">
        <v>677</v>
      </c>
      <c r="F58" s="131"/>
      <c r="G58" s="131"/>
      <c r="H58" s="131" t="s">
        <v>678</v>
      </c>
      <c r="I58" s="131"/>
      <c r="J58" s="131"/>
      <c r="K58" s="131"/>
      <c r="L58" s="131"/>
    </row>
    <row r="59" spans="2:12" ht="22.6" customHeight="1">
      <c r="C59" s="130" t="s">
        <v>679</v>
      </c>
      <c r="D59" s="130"/>
      <c r="E59" s="130" t="s">
        <v>680</v>
      </c>
      <c r="F59" s="130"/>
      <c r="G59" s="130"/>
      <c r="H59" s="130" t="s">
        <v>681</v>
      </c>
      <c r="I59" s="130"/>
      <c r="J59" s="130"/>
      <c r="K59" s="130"/>
      <c r="L59" s="130"/>
    </row>
    <row r="60" spans="2:12" ht="22.6" customHeight="1">
      <c r="C60" s="131" t="s">
        <v>682</v>
      </c>
      <c r="D60" s="131"/>
      <c r="E60" s="131" t="s">
        <v>683</v>
      </c>
      <c r="F60" s="131"/>
      <c r="G60" s="131"/>
      <c r="H60" s="131" t="s">
        <v>684</v>
      </c>
      <c r="I60" s="131"/>
      <c r="J60" s="131"/>
      <c r="K60" s="131"/>
      <c r="L60" s="131"/>
    </row>
    <row r="61" spans="2:12" ht="22.6" customHeight="1">
      <c r="C61" s="130" t="s">
        <v>685</v>
      </c>
      <c r="D61" s="130"/>
      <c r="E61" s="130" t="s">
        <v>686</v>
      </c>
      <c r="F61" s="130"/>
      <c r="G61" s="130"/>
      <c r="H61" s="130" t="s">
        <v>687</v>
      </c>
      <c r="I61" s="130"/>
      <c r="J61" s="130"/>
      <c r="K61" s="130"/>
      <c r="L61" s="130"/>
    </row>
    <row r="62" spans="2:12" ht="22.6" customHeight="1">
      <c r="C62" s="131" t="s">
        <v>688</v>
      </c>
      <c r="D62" s="131"/>
      <c r="E62" s="131" t="s">
        <v>689</v>
      </c>
      <c r="F62" s="131"/>
      <c r="G62" s="131"/>
      <c r="H62" s="131" t="s">
        <v>690</v>
      </c>
      <c r="I62" s="131"/>
      <c r="J62" s="131"/>
      <c r="K62" s="131"/>
      <c r="L62" s="131"/>
    </row>
    <row r="63" spans="2:12" ht="37.2" customHeight="1">
      <c r="C63" s="130" t="s">
        <v>691</v>
      </c>
      <c r="D63" s="130"/>
      <c r="E63" s="130" t="s">
        <v>692</v>
      </c>
      <c r="F63" s="130"/>
      <c r="G63" s="130"/>
      <c r="H63" s="130" t="s">
        <v>693</v>
      </c>
      <c r="I63" s="130"/>
      <c r="J63" s="130"/>
      <c r="K63" s="130"/>
      <c r="L63" s="130"/>
    </row>
    <row r="64" spans="2:12" ht="37.2" customHeight="1">
      <c r="C64" s="131" t="s">
        <v>694</v>
      </c>
      <c r="D64" s="131"/>
      <c r="E64" s="131" t="s">
        <v>695</v>
      </c>
      <c r="F64" s="131"/>
      <c r="G64" s="131"/>
      <c r="H64" s="131" t="s">
        <v>696</v>
      </c>
      <c r="I64" s="131"/>
      <c r="J64" s="131"/>
      <c r="K64" s="131"/>
      <c r="L64" s="131"/>
    </row>
    <row r="65" spans="2:12" ht="8" customHeight="1"/>
    <row r="66" spans="2:12" ht="24" customHeight="1">
      <c r="B66" s="17" t="s">
        <v>697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2:12" ht="6" customHeight="1"/>
    <row r="68" spans="2:12" ht="24" customHeight="1">
      <c r="C68" s="122" t="s">
        <v>698</v>
      </c>
      <c r="D68" s="122"/>
      <c r="E68" s="122"/>
      <c r="F68" s="122" t="s">
        <v>699</v>
      </c>
      <c r="G68" s="122"/>
      <c r="H68" s="122"/>
      <c r="I68" s="122"/>
      <c r="J68" s="122"/>
      <c r="K68" s="122"/>
      <c r="L68" s="122"/>
    </row>
    <row r="69" spans="2:12" ht="22.6" customHeight="1">
      <c r="C69" s="130" t="s">
        <v>700</v>
      </c>
      <c r="D69" s="130"/>
      <c r="E69" s="130"/>
      <c r="F69" s="130" t="s">
        <v>701</v>
      </c>
      <c r="G69" s="130"/>
      <c r="H69" s="130"/>
      <c r="I69" s="130"/>
      <c r="J69" s="130"/>
      <c r="K69" s="130"/>
      <c r="L69" s="130"/>
    </row>
    <row r="70" spans="2:12" ht="22.6" customHeight="1">
      <c r="C70" s="131" t="s">
        <v>702</v>
      </c>
      <c r="D70" s="131"/>
      <c r="E70" s="131"/>
      <c r="F70" s="131" t="s">
        <v>703</v>
      </c>
      <c r="G70" s="131"/>
      <c r="H70" s="131"/>
      <c r="I70" s="131"/>
      <c r="J70" s="131"/>
      <c r="K70" s="131"/>
      <c r="L70" s="131"/>
    </row>
    <row r="71" spans="2:12" ht="37.2" customHeight="1">
      <c r="C71" s="130" t="s">
        <v>704</v>
      </c>
      <c r="D71" s="130"/>
      <c r="E71" s="130"/>
      <c r="F71" s="130" t="s">
        <v>705</v>
      </c>
      <c r="G71" s="130"/>
      <c r="H71" s="130"/>
      <c r="I71" s="130"/>
      <c r="J71" s="130"/>
      <c r="K71" s="130"/>
      <c r="L71" s="130"/>
    </row>
    <row r="72" spans="2:12" ht="22.6" customHeight="1">
      <c r="C72" s="131" t="s">
        <v>706</v>
      </c>
      <c r="D72" s="131"/>
      <c r="E72" s="131"/>
      <c r="F72" s="131" t="s">
        <v>707</v>
      </c>
      <c r="G72" s="131"/>
      <c r="H72" s="131"/>
      <c r="I72" s="131"/>
      <c r="J72" s="131"/>
      <c r="K72" s="131"/>
      <c r="L72" s="131"/>
    </row>
    <row r="73" spans="2:12" ht="22.6" customHeight="1">
      <c r="C73" s="130" t="s">
        <v>708</v>
      </c>
      <c r="D73" s="130"/>
      <c r="E73" s="130"/>
      <c r="F73" s="130" t="s">
        <v>709</v>
      </c>
      <c r="G73" s="130"/>
      <c r="H73" s="130"/>
      <c r="I73" s="130"/>
      <c r="J73" s="130"/>
      <c r="K73" s="130"/>
      <c r="L73" s="130"/>
    </row>
    <row r="74" spans="2:12" ht="22.6" customHeight="1">
      <c r="C74" s="131" t="s">
        <v>710</v>
      </c>
      <c r="D74" s="131"/>
      <c r="E74" s="131"/>
      <c r="F74" s="131" t="s">
        <v>711</v>
      </c>
      <c r="G74" s="131"/>
      <c r="H74" s="131"/>
      <c r="I74" s="131"/>
      <c r="J74" s="131"/>
      <c r="K74" s="131"/>
      <c r="L74" s="131"/>
    </row>
    <row r="75" spans="2:12" ht="22.6" customHeight="1">
      <c r="C75" s="130" t="s">
        <v>712</v>
      </c>
      <c r="D75" s="130"/>
      <c r="E75" s="130"/>
      <c r="F75" s="130" t="s">
        <v>713</v>
      </c>
      <c r="G75" s="130"/>
      <c r="H75" s="130"/>
      <c r="I75" s="130"/>
      <c r="J75" s="130"/>
      <c r="K75" s="130"/>
      <c r="L75" s="130"/>
    </row>
    <row r="76" spans="2:12" ht="37.2" customHeight="1">
      <c r="C76" s="131" t="s">
        <v>714</v>
      </c>
      <c r="D76" s="131"/>
      <c r="E76" s="131"/>
      <c r="F76" s="131" t="s">
        <v>715</v>
      </c>
      <c r="G76" s="131"/>
      <c r="H76" s="131"/>
      <c r="I76" s="131"/>
      <c r="J76" s="131"/>
      <c r="K76" s="131"/>
      <c r="L76" s="131"/>
    </row>
    <row r="77" spans="2:12" ht="37.2" customHeight="1">
      <c r="C77" s="130" t="s">
        <v>716</v>
      </c>
      <c r="D77" s="130"/>
      <c r="E77" s="130"/>
      <c r="F77" s="130" t="s">
        <v>717</v>
      </c>
      <c r="G77" s="130"/>
      <c r="H77" s="130"/>
      <c r="I77" s="130"/>
      <c r="J77" s="130"/>
      <c r="K77" s="130"/>
      <c r="L77" s="130"/>
    </row>
    <row r="78" spans="2:12" ht="22.6" customHeight="1">
      <c r="C78" s="131" t="s">
        <v>134</v>
      </c>
      <c r="D78" s="131"/>
      <c r="E78" s="131"/>
      <c r="F78" s="131" t="s">
        <v>718</v>
      </c>
      <c r="G78" s="131"/>
      <c r="H78" s="131"/>
      <c r="I78" s="131"/>
      <c r="J78" s="131"/>
      <c r="K78" s="131"/>
      <c r="L78" s="131"/>
    </row>
    <row r="79" spans="2:12" ht="22.6" customHeight="1">
      <c r="C79" s="130" t="s">
        <v>144</v>
      </c>
      <c r="D79" s="130"/>
      <c r="E79" s="130"/>
      <c r="F79" s="130" t="s">
        <v>719</v>
      </c>
      <c r="G79" s="130"/>
      <c r="H79" s="130"/>
      <c r="I79" s="130"/>
      <c r="J79" s="130"/>
      <c r="K79" s="130"/>
      <c r="L79" s="130"/>
    </row>
    <row r="80" spans="2:12" ht="22.6" customHeight="1">
      <c r="C80" s="131" t="s">
        <v>720</v>
      </c>
      <c r="D80" s="131"/>
      <c r="E80" s="131"/>
      <c r="F80" s="131" t="s">
        <v>721</v>
      </c>
      <c r="G80" s="131"/>
      <c r="H80" s="131"/>
      <c r="I80" s="131"/>
      <c r="J80" s="131"/>
      <c r="K80" s="131"/>
      <c r="L80" s="131"/>
    </row>
    <row r="81" spans="2:12" ht="22.6" customHeight="1">
      <c r="C81" s="130" t="s">
        <v>722</v>
      </c>
      <c r="D81" s="130"/>
      <c r="E81" s="130"/>
      <c r="F81" s="130" t="s">
        <v>723</v>
      </c>
      <c r="G81" s="130"/>
      <c r="H81" s="130"/>
      <c r="I81" s="130"/>
      <c r="J81" s="130"/>
      <c r="K81" s="130"/>
      <c r="L81" s="130"/>
    </row>
    <row r="82" spans="2:12" ht="22.6" customHeight="1">
      <c r="C82" s="131" t="s">
        <v>724</v>
      </c>
      <c r="D82" s="131"/>
      <c r="E82" s="131"/>
      <c r="F82" s="131" t="s">
        <v>725</v>
      </c>
      <c r="G82" s="131"/>
      <c r="H82" s="131"/>
      <c r="I82" s="131"/>
      <c r="J82" s="131"/>
      <c r="K82" s="131"/>
      <c r="L82" s="131"/>
    </row>
    <row r="83" spans="2:12" ht="22.6" customHeight="1">
      <c r="C83" s="130" t="s">
        <v>136</v>
      </c>
      <c r="D83" s="130"/>
      <c r="E83" s="130"/>
      <c r="F83" s="130" t="s">
        <v>726</v>
      </c>
      <c r="G83" s="130"/>
      <c r="H83" s="130"/>
      <c r="I83" s="130"/>
      <c r="J83" s="130"/>
      <c r="K83" s="130"/>
      <c r="L83" s="130"/>
    </row>
    <row r="84" spans="2:12" ht="37.2" customHeight="1">
      <c r="C84" s="131" t="s">
        <v>727</v>
      </c>
      <c r="D84" s="131"/>
      <c r="E84" s="131"/>
      <c r="F84" s="131" t="s">
        <v>728</v>
      </c>
      <c r="G84" s="131"/>
      <c r="H84" s="131"/>
      <c r="I84" s="131"/>
      <c r="J84" s="131"/>
      <c r="K84" s="131"/>
      <c r="L84" s="131"/>
    </row>
    <row r="85" spans="2:12" ht="8" customHeight="1"/>
    <row r="86" spans="2:12" ht="24" customHeight="1">
      <c r="B86" s="5" t="s">
        <v>729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ht="6" customHeight="1"/>
    <row r="88" spans="2:12" ht="37.2" customHeight="1">
      <c r="C88" s="129" t="s">
        <v>730</v>
      </c>
      <c r="D88" s="129"/>
      <c r="E88" s="129"/>
      <c r="F88" s="129"/>
      <c r="G88" s="129"/>
      <c r="H88" s="129"/>
      <c r="I88" s="129"/>
      <c r="J88" s="129"/>
      <c r="K88" s="129"/>
      <c r="L88" s="129"/>
    </row>
    <row r="89" spans="2:12" ht="37.2" customHeight="1">
      <c r="C89" s="129" t="s">
        <v>731</v>
      </c>
      <c r="D89" s="129"/>
      <c r="E89" s="129"/>
      <c r="F89" s="129"/>
      <c r="G89" s="129"/>
      <c r="H89" s="129"/>
      <c r="I89" s="129"/>
      <c r="J89" s="129"/>
      <c r="K89" s="129"/>
      <c r="L89" s="129"/>
    </row>
    <row r="90" spans="2:12" ht="37.2" customHeight="1">
      <c r="C90" s="129" t="s">
        <v>732</v>
      </c>
      <c r="D90" s="129"/>
      <c r="E90" s="129"/>
      <c r="F90" s="129"/>
      <c r="G90" s="129"/>
      <c r="H90" s="129"/>
      <c r="I90" s="129"/>
      <c r="J90" s="129"/>
      <c r="K90" s="129"/>
      <c r="L90" s="129"/>
    </row>
    <row r="91" spans="2:12" ht="37.2" customHeight="1">
      <c r="C91" s="129" t="s">
        <v>733</v>
      </c>
      <c r="D91" s="129"/>
      <c r="E91" s="129"/>
      <c r="F91" s="129"/>
      <c r="G91" s="129"/>
      <c r="H91" s="129"/>
      <c r="I91" s="129"/>
      <c r="J91" s="129"/>
      <c r="K91" s="129"/>
      <c r="L91" s="129"/>
    </row>
    <row r="92" spans="2:12" ht="22.6" customHeight="1">
      <c r="C92" s="129" t="s">
        <v>734</v>
      </c>
      <c r="D92" s="129"/>
      <c r="E92" s="129"/>
      <c r="F92" s="129"/>
      <c r="G92" s="129"/>
      <c r="H92" s="129"/>
      <c r="I92" s="129"/>
      <c r="J92" s="129"/>
      <c r="K92" s="129"/>
      <c r="L92" s="129"/>
    </row>
    <row r="93" spans="2:12" ht="8" customHeight="1"/>
    <row r="94" spans="2:12" ht="24" customHeight="1">
      <c r="B94" s="26" t="s">
        <v>735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2:12" ht="6" customHeight="1"/>
    <row r="96" spans="2:12" ht="24" customHeight="1">
      <c r="C96" s="61" t="s">
        <v>736</v>
      </c>
      <c r="D96" s="61"/>
      <c r="E96" s="61"/>
      <c r="F96" s="61" t="s">
        <v>737</v>
      </c>
      <c r="G96" s="61"/>
      <c r="H96" s="61"/>
      <c r="I96" s="61"/>
      <c r="J96" s="61"/>
      <c r="K96" s="61"/>
      <c r="L96" s="61"/>
    </row>
    <row r="97" spans="2:12" ht="51.8" customHeight="1">
      <c r="C97" s="130" t="s">
        <v>738</v>
      </c>
      <c r="D97" s="130"/>
      <c r="E97" s="130"/>
      <c r="F97" s="130" t="s">
        <v>739</v>
      </c>
      <c r="G97" s="130"/>
      <c r="H97" s="130"/>
      <c r="I97" s="130"/>
      <c r="J97" s="130"/>
      <c r="K97" s="130"/>
      <c r="L97" s="130"/>
    </row>
    <row r="98" spans="2:12" ht="37.2" customHeight="1">
      <c r="C98" s="131" t="s">
        <v>740</v>
      </c>
      <c r="D98" s="131"/>
      <c r="E98" s="131"/>
      <c r="F98" s="131" t="s">
        <v>741</v>
      </c>
      <c r="G98" s="131"/>
      <c r="H98" s="131"/>
      <c r="I98" s="131"/>
      <c r="J98" s="131"/>
      <c r="K98" s="131"/>
      <c r="L98" s="131"/>
    </row>
    <row r="99" spans="2:12" ht="51.8" customHeight="1">
      <c r="C99" s="130" t="s">
        <v>742</v>
      </c>
      <c r="D99" s="130"/>
      <c r="E99" s="130"/>
      <c r="F99" s="130" t="s">
        <v>743</v>
      </c>
      <c r="G99" s="130"/>
      <c r="H99" s="130"/>
      <c r="I99" s="130"/>
      <c r="J99" s="130"/>
      <c r="K99" s="130"/>
      <c r="L99" s="130"/>
    </row>
    <row r="100" spans="2:12" ht="51.8" customHeight="1">
      <c r="C100" s="131" t="s">
        <v>744</v>
      </c>
      <c r="D100" s="131"/>
      <c r="E100" s="131"/>
      <c r="F100" s="131" t="s">
        <v>745</v>
      </c>
      <c r="G100" s="131"/>
      <c r="H100" s="131"/>
      <c r="I100" s="131"/>
      <c r="J100" s="131"/>
      <c r="K100" s="131"/>
      <c r="L100" s="131"/>
    </row>
    <row r="101" spans="2:12" ht="51.8" customHeight="1">
      <c r="C101" s="130" t="s">
        <v>746</v>
      </c>
      <c r="D101" s="130"/>
      <c r="E101" s="130"/>
      <c r="F101" s="130" t="s">
        <v>747</v>
      </c>
      <c r="G101" s="130"/>
      <c r="H101" s="130"/>
      <c r="I101" s="130"/>
      <c r="J101" s="130"/>
      <c r="K101" s="130"/>
      <c r="L101" s="130"/>
    </row>
    <row r="102" spans="2:12" ht="37.2" customHeight="1">
      <c r="C102" s="131" t="s">
        <v>748</v>
      </c>
      <c r="D102" s="131"/>
      <c r="E102" s="131"/>
      <c r="F102" s="131" t="s">
        <v>749</v>
      </c>
      <c r="G102" s="131"/>
      <c r="H102" s="131"/>
      <c r="I102" s="131"/>
      <c r="J102" s="131"/>
      <c r="K102" s="131"/>
      <c r="L102" s="131"/>
    </row>
    <row r="103" spans="2:12" ht="37.2" customHeight="1">
      <c r="C103" s="130" t="s">
        <v>750</v>
      </c>
      <c r="D103" s="130"/>
      <c r="E103" s="130"/>
      <c r="F103" s="130" t="s">
        <v>751</v>
      </c>
      <c r="G103" s="130"/>
      <c r="H103" s="130"/>
      <c r="I103" s="130"/>
      <c r="J103" s="130"/>
      <c r="K103" s="130"/>
      <c r="L103" s="130"/>
    </row>
    <row r="104" spans="2:12" ht="37.2" customHeight="1">
      <c r="C104" s="131" t="s">
        <v>752</v>
      </c>
      <c r="D104" s="131"/>
      <c r="E104" s="131"/>
      <c r="F104" s="131" t="s">
        <v>753</v>
      </c>
      <c r="G104" s="131"/>
      <c r="H104" s="131"/>
      <c r="I104" s="131"/>
      <c r="J104" s="131"/>
      <c r="K104" s="131"/>
      <c r="L104" s="131"/>
    </row>
    <row r="105" spans="2:12" ht="37.2" customHeight="1">
      <c r="C105" s="130" t="s">
        <v>754</v>
      </c>
      <c r="D105" s="130"/>
      <c r="E105" s="130"/>
      <c r="F105" s="130" t="s">
        <v>755</v>
      </c>
      <c r="G105" s="130"/>
      <c r="H105" s="130"/>
      <c r="I105" s="130"/>
      <c r="J105" s="130"/>
      <c r="K105" s="130"/>
      <c r="L105" s="130"/>
    </row>
    <row r="106" spans="2:12" ht="37.2" customHeight="1">
      <c r="C106" s="131" t="s">
        <v>756</v>
      </c>
      <c r="D106" s="131"/>
      <c r="E106" s="131"/>
      <c r="F106" s="131" t="s">
        <v>757</v>
      </c>
      <c r="G106" s="131"/>
      <c r="H106" s="131"/>
      <c r="I106" s="131"/>
      <c r="J106" s="131"/>
      <c r="K106" s="131"/>
      <c r="L106" s="131"/>
    </row>
    <row r="107" spans="2:12" ht="8" customHeight="1"/>
    <row r="108" spans="2:12" ht="24" customHeight="1">
      <c r="B108" s="32" t="s">
        <v>758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spans="2:12" ht="6" customHeight="1"/>
    <row r="110" spans="2:12" ht="51.8" customHeight="1">
      <c r="C110" s="132" t="s">
        <v>759</v>
      </c>
      <c r="D110" s="132"/>
      <c r="E110" s="132"/>
      <c r="F110" s="132"/>
      <c r="G110" s="132"/>
      <c r="H110" s="132"/>
      <c r="I110" s="132"/>
      <c r="J110" s="132"/>
      <c r="K110" s="132"/>
      <c r="L110" s="132"/>
    </row>
    <row r="111" spans="2:12" ht="8" customHeight="1"/>
    <row r="112" spans="2:12" ht="26" customHeight="1">
      <c r="B112" s="43" t="s">
        <v>248</v>
      </c>
      <c r="C112" s="43"/>
      <c r="D112" s="44" t="s">
        <v>249</v>
      </c>
      <c r="E112" s="44"/>
      <c r="F112" s="45" t="s">
        <v>250</v>
      </c>
      <c r="G112" s="45"/>
      <c r="H112" s="46" t="s">
        <v>251</v>
      </c>
      <c r="I112" s="46"/>
      <c r="J112" s="47" t="s">
        <v>252</v>
      </c>
      <c r="K112" s="47"/>
    </row>
    <row r="113" spans="2:12" ht="24" customHeight="1">
      <c r="B113" s="48" t="s">
        <v>253</v>
      </c>
      <c r="C113" s="48"/>
      <c r="D113" s="49" t="s">
        <v>254</v>
      </c>
      <c r="E113" s="49"/>
      <c r="F113" s="50" t="s">
        <v>255</v>
      </c>
      <c r="G113" s="50"/>
      <c r="H113" s="44" t="s">
        <v>256</v>
      </c>
      <c r="I113" s="44"/>
      <c r="J113" s="46" t="s">
        <v>257</v>
      </c>
      <c r="K113" s="46"/>
    </row>
    <row r="114" spans="2:12" ht="24" customHeight="1">
      <c r="B114" s="43" t="s">
        <v>327</v>
      </c>
      <c r="C114" s="43"/>
      <c r="D114" s="44" t="s">
        <v>760</v>
      </c>
      <c r="E114" s="44"/>
    </row>
    <row r="116" spans="2:12">
      <c r="B116" s="51" t="s">
        <v>761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</row>
  </sheetData>
  <mergeCells count="185">
    <mergeCell ref="C10:H10"/>
    <mergeCell ref="C11:H11"/>
    <mergeCell ref="B22:L22"/>
    <mergeCell ref="B24:B25"/>
    <mergeCell ref="C24:L24"/>
    <mergeCell ref="C25:L25"/>
    <mergeCell ref="B26:B27"/>
    <mergeCell ref="C26:L26"/>
    <mergeCell ref="C27:L27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7:L37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C48:E48"/>
    <mergeCell ref="F48:H48"/>
    <mergeCell ref="I48:J48"/>
    <mergeCell ref="K48:L48"/>
    <mergeCell ref="C49:E49"/>
    <mergeCell ref="F49:H49"/>
    <mergeCell ref="I49:J49"/>
    <mergeCell ref="K49:L49"/>
    <mergeCell ref="C50:E50"/>
    <mergeCell ref="F50:H50"/>
    <mergeCell ref="I50:J50"/>
    <mergeCell ref="K50:L50"/>
    <mergeCell ref="C51:E51"/>
    <mergeCell ref="F51:H51"/>
    <mergeCell ref="I51:J51"/>
    <mergeCell ref="K51:L51"/>
    <mergeCell ref="C52:E52"/>
    <mergeCell ref="F52:H52"/>
    <mergeCell ref="I52:J52"/>
    <mergeCell ref="K52:L52"/>
    <mergeCell ref="B54:L54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C60:D60"/>
    <mergeCell ref="E60:G60"/>
    <mergeCell ref="H60:L60"/>
    <mergeCell ref="C61:D61"/>
    <mergeCell ref="E61:G61"/>
    <mergeCell ref="H61:L61"/>
    <mergeCell ref="C62:D62"/>
    <mergeCell ref="E62:G62"/>
    <mergeCell ref="H62:L62"/>
    <mergeCell ref="C63:D63"/>
    <mergeCell ref="E63:G63"/>
    <mergeCell ref="H63:L63"/>
    <mergeCell ref="C64:D64"/>
    <mergeCell ref="E64:G64"/>
    <mergeCell ref="H64:L64"/>
    <mergeCell ref="B66:L66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C80:E80"/>
    <mergeCell ref="F80:L80"/>
    <mergeCell ref="C81:E81"/>
    <mergeCell ref="F81:L81"/>
    <mergeCell ref="C82:E82"/>
    <mergeCell ref="F82:L82"/>
    <mergeCell ref="C83:E83"/>
    <mergeCell ref="F83:L83"/>
    <mergeCell ref="C84:E84"/>
    <mergeCell ref="F84:L84"/>
    <mergeCell ref="B86:L86"/>
    <mergeCell ref="C88:L88"/>
    <mergeCell ref="C89:L89"/>
    <mergeCell ref="C90:L90"/>
    <mergeCell ref="C91:L91"/>
    <mergeCell ref="C92:L92"/>
    <mergeCell ref="B94:L94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C102:E102"/>
    <mergeCell ref="F102:L102"/>
    <mergeCell ref="C103:E103"/>
    <mergeCell ref="F103:L103"/>
    <mergeCell ref="C104:E104"/>
    <mergeCell ref="F104:L104"/>
    <mergeCell ref="C105:E105"/>
    <mergeCell ref="F105:L105"/>
    <mergeCell ref="C106:E106"/>
    <mergeCell ref="F106:L106"/>
    <mergeCell ref="B108:L108"/>
    <mergeCell ref="C110:L110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B116:L116"/>
  </mergeCells>
  <hyperlinks>
    <hyperlink ref="B112" location="'🎄 Dashboard'!A1" display="🏠 Home"/>
    <hyperlink ref="D112" location="'🎁 Gift Tracker'!A1" display="🎁 Gifts"/>
    <hyperlink ref="F112" location="'💰 Budget'!A1" display="💰 Budget"/>
    <hyperlink ref="H112" location="'💡 Wish List'!A1" display="💡 Ideas"/>
    <hyperlink ref="J112" location="'🛍️ Shopping List'!A1" display="🛍️ Shop"/>
    <hyperlink ref="B113" location="'📦 Order Tracker'!A1" display="📦 Orders"/>
    <hyperlink ref="D113" location="'🎀 Wrapping &amp; Hiding'!A1" display="🎀 Wrap"/>
    <hyperlink ref="F113" location="'💌 Card Tracker'!A1" display="💌 Cards"/>
    <hyperlink ref="H113" location="'🧦 Stockings'!A1" display="🧦 Stockings"/>
    <hyperlink ref="J113" location="'✅ To-Do List'!A1" display="✅ To-Do"/>
    <hyperlink ref="B114" location="'⚙️ Setup'!A1" display="⚙️ Setup"/>
    <hyperlink ref="D114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105</v>
      </c>
      <c r="J2" s="137">
        <f>IF($H2="",0,SUMIF('🎁 Gift Tracker'!$C$8:$C$67,$H2,'🎁 Gift Tracker'!$K$8:$K$67))</f>
        <v>97.99000000000001</v>
      </c>
      <c r="K2" s="136">
        <f>IF($H2="",0,COUNTIF('🎁 Gift Tracker'!$C$8:$C$67,$H2))</f>
        <v>2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2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2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>1.0</v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158.5</v>
      </c>
      <c r="T2" s="135" t="str">
        <f>'⚙️ Setup'!$B$54</f>
        <v>💡 Idea</v>
      </c>
      <c r="U2" s="136">
        <f>COUNTIF('🎁 Gift Tracker'!$N$8:$N$67,$T2)</f>
        <v>1</v>
      </c>
      <c r="AA2" s="139">
        <f>IF(OR('🎁 Gift Tracker'!$Q$8="",'🎁 Gift Tracker'!$Q$8&lt;TODAY(),'🎁 Gift Tracker'!$N$8="📦 Delivered"),"",'🎁 Gift Tracker'!$Q$8)</f>
        <v>46371.0</v>
      </c>
      <c r="AB2" s="135" t="str">
        <f>IF($AA$2="","","🎁 "&amp;'🎁 Gift Tracker'!$E$8&amp;" — "&amp;'🎁 Gift Tracker'!$C$8)</f>
        <v>🎁 Cashmere scarf — Mum</v>
      </c>
      <c r="AC2" s="136">
        <f>IF($AA$2="","",$AA$2-TODAY())</f>
        <v>94</v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95</v>
      </c>
      <c r="J3" s="137">
        <f>IF($H3="",0,SUMIF('🎁 Gift Tracker'!$C$8:$C$67,$H3,'🎁 Gift Tracker'!$K$8:$K$67))</f>
        <v>93.5</v>
      </c>
      <c r="K3" s="136">
        <f>IF($H3="",0,COUNTIF('🎁 Gift Tracker'!$C$8:$C$67,$H3))</f>
        <v>2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2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2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1</v>
      </c>
      <c r="O3" s="136">
        <f>IF($H3="",0,MAX(0,$K3-$L3))</f>
        <v>0</v>
      </c>
      <c r="P3" s="138">
        <f>IF($H3="","",IFERROR($L3/$K3,0))</f>
        <v>1.0</v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42.99</v>
      </c>
      <c r="T3" s="135" t="str">
        <f>'⚙️ Setup'!$B$55</f>
        <v>🛒 Need to Buy</v>
      </c>
      <c r="U3" s="136">
        <f>COUNTIF('🎁 Gift Tracker'!$N$8:$N$67,$T3)</f>
        <v>3</v>
      </c>
      <c r="AA3" s="139">
        <f>IF(OR('🎁 Gift Tracker'!$Q$9="",'🎁 Gift Tracker'!$Q$9&lt;TODAY(),'🎁 Gift Tracker'!$N$9="📦 Delivered"),"",'🎁 Gift Tracker'!$Q$9)</f>
        <v>46371.0</v>
      </c>
      <c r="AB3" s="135" t="str">
        <f>IF($AA$3="","","🎁 "&amp;'🎁 Gift Tracker'!$E$9&amp;" — "&amp;'🎁 Gift Tracker'!$C$9)</f>
        <v>🎁 Spa gift set — Mum</v>
      </c>
      <c r="AC3" s="136">
        <f>IF($AA$3="","",$AA$3-TODAY())</f>
        <v>94</v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135</v>
      </c>
      <c r="J4" s="137">
        <f>IF($H4="",0,SUMIF('🎁 Gift Tracker'!$C$8:$C$67,$H4,'🎁 Gift Tracker'!$K$8:$K$67))</f>
        <v>129.99</v>
      </c>
      <c r="K4" s="136">
        <f>IF($H4="",0,COUNTIF('🎁 Gift Tracker'!$C$8:$C$67,$H4))</f>
        <v>2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1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1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1</v>
      </c>
      <c r="P4" s="138">
        <f>IF($H4="","",IFERROR($L4/$K4,0))</f>
        <v>0.5</v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159.98</v>
      </c>
      <c r="T4" s="135" t="str">
        <f>'⚙️ Setup'!$B$56</f>
        <v>🛍️ Ordered</v>
      </c>
      <c r="U4" s="136">
        <f>COUNTIF('🎁 Gift Tracker'!$N$8:$N$67,$T4)</f>
        <v>3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25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55</v>
      </c>
      <c r="J5" s="137">
        <f>IF($H5="",0,SUMIF('🎁 Gift Tracker'!$C$8:$C$67,$H5,'🎁 Gift Tracker'!$K$8:$K$67))</f>
        <v>49.5</v>
      </c>
      <c r="K5" s="136">
        <f>IF($H5="",0,COUNTIF('🎁 Gift Tracker'!$C$8:$C$67,$H5))</f>
        <v>2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2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2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2</v>
      </c>
      <c r="O5" s="136">
        <f>IF($H5="",0,MAX(0,$K5-$L5))</f>
        <v>0</v>
      </c>
      <c r="P5" s="138">
        <f>IF($H5="","",IFERROR($L5/$K5,0))</f>
        <v>1.0</v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39.99</v>
      </c>
      <c r="T5" s="135" t="str">
        <f>'⚙️ Setup'!$B$57</f>
        <v>✅ Purchased</v>
      </c>
      <c r="U5" s="136">
        <f>COUNTIF('🎁 Gift Tracker'!$N$8:$N$67,$T5)</f>
        <v>7</v>
      </c>
      <c r="AA5" s="139">
        <f>IF(OR('🎁 Gift Tracker'!$Q$11="",'🎁 Gift Tracker'!$Q$11&lt;TODAY(),'🎁 Gift Tracker'!$N$11="📦 Delivered"),"",'🎁 Gift Tracker'!$Q$11)</f>
        <v>46373.0</v>
      </c>
      <c r="AB5" s="135" t="str">
        <f>IF($AA$5="","","🎁 "&amp;'🎁 Gift Tracker'!$E$11&amp;" — "&amp;'🎁 Gift Tracker'!$C$11)</f>
        <v>🎁 Whisky tasting set — Dad</v>
      </c>
      <c r="AC5" s="136">
        <f>IF($AA$5="","",$AA$5-TODAY())</f>
        <v>96</v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18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75</v>
      </c>
      <c r="J6" s="137">
        <f>IF($H6="",0,SUMIF('🎁 Gift Tracker'!$C$8:$C$67,$H6,'🎁 Gift Tracker'!$K$8:$K$67))</f>
        <v>48.0</v>
      </c>
      <c r="K6" s="136">
        <f>IF($H6="",0,COUNTIF('🎁 Gift Tracker'!$C$8:$C$67,$H6))</f>
        <v>2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1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1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1</v>
      </c>
      <c r="P6" s="138">
        <f>IF($H6="","",IFERROR($L6/$K6,0))</f>
        <v>0.5</v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22.0</v>
      </c>
      <c r="T6" s="135" t="str">
        <f>'⚙️ Setup'!$B$58</f>
        <v>🎀 Wrapped</v>
      </c>
      <c r="U6" s="136">
        <f>COUNTIF('🎁 Gift Tracker'!$N$8:$N$67,$T6)</f>
        <v>5</v>
      </c>
      <c r="AA6" s="139">
        <f>IF(OR('🎁 Gift Tracker'!$Q$12="",'🎁 Gift Tracker'!$Q$12&lt;TODAY(),'🎁 Gift Tracker'!$N$12="📦 Delivered"),"",'🎁 Gift Tracker'!$Q$12)</f>
        <v>46376.0</v>
      </c>
      <c r="AB6" s="135" t="str">
        <f>IF($AA$6="","","🎁 "&amp;'🎁 Gift Tracker'!$E$12&amp;" — "&amp;'🎁 Gift Tracker'!$C$12)</f>
        <v>🎁 Digital photo frame — Grandma Rose</v>
      </c>
      <c r="AC6" s="136">
        <f>IF($AA$6="","",$AA$6-TODAY())</f>
        <v>99</v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13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115</v>
      </c>
      <c r="J7" s="137">
        <f>IF($H7="",0,SUMIF('🎁 Gift Tracker'!$C$8:$C$67,$H7,'🎁 Gift Tracker'!$K$8:$K$67))</f>
        <v>107.99</v>
      </c>
      <c r="K7" s="136">
        <f>IF($H7="",0,COUNTIF('🎁 Gift Tracker'!$C$8:$C$67,$H7))</f>
        <v>2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1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1</v>
      </c>
      <c r="P7" s="138">
        <f>IF($H7="","",IFERROR($L7/$K7,0))</f>
        <v>0.5</v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44.5</v>
      </c>
      <c r="T7" s="135" t="str">
        <f>'⚙️ Setup'!$B$59</f>
        <v>📦 Delivered</v>
      </c>
      <c r="U7" s="136">
        <f>COUNTIF('🎁 Gift Tracker'!$N$8:$N$67,$T7)</f>
        <v>6</v>
      </c>
      <c r="AA7" s="139">
        <f>IF(OR('🎁 Gift Tracker'!$Q$13="",'🎁 Gift Tracker'!$Q$13&lt;TODAY(),'🎁 Gift Tracker'!$N$13="📦 Delivered"),"",'🎁 Gift Tracker'!$Q$13)</f>
        <v>46369.0</v>
      </c>
      <c r="AB7" s="135" t="str">
        <f>IF($AA$7="","","🎁 "&amp;'🎁 Gift Tracker'!$E$13&amp;" — "&amp;'🎁 Gift Tracker'!$C$13)</f>
        <v>🎁 Chunky knitted blanket — Grandma Rose</v>
      </c>
      <c r="AC7" s="136">
        <f>IF($AA$7="","",$AA$7-TODAY())</f>
        <v>92</v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6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67</v>
      </c>
      <c r="J8" s="137">
        <f>IF($H8="",0,SUMIF('🎁 Gift Tracker'!$C$8:$C$67,$H8,'🎁 Gift Tracker'!$K$8:$K$67))</f>
        <v>59.99</v>
      </c>
      <c r="K8" s="136">
        <f>IF($H8="",0,COUNTIF('🎁 Gift Tracker'!$C$8:$C$67,$H8))</f>
        <v>2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2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2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1</v>
      </c>
      <c r="O8" s="136">
        <f>IF($H8="",0,MAX(0,$K8-$L8))</f>
        <v>0</v>
      </c>
      <c r="P8" s="138">
        <f>IF($H8="","",IFERROR($L8/$K8,0))</f>
        <v>1.0</v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88.0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4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65</v>
      </c>
      <c r="J9" s="137">
        <f>IF($H9="",0,SUMIF('🎁 Gift Tracker'!$C$8:$C$67,$H9,'🎁 Gift Tracker'!$K$8:$K$67))</f>
        <v>36.0</v>
      </c>
      <c r="K9" s="136">
        <f>IF($H9="",0,COUNTIF('🎁 Gift Tracker'!$C$8:$C$67,$H9))</f>
        <v>2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1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1</v>
      </c>
      <c r="P9" s="138">
        <f>IF($H9="","",IFERROR($L9/$K9,0))</f>
        <v>0.5</v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3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275</v>
      </c>
      <c r="J10" s="137">
        <f>IF($H10="",0,SUMIF('🎁 Gift Tracker'!$C$8:$C$67,$H10,'🎁 Gift Tracker'!$K$8:$K$67))</f>
        <v>254.0</v>
      </c>
      <c r="K10" s="136">
        <f>IF($H10="",0,COUNTIF('🎁 Gift Tracker'!$C$8:$C$67,$H10))</f>
        <v>2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1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1</v>
      </c>
      <c r="P10" s="138">
        <f>IF($H10="","",IFERROR($L10/$K10,0))</f>
        <v>0.5</v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45.0</v>
      </c>
      <c r="AA10" s="139">
        <f>IF(OR('🎁 Gift Tracker'!$Q$16="",'🎁 Gift Tracker'!$Q$16&lt;TODAY(),'🎁 Gift Tracker'!$N$16="📦 Delivered"),"",'🎁 Gift Tracker'!$Q$16)</f>
        <v>46375.0</v>
      </c>
      <c r="AB10" s="135" t="str">
        <f>IF($AA$10="","","🎁 "&amp;'🎁 Gift Tracker'!$E$16&amp;" — "&amp;'🎁 Gift Tracker'!$C$16)</f>
        <v>🎁 Gold hoop earrings — Sister Emily</v>
      </c>
      <c r="AC10" s="136">
        <f>IF($AA$10="","",$AA$10-TODAY())</f>
        <v>98</v>
      </c>
      <c r="AE10" s="135" t="s">
        <v>47</v>
      </c>
      <c r="AF10" s="140">
        <f>MAX(0,$AF$5-$AF$6)</f>
        <v>5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52</v>
      </c>
      <c r="J11" s="137">
        <f>IF($H11="",0,SUMIF('🎁 Gift Tracker'!$C$8:$C$67,$H11,'🎁 Gift Tracker'!$K$8:$K$67))</f>
        <v>28.5</v>
      </c>
      <c r="K11" s="136">
        <f>IF($H11="",0,COUNTIF('🎁 Gift Tracker'!$C$8:$C$67,$H11))</f>
        <v>2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1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1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1</v>
      </c>
      <c r="O11" s="136">
        <f>IF($H11="",0,MAX(0,$K11-$L11))</f>
        <v>1</v>
      </c>
      <c r="P11" s="138">
        <f>IF($H11="","",IFERROR($L11/$K11,0))</f>
        <v>0.5</v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137.0</v>
      </c>
      <c r="AA11" s="139">
        <f>IF(OR('🎁 Gift Tracker'!$Q$17="",'🎁 Gift Tracker'!$Q$17&lt;TODAY(),'🎁 Gift Tracker'!$N$17="📦 Delivered"),"",'🎁 Gift Tracker'!$Q$17)</f>
        <v>46375.0</v>
      </c>
      <c r="AB11" s="135" t="str">
        <f>IF($AA$11="","","🎁 "&amp;'🎁 Gift Tracker'!$E$17&amp;" — "&amp;'🎁 Gift Tracker'!$C$17)</f>
        <v>🎁 Bath bomb gift box — Sister Emily</v>
      </c>
      <c r="AC11" s="136">
        <f>IF($AA$11="","",$AA$11-TODAY())</f>
        <v>98</v>
      </c>
      <c r="AE11" s="135" t="s">
        <v>48</v>
      </c>
      <c r="AF11" s="140">
        <f>MAX(0,$AF$6-$AF$7)</f>
        <v>7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65</v>
      </c>
      <c r="J12" s="137">
        <f>IF($H12="",0,SUMIF('🎁 Gift Tracker'!$C$8:$C$67,$H12,'🎁 Gift Tracker'!$K$8:$K$67))</f>
        <v>32.0</v>
      </c>
      <c r="K12" s="136">
        <f>IF($H12="",0,COUNTIF('🎁 Gift Tracker'!$C$8:$C$67,$H12))</f>
        <v>2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1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1</v>
      </c>
      <c r="P12" s="138">
        <f>IF($H12="","",IFERROR($L12/$K12,0))</f>
        <v>0.5</v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32.0</v>
      </c>
      <c r="AA12" s="139">
        <f>IF(OR('🎁 Gift Tracker'!$Q$18="",'🎁 Gift Tracker'!$Q$18&lt;TODAY(),'🎁 Gift Tracker'!$N$18="📦 Delivered"),"",'🎁 Gift Tracker'!$Q$18)</f>
        <v>46377.0</v>
      </c>
      <c r="AB12" s="135" t="str">
        <f>IF($AA$12="","","🎁 "&amp;'🎁 Gift Tracker'!$E$18&amp;" — "&amp;'🎁 Gift Tracker'!$C$18)</f>
        <v>🎁 Wireless earbuds — Brother Jack</v>
      </c>
      <c r="AC12" s="136">
        <f>IF($AA$12="","",$AA$12-TODAY())</f>
        <v>100</v>
      </c>
      <c r="AE12" s="135" t="s">
        <v>49</v>
      </c>
      <c r="AF12" s="141">
        <f>IFERROR($AF$5/$AF$4,0)</f>
        <v>0.72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58</v>
      </c>
      <c r="J13" s="137">
        <f>IF($H13="",0,SUMIF('🎁 Gift Tracker'!$C$8:$C$67,$H13,'🎁 Gift Tracker'!$K$8:$K$67))</f>
        <v>53.5</v>
      </c>
      <c r="K13" s="136">
        <f>IF($H13="",0,COUNTIF('🎁 Gift Tracker'!$C$8:$C$67,$H13))</f>
        <v>2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2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2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1</v>
      </c>
      <c r="O13" s="136">
        <f>IF($H13="",0,MAX(0,$K13-$L13))</f>
        <v>0</v>
      </c>
      <c r="P13" s="138">
        <f>IF($H13="","",IFERROR($L13/$K13,0))</f>
        <v>1.0</v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>46372.0</v>
      </c>
      <c r="AB13" s="135" t="str">
        <f>IF($AA$13="","","🎁 "&amp;'🎁 Gift Tracker'!$E$19&amp;" — "&amp;'🎁 Gift Tracker'!$C$19)</f>
        <v>🎁 Craft beer hamper — Brother Jack</v>
      </c>
      <c r="AC13" s="136">
        <f>IF($AA$13="","",$AA$13-TODAY())</f>
        <v>95</v>
      </c>
      <c r="AE13" s="135" t="s">
        <v>50</v>
      </c>
      <c r="AF13" s="140">
        <f>COUNTIF($K$2:$K$17,"&gt;0")</f>
        <v>13</v>
      </c>
    </row>
    <row r="14" spans="1:34">
      <c r="A14" s="135" t="s">
        <v>15</v>
      </c>
      <c r="B14" s="136"/>
      <c r="C14" s="136"/>
      <c r="H14" s="135" t="str">
        <f>IF('⚙️ Setup'!$B$42="","",'⚙️ Setup'!$B$42)</f>
        <v>Uncle Bill</v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77.22692307692309</v>
      </c>
    </row>
    <row r="15" spans="1:34">
      <c r="A15" s="135" t="s">
        <v>16</v>
      </c>
      <c r="B15" s="136"/>
      <c r="C15" s="136"/>
      <c r="H15" s="135" t="str">
        <f>IF('⚙️ Setup'!$B$43="","",'⚙️ Setup'!$B$43)</f>
        <v>Secret Santa</v>
      </c>
      <c r="I15" s="137">
        <f>IF($H15="",0,SUMIF('🎁 Gift Tracker'!$C$8:$C$67,$H15,'🎁 Gift Tracker'!$J$8:$J$67))</f>
        <v>15</v>
      </c>
      <c r="J15" s="137">
        <f>IF($H15="",0,SUMIF('🎁 Gift Tracker'!$C$8:$C$67,$H15,'🎁 Gift Tracker'!$K$8:$K$67))</f>
        <v>12.99</v>
      </c>
      <c r="K15" s="136">
        <f>IF($H15="",0,COUNTIF('🎁 Gift Tracker'!$C$8:$C$67,$H15))</f>
        <v>1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1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>1.0</v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20.0</v>
      </c>
      <c r="AA15" s="139">
        <f>IF(OR('🎁 Gift Tracker'!$Q$21="",'🎁 Gift Tracker'!$Q$21&lt;TODAY(),'🎁 Gift Tracker'!$N$21="📦 Delivered"),"",'🎁 Gift Tracker'!$Q$21)</f>
        <v>46374.0</v>
      </c>
      <c r="AB15" s="135" t="str">
        <f>IF($AA$15="","","🎁 "&amp;'🎁 Gift Tracker'!$E$21&amp;" — "&amp;'🎁 Gift Tracker'!$C$21)</f>
        <v>🎁 Art supplies case — Niece Sophie</v>
      </c>
      <c r="AC15" s="136">
        <f>IF($AA$15="","",$AA$15-TODAY())</f>
        <v>97</v>
      </c>
      <c r="AE15" s="135" t="s">
        <v>52</v>
      </c>
      <c r="AF15" s="142">
        <f>SUM('🎁 Gift Tracker'!$J$8:$J$67)</f>
        <v>1177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>46378.0</v>
      </c>
      <c r="AB16" s="135" t="str">
        <f>IF($AA$16="","","🎁 "&amp;'🎁 Gift Tracker'!$E$22&amp;" — "&amp;'🎁 Gift Tracker'!$C$22)</f>
        <v>🎁 Dinosaur museum tickets — Nephew Leo</v>
      </c>
      <c r="AC16" s="136">
        <f>IF($AA$16="","",$AA$16-TODAY())</f>
        <v>101</v>
      </c>
      <c r="AE16" s="135" t="s">
        <v>53</v>
      </c>
      <c r="AF16" s="142">
        <f>SUM('🎁 Gift Tracker'!$K$8:$K$67)</f>
        <v>1003.95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201.0</v>
      </c>
      <c r="AA17" s="139">
        <f>IF(OR('🎁 Gift Tracker'!$Q$23="",'🎁 Gift Tracker'!$Q$23&lt;TODAY(),'🎁 Gift Tracker'!$N$23="📦 Delivered"),"",'🎁 Gift Tracker'!$Q$23)</f>
        <v>46378.0</v>
      </c>
      <c r="AB17" s="135" t="str">
        <f>IF($AA$17="","","🎁 "&amp;'🎁 Gift Tracker'!$E$23&amp;" — "&amp;'🎁 Gift Tracker'!$C$23)</f>
        <v>🎁 Graphic novel bundle — Nephew Leo</v>
      </c>
      <c r="AC17" s="136">
        <f>IF($AA$17="","",$AA$17-TODAY())</f>
        <v>101</v>
      </c>
      <c r="AE17" s="135" t="s">
        <v>54</v>
      </c>
      <c r="AF17" s="142">
        <f>SUM('💰 Budget'!$C$15:$C$24)</f>
        <v>1500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>46379.0</v>
      </c>
      <c r="AB18" s="135" t="str">
        <f>IF($AA$18="","","🎁 "&amp;'🎁 Gift Tracker'!$E$24&amp;" — "&amp;'🎁 Gift Tracker'!$C$24)</f>
        <v>🎁 Weekend getaway — Alex (partner)</v>
      </c>
      <c r="AC18" s="136">
        <f>IF($AA$18="","",$AA$18-TODAY())</f>
        <v>102</v>
      </c>
      <c r="AE18" s="135" t="s">
        <v>55</v>
      </c>
      <c r="AF18" s="142">
        <f>SUM('💰 Budget'!$F$15:$F$24)</f>
        <v>1318.3200000000002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>46376.0</v>
      </c>
      <c r="AB19" s="135" t="str">
        <f>IF($AA$19="","","🎁 "&amp;'🎁 Gift Tracker'!$E$25&amp;" — "&amp;'🎁 Gift Tracker'!$C$25)</f>
        <v>🎁 Engraved watch — Alex (partner)</v>
      </c>
      <c r="AC19" s="136">
        <f>IF($AA$19="","",$AA$19-TODAY())</f>
        <v>99</v>
      </c>
      <c r="AE19" s="135" t="s">
        <v>56</v>
      </c>
      <c r="AF19" s="142">
        <f>$AF$17-$AF$18</f>
        <v>181.67999999999984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0.8788800000000001</v>
      </c>
    </row>
    <row r="21" spans="1:32">
      <c r="AA21" s="139">
        <f>IF(OR('🎁 Gift Tracker'!$Q$27="",'🎁 Gift Tracker'!$Q$27&lt;TODAY(),'🎁 Gift Tracker'!$N$27="📦 Delivered"),"",'🎁 Gift Tracker'!$Q$27)</f>
        <v>46375.0</v>
      </c>
      <c r="AB21" s="135" t="str">
        <f>IF($AA$21="","","🎁 "&amp;'🎁 Gift Tracker'!$E$27&amp;" — "&amp;'🎁 Gift Tracker'!$C$27)</f>
        <v>🎁 Baking cookbook — Maya (best friend)</v>
      </c>
      <c r="AC21" s="136">
        <f>IF($AA$21="","",$AA$21-TODAY())</f>
        <v>98</v>
      </c>
      <c r="AE21" s="135" t="s">
        <v>58</v>
      </c>
      <c r="AF21" s="140">
        <f>COUNTA('🛍️ Shopping List'!$C$8:$C$52)</f>
        <v>24</v>
      </c>
    </row>
    <row r="22" spans="1:32">
      <c r="AA22" s="139">
        <f>IF(OR('🎁 Gift Tracker'!$Q$28="",'🎁 Gift Tracker'!$Q$28&lt;TODAY(),'🎁 Gift Tracker'!$N$28="📦 Delivered"),"",'🎁 Gift Tracker'!$Q$28)</f>
        <v>46373.0</v>
      </c>
      <c r="AB22" s="135" t="str">
        <f>IF($AA$22="","","🎁 "&amp;'🎁 Gift Tracker'!$E$28&amp;" — "&amp;'🎁 Gift Tracker'!$C$28)</f>
        <v>🎁 Strategy board game — Cousin Dan</v>
      </c>
      <c r="AC22" s="136">
        <f>IF($AA$22="","",$AA$22-TODAY())</f>
        <v>96</v>
      </c>
      <c r="AE22" s="135" t="s">
        <v>59</v>
      </c>
      <c r="AF22" s="140">
        <f>COUNTIF('🛍️ Shopping List'!$I$8:$I$52,"✓")</f>
        <v>13</v>
      </c>
    </row>
    <row r="23" spans="1:32">
      <c r="AA23" s="139">
        <f>IF(OR('🎁 Gift Tracker'!$Q$29="",'🎁 Gift Tracker'!$Q$29&lt;TODAY(),'🎁 Gift Tracker'!$N$29="📦 Delivered"),"",'🎁 Gift Tracker'!$Q$29)</f>
        <v>46373.0</v>
      </c>
      <c r="AB23" s="135" t="str">
        <f>IF($AA$23="","","🎁 "&amp;'🎁 Gift Tracker'!$E$29&amp;" — "&amp;'🎁 Gift Tracker'!$C$29)</f>
        <v>🎁 Coffee bean subscription — Cousin Dan</v>
      </c>
      <c r="AC23" s="136">
        <f>IF($AA$23="","",$AA$23-TODAY())</f>
        <v>96</v>
      </c>
      <c r="AE23" s="135" t="s">
        <v>60</v>
      </c>
      <c r="AF23" s="142">
        <f>SUM('🛍️ Shopping List'!$K$8:$K$52)</f>
        <v>163.39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14</v>
      </c>
    </row>
    <row r="25" spans="1:32">
      <c r="AA25" s="139">
        <f>IF(OR('🎁 Gift Tracker'!$Q$31="",'🎁 Gift Tracker'!$Q$31&lt;TODAY(),'🎁 Gift Tracker'!$N$31="📦 Delivered"),"",'🎁 Gift Tracker'!$Q$31)</f>
        <v>46374.0</v>
      </c>
      <c r="AB25" s="135" t="str">
        <f>IF($AA$25="","","🎁 "&amp;'🎁 Gift Tracker'!$E$31&amp;" — "&amp;'🎁 Gift Tracker'!$C$31)</f>
        <v>🎁 Garden gloves &amp; tool set — Aunt Carol</v>
      </c>
      <c r="AC25" s="136">
        <f>IF($AA$25="","",$AA$25-TODAY())</f>
        <v>97</v>
      </c>
      <c r="AE25" s="135" t="s">
        <v>62</v>
      </c>
      <c r="AF25" s="140">
        <f>COUNTIF('💌 Card Tracker'!$G$8:$G$47,"✓")</f>
        <v>9</v>
      </c>
    </row>
    <row r="26" spans="1:32">
      <c r="AA26" s="139">
        <f>IF(OR('🎁 Gift Tracker'!$Q$32="",'🎁 Gift Tracker'!$Q$32&lt;TODAY(),'🎁 Gift Tracker'!$N$32="📦 Delivered"),"",'🎁 Gift Tracker'!$Q$32)</f>
        <v>46377.0</v>
      </c>
      <c r="AB26" s="135" t="str">
        <f>IF($AA$26="","","🎁 "&amp;'🎁 Gift Tracker'!$E$32&amp;" — "&amp;'🎁 Gift Tracker'!$C$32)</f>
        <v>🎁 Novelty reindeer mug — Secret Santa</v>
      </c>
      <c r="AC26" s="136">
        <f>IF($AA$26="","",$AA$26-TODAY())</f>
        <v>100</v>
      </c>
      <c r="AE26" s="135" t="s">
        <v>63</v>
      </c>
      <c r="AF26" s="140">
        <f>COUNTIF('💌 Card Tracker'!$H$8:$H$47,"✓")</f>
        <v>7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144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108.5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16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13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8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4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417.47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7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12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5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590.0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/>
      </c>
      <c r="AB62" s="135">
        <f>IF($AA$62="","","✅ "&amp;'✅ To-Do List'!$C$8)</f>
        <v/>
      </c>
      <c r="AC62" s="136">
        <f>IF($AA$62="","",$AA$62-TODAY())</f>
        <v/>
      </c>
    </row>
    <row r="63" spans="27:29">
      <c r="AA63" s="139">
        <f>IF(OR('✅ To-Do List'!$E$9="",'✅ To-Do List'!$B$9="✓",'✅ To-Do List'!$E$9&lt;TODAY()),"",'✅ To-Do List'!$E$9)</f>
        <v/>
      </c>
      <c r="AB63" s="135">
        <f>IF($AA$63="","","✅ "&amp;'✅ To-Do List'!$C$9)</f>
        <v/>
      </c>
      <c r="AC63" s="136">
        <f>IF($AA$63="","",$AA$63-TODAY())</f>
        <v/>
      </c>
    </row>
    <row r="64" spans="27:29">
      <c r="AA64" s="139">
        <f>IF(OR('✅ To-Do List'!$E$10="",'✅ To-Do List'!$B$10="✓",'✅ To-Do List'!$E$10&lt;TODAY()),"",'✅ To-Do List'!$E$10)</f>
        <v/>
      </c>
      <c r="AB64" s="135">
        <f>IF($AA$64="","","✅ "&amp;'✅ To-Do List'!$C$10)</f>
        <v/>
      </c>
      <c r="AC64" s="136">
        <f>IF($AA$64="","",$AA$64-TODAY())</f>
        <v/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/>
      </c>
      <c r="AB67" s="135">
        <f>IF($AA$67="","","✅ "&amp;'✅ To-Do List'!$C$13)</f>
        <v/>
      </c>
      <c r="AC67" s="136">
        <f>IF($AA$67="","",$AA$67-TODAY())</f>
        <v/>
      </c>
    </row>
    <row r="68" spans="27:29">
      <c r="AA68" s="139">
        <f>IF(OR('✅ To-Do List'!$E$14="",'✅ To-Do List'!$B$14="✓",'✅ To-Do List'!$E$14&lt;TODAY()),"",'✅ To-Do List'!$E$14)</f>
        <v/>
      </c>
      <c r="AB68" s="135">
        <f>IF($AA$68="","","✅ "&amp;'✅ To-Do List'!$C$14)</f>
        <v/>
      </c>
      <c r="AC68" s="136">
        <f>IF($AA$68="","",$AA$68-TODAY())</f>
        <v/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/>
      </c>
      <c r="AB70" s="135">
        <f>IF($AA$70="","","✅ "&amp;'✅ To-Do List'!$C$16)</f>
        <v/>
      </c>
      <c r="AC70" s="136">
        <f>IF($AA$70="","",$AA$70-TODAY())</f>
        <v/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/>
      </c>
      <c r="AB77" s="135">
        <f>IF($AA$77="","","✅ "&amp;'✅ To-Do List'!$C$23)</f>
        <v/>
      </c>
      <c r="AC77" s="136">
        <f>IF($AA$77="","",$AA$77-TODAY())</f>
        <v/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>46378.0</v>
      </c>
      <c r="AB102" s="135" t="str">
        <f>IF($AA$102="","","📦 "&amp;'📦 Order Tracker'!$D$8&amp;" — "&amp;'📦 Order Tracker'!$E$8)</f>
        <v>📦 Digital photo frame — Amazon</v>
      </c>
      <c r="AC102" s="136">
        <f>IF($AA$102="","",$AA$102-TODAY())</f>
        <v>101</v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>46377.0</v>
      </c>
      <c r="AB103" s="135" t="str">
        <f>IF($AA$103="","","📦 "&amp;'📦 Order Tracker'!$D$9&amp;" — "&amp;'📦 Order Tracker'!$E$9)</f>
        <v>📦 Wireless earbuds — Best Buy</v>
      </c>
      <c r="AC103" s="136">
        <f>IF($AA$103="","",$AA$103-TODAY())</f>
        <v>100</v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>46375.0</v>
      </c>
      <c r="AB104" s="135" t="str">
        <f>IF($AA$104="","","📦 "&amp;'📦 Order Tracker'!$D$10&amp;" — "&amp;'📦 Order Tracker'!$E$10)</f>
        <v>📦 Engraved watch — Etsy</v>
      </c>
      <c r="AC104" s="136">
        <f>IF($AA$104="","",$AA$104-TODAY())</f>
        <v>98</v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>46380.0</v>
      </c>
      <c r="AB109" s="135" t="str">
        <f>IF($AA$109="","","📦 "&amp;'📦 Order Tracker'!$D$15&amp;" — "&amp;'📦 Order Tracker'!$E$15)</f>
        <v>📦 Bath bomb gift box — Sephora</v>
      </c>
      <c r="AC109" s="136">
        <f>IF($AA$109="","",$AA$109-TODAY())</f>
        <v>103</v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2026-09-12T11:26:34Z</dcterms:created>
  <dcterms:modified xsi:type="dcterms:W3CDTF">2026-09-12T11:26:34Z</dcterms:modified>
  <cp:category>Christmas / Gift Planning Spreadsheet</cp:category>
</cp:coreProperties>
</file>