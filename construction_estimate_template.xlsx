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Project Info" sheetId="2" r:id="rId2"/>
    <sheet name="Materials" sheetId="3" r:id="rId3"/>
    <sheet name="Labor" sheetId="4" r:id="rId4"/>
    <sheet name="Equipment" sheetId="5" r:id="rId5"/>
    <sheet name="Subcontractors" sheetId="6" r:id="rId6"/>
    <sheet name="Estimate" sheetId="7" r:id="rId7"/>
    <sheet name="Markup &amp; Margin Calculator" sheetId="8" r:id="rId8"/>
    <sheet name="Job Costing &amp; Actuals" sheetId="9" r:id="rId9"/>
    <sheet name="Summary Dashboard" sheetId="10" r:id="rId10"/>
    <sheet name="Client Proposal" sheetId="11" r:id="rId11"/>
    <sheet name="Terms &amp; Conditions" sheetId="12" r:id="rId12"/>
    <sheet name="Material Price DB" sheetId="13" r:id="rId13"/>
    <sheet name="Labor Rate DB" sheetId="14" r:id="rId14"/>
    <sheet name="Estimate Versions" sheetId="15" r:id="rId15"/>
    <sheet name="Change Order Tracker" sheetId="16" r:id="rId16"/>
    <sheet name="Payment Schedule" sheetId="17" r:id="rId17"/>
    <sheet name="Invoice Summary" sheetId="18" r:id="rId18"/>
    <sheet name="Project Timeline" sheetId="19" r:id="rId19"/>
  </sheets>
  <calcPr calcId="124519"/>
</workbook>
</file>

<file path=xl/sharedStrings.xml><?xml version="1.0" encoding="utf-8"?>
<sst xmlns="http://schemas.openxmlformats.org/spreadsheetml/2006/main" count="797" uniqueCount="616">
  <si>
    <t>“Construction Estimate Template Excel | Contractor Bid &amp; Job Costing Spreadsheet, Markup Margin Calculator, Proposal Generator Google Sheets”</t>
  </si>
  <si>
    <t xml:space="preserve">  Template Author: novality store  |  Formula Protection Password: premium  |  Excel &amp; Google Sheets Compatible</t>
  </si>
  <si>
    <t>TEMPLATE OVERVIEW &amp; KEY SELLING POINTS</t>
  </si>
  <si>
    <t>Welcome to the novality store Construction Estimate &amp; Contractor Bid Template! This commercial-grade spreadsheet is engineered for general contractors, remodelers, builders, electricians, plumbers, roofers, painters, and specialty trades. It features automatic cost calculations, itemized trade breakdown sheets, an advanced markup &amp; margin calculator, job costing variance tracking, and a printable client proposal generator.</t>
  </si>
  <si>
    <t>CELL COLOR &amp; INPUT LEGEND</t>
  </si>
  <si>
    <t>White Cells with Border</t>
  </si>
  <si>
    <t>Editable User Input Cells (Data entry, quantities, prices, notes)</t>
  </si>
  <si>
    <t>Soft Blue / Gray Cells</t>
  </si>
  <si>
    <t>Locked Formula &amp; Read-Only Cells (Protected with password: premium)</t>
  </si>
  <si>
    <t>Navy / Slate / Gold Banners</t>
  </si>
  <si>
    <t>Section Headers, Table Banners &amp; Accounting Grand Totals</t>
  </si>
  <si>
    <t>STEP-BY-STEP USER WORKFLOW</t>
  </si>
  <si>
    <t xml:space="preserve">  Step 1: Project Info &amp; Global Rates</t>
  </si>
  <si>
    <t>Go to the 'Project Info' tab. Enter client details, contractor company info, and global rates (Sales Tax %, Discount %, Overhead %, Contingency %, and default trade Markups). These rates link automatically across the entire workbook.</t>
  </si>
  <si>
    <t xml:space="preserve">  Step 2: Enter Itemized Costs</t>
  </si>
  <si>
    <t>Use the 'Materials', 'Labor', 'Equipment', and 'Subcontractors' tabs to enter detailed line items for each trade. Quantities, unit costs, and hours will automatically calculate line totals and sheet subtotals.</t>
  </si>
  <si>
    <t xml:space="preserve">  Step 3: Build &amp; Review Estimate</t>
  </si>
  <si>
    <t>Open the 'Estimate' tab. This master sheet compiles your itemized trade costs, applies Overhead and Contingency allowances, adds your calculated Markup, and computes the final Contract Bid Price.</t>
  </si>
  <si>
    <t xml:space="preserve">  Step 4: Configure Markup &amp; Margin</t>
  </si>
  <si>
    <t>Visit the 'Markup &amp; Margin Calculator' tab to fine-tune separate markup percentages for Materials, Labor, Equipment, and Subcontractors. Check the comparison table to see equivalent profit margins or use the Target Margin Reverse Calculator.</t>
  </si>
  <si>
    <t xml:space="preserve">  Step 5: Generate Client Proposal</t>
  </si>
  <si>
    <t>Switch to the 'Client Proposal' tab. Your project scope, contractor details, and pricing summary are auto-populated into a clean, print-ready, invoice-style proposal page ready for client signature.</t>
  </si>
  <si>
    <t xml:space="preserve">  Step 6: Track Actual Job Costs</t>
  </si>
  <si>
    <t>During construction, log your actual field costs on the 'Job Costing &amp; Actuals' tab. Track budget variances in real time and view profitability performance on the executive 'Summary Dashboard'.</t>
  </si>
  <si>
    <t>PROJECT, CLIENT &amp; CONTRACTOR SETUP (GLOBAL PARAMETERS)</t>
  </si>
  <si>
    <t>1. PROJECT &amp; CLIENT DETAILS</t>
  </si>
  <si>
    <t>Project Name</t>
  </si>
  <si>
    <t>Luxury Kitchen &amp; Living Area Remodel</t>
  </si>
  <si>
    <t>Client / Owner Name</t>
  </si>
  <si>
    <t>Robert Sterling / Apex Properties</t>
  </si>
  <si>
    <t>Jobsite Location</t>
  </si>
  <si>
    <t>742 Evergreen Terrace, Suite 300</t>
  </si>
  <si>
    <t>Estimate Number</t>
  </si>
  <si>
    <t>EST-2026-042</t>
  </si>
  <si>
    <t>Estimate Date</t>
  </si>
  <si>
    <t>2026-07-31</t>
  </si>
  <si>
    <t>Proposal Expiration Date</t>
  </si>
  <si>
    <t>2026-08-30</t>
  </si>
  <si>
    <t>Scope of Work Summary</t>
  </si>
  <si>
    <t>Full kitchen demolition, custom cabinetry, quartz countertops, electrical &amp; plumbing relocation, hardwood flooring, and ambient LED lighting.</t>
  </si>
  <si>
    <t>2. CONTRACTOR &amp; COMPANY DETAILS</t>
  </si>
  <si>
    <t>Contractor / Company Name</t>
  </si>
  <si>
    <t>Novality Construction &amp; Design LLC</t>
  </si>
  <si>
    <t>Primary Contact / Estimator</t>
  </si>
  <si>
    <t>David Novality, Master Contractor</t>
  </si>
  <si>
    <t>Company Business Address</t>
  </si>
  <si>
    <t>100 Professional Way, Suite 400</t>
  </si>
  <si>
    <t>Phone Number</t>
  </si>
  <si>
    <t>(555) 382-9100</t>
  </si>
  <si>
    <t>Email Address</t>
  </si>
  <si>
    <t>estimating@novalitystore.com</t>
  </si>
  <si>
    <t>Contractor License #</t>
  </si>
  <si>
    <t>LIC-GEN-884210</t>
  </si>
  <si>
    <t>Tax ID / EIN #</t>
  </si>
  <si>
    <t>XX-XXX8842</t>
  </si>
  <si>
    <t>3. FINANCIAL, TAX &amp; CONTINGENCY SETTINGS</t>
  </si>
  <si>
    <t>Sales Tax Rate (%)</t>
  </si>
  <si>
    <t>Preferred Client Discount Rate (%)</t>
  </si>
  <si>
    <t>Contingency Allowance Rate (%)</t>
  </si>
  <si>
    <t>General Overhead Rate (%)</t>
  </si>
  <si>
    <t>Target Profit Margin (%)</t>
  </si>
  <si>
    <t>Default Material Markup (%)</t>
  </si>
  <si>
    <t>Default Labor Markup (%)</t>
  </si>
  <si>
    <t>Default Subcontractor Markup (%)</t>
  </si>
  <si>
    <t>Default Equipment Markup (%)</t>
  </si>
  <si>
    <t>GLOBAL RATE SUMMARY NOTE</t>
  </si>
  <si>
    <t>These global percentages feed directly into the master Estimate and Markup Calculator sheets. Overhead (E8) and Contingency (E7) allowances are applied to Total Direct Costs before Markup. Sales Tax (E5) is applied after preferred discount deductions.</t>
  </si>
  <si>
    <t>ITEMIZED MATERIALS COST SHEET (DIRECT MATERIAL QUANTITY &amp; PRICE BREAKDOWN)</t>
  </si>
  <si>
    <t xml:space="preserve">  Enter material SKUs, supplier vendors, quantities, and unit prices. Line totals calculate automatically.</t>
  </si>
  <si>
    <t>Item SKU</t>
  </si>
  <si>
    <t>Material Description &amp; Specification</t>
  </si>
  <si>
    <t>Trade Category</t>
  </si>
  <si>
    <t>Supplier / Vendor</t>
  </si>
  <si>
    <t>Quantity</t>
  </si>
  <si>
    <t>Unit</t>
  </si>
  <si>
    <t>Unit Cost ($)</t>
  </si>
  <si>
    <t>Tax / Freight ($)</t>
  </si>
  <si>
    <t>Total Cost ($)</t>
  </si>
  <si>
    <t>MAT-101</t>
  </si>
  <si>
    <t>Custom Shaker Shading Shaker Base Cabinets</t>
  </si>
  <si>
    <t>Cabinetry</t>
  </si>
  <si>
    <t>Craftsman Cabinet Co.</t>
  </si>
  <si>
    <t>Set</t>
  </si>
  <si>
    <t>MAT-102</t>
  </si>
  <si>
    <t>Custom Shaker Wall &amp; Pantry Cabinets</t>
  </si>
  <si>
    <t>MAT-103</t>
  </si>
  <si>
    <t>Calacatta Gold White Quartz Countertop Slab</t>
  </si>
  <si>
    <t>Countertops</t>
  </si>
  <si>
    <t>Apex Stone &amp; Tile</t>
  </si>
  <si>
    <t>SqFt</t>
  </si>
  <si>
    <t>MAT-104</t>
  </si>
  <si>
    <t>Engineered Oak Wide Plank Hardwood Flooring</t>
  </si>
  <si>
    <t>Flooring</t>
  </si>
  <si>
    <t>Prime Flooring Dist.</t>
  </si>
  <si>
    <t>MAT-105</t>
  </si>
  <si>
    <t>Hardwood Underlayment &amp; Moisture Barrier</t>
  </si>
  <si>
    <t>MAT-106</t>
  </si>
  <si>
    <t>Recessed 6-inch LED Dimmable Fixture Bundle</t>
  </si>
  <si>
    <t>Electrical</t>
  </si>
  <si>
    <t>Lumens Direct Wholesale</t>
  </si>
  <si>
    <t>MAT-107</t>
  </si>
  <si>
    <t>Decorative Kitchen Pendant Lighting Array</t>
  </si>
  <si>
    <t>MAT-108</t>
  </si>
  <si>
    <t>Architectural Interior Primer (5-Gal Pail)</t>
  </si>
  <si>
    <t>Paint</t>
  </si>
  <si>
    <t>Sherwin-Williams Pro</t>
  </si>
  <si>
    <t>Pail</t>
  </si>
  <si>
    <t>MAT-109</t>
  </si>
  <si>
    <t>Premium Satin Enamel Paint (5-Gal Pail)</t>
  </si>
  <si>
    <t>MAT-110</t>
  </si>
  <si>
    <t>High-End Kitchen Sink &amp; Commercial Faucet</t>
  </si>
  <si>
    <t>Plumbing</t>
  </si>
  <si>
    <t>Ferguson Plumbing Sup.</t>
  </si>
  <si>
    <t>MAT-111</t>
  </si>
  <si>
    <t>Ceramic Subway Tile Backsplash Bundle</t>
  </si>
  <si>
    <t>Tile</t>
  </si>
  <si>
    <t>MAT-112</t>
  </si>
  <si>
    <t>Drywall, Compound &amp; Trim Lumber Package</t>
  </si>
  <si>
    <t>Lumber / Prep</t>
  </si>
  <si>
    <t>Home Depot Pro</t>
  </si>
  <si>
    <t>Lot</t>
  </si>
  <si>
    <t>TOTAL DIRECT MATERIAL COST ($)</t>
  </si>
  <si>
    <t>ITEMIZED LABOR COST SHEET (CRAFT HOURS, REGULAR WAGES &amp; OVERTIME)</t>
  </si>
  <si>
    <t xml:space="preserve">  Enter craft roles, crew size, standard hours, and hourly billing rates. Overtime is tracked separately.</t>
  </si>
  <si>
    <t>Task Code</t>
  </si>
  <si>
    <t>Craft Role &amp; Task Description</t>
  </si>
  <si>
    <t>Crew Size</t>
  </si>
  <si>
    <t>Reg. Hours</t>
  </si>
  <si>
    <t>Reg. Rate ($/hr)</t>
  </si>
  <si>
    <t>OT Hours</t>
  </si>
  <si>
    <t>OT Rate ($/hr)</t>
  </si>
  <si>
    <t>Total Labor Cost ($)</t>
  </si>
  <si>
    <t>LAB-201</t>
  </si>
  <si>
    <t>Selective Kitchen Demolition &amp; Haul Prep</t>
  </si>
  <si>
    <t>LAB-202</t>
  </si>
  <si>
    <t>Structural Header &amp; Framing Modification</t>
  </si>
  <si>
    <t>LAB-203</t>
  </si>
  <si>
    <t>Custom Cabinetry &amp; Island Box Installation</t>
  </si>
  <si>
    <t>LAB-204</t>
  </si>
  <si>
    <t>Finish Carpentry, Crown Molding &amp; Trim</t>
  </si>
  <si>
    <t>LAB-205</t>
  </si>
  <si>
    <t>Drywall Hanging, Taping &amp; Sanding Prep</t>
  </si>
  <si>
    <t>LAB-206</t>
  </si>
  <si>
    <t>Engineered Hardwood Floor Installation</t>
  </si>
  <si>
    <t>LAB-207</t>
  </si>
  <si>
    <t>Ceramic Tile Backsplash Layout &amp; Setting</t>
  </si>
  <si>
    <t>LAB-208</t>
  </si>
  <si>
    <t>Interior Spray Primer &amp; Architectural Paint</t>
  </si>
  <si>
    <t>LAB-209</t>
  </si>
  <si>
    <t>Project Supervisor &amp; Quality Control Audit</t>
  </si>
  <si>
    <t>LAB-210</t>
  </si>
  <si>
    <t>Jobsite Cleanup, Dust Control &amp; Sanitizing</t>
  </si>
  <si>
    <t>TOTAL DIRECT LABOR COST ($)</t>
  </si>
  <si>
    <t>EQUIPMENT RENTAL &amp; SPECIAL TOOLING COST SHEET</t>
  </si>
  <si>
    <t xml:space="preserve">  Track equipment rentals, daily/weekly rates, delivery fees, and owned tool allowances.</t>
  </si>
  <si>
    <t>Equip. ID</t>
  </si>
  <si>
    <t>Equipment Name &amp; Specification</t>
  </si>
  <si>
    <t>Ownership Type</t>
  </si>
  <si>
    <t>Rate Period</t>
  </si>
  <si>
    <t>Rate ($)</t>
  </si>
  <si>
    <t>Qty / Days</t>
  </si>
  <si>
    <t>Delivery Fee ($)</t>
  </si>
  <si>
    <t>EQP-301</t>
  </si>
  <si>
    <t>20-Yard Roll-Off Waste Dumpster Rental</t>
  </si>
  <si>
    <t>Rental</t>
  </si>
  <si>
    <t>Flat Rate</t>
  </si>
  <si>
    <t>EQP-302</t>
  </si>
  <si>
    <t>HEPA Commercial Air Scrubber &amp; Filtration</t>
  </si>
  <si>
    <t>Owned / Allowance</t>
  </si>
  <si>
    <t>Daily Rate</t>
  </si>
  <si>
    <t>EQP-303</t>
  </si>
  <si>
    <t>Commercial Wet Tile Saw &amp; Diamond Blade</t>
  </si>
  <si>
    <t>EQP-304</t>
  </si>
  <si>
    <t>Hardwood Floor Drum Sander &amp; Edger Kit</t>
  </si>
  <si>
    <t>EQP-305</t>
  </si>
  <si>
    <t>Interior Aluminum Scaffolding &amp; Work Lift</t>
  </si>
  <si>
    <t>Weekly Rate</t>
  </si>
  <si>
    <t>EQP-306</t>
  </si>
  <si>
    <t>Temporary Site Distribution Electrical Box</t>
  </si>
  <si>
    <t>EQP-307</t>
  </si>
  <si>
    <t>High-Capacity Dehumidifier &amp; Blower Array</t>
  </si>
  <si>
    <t>EQP-308</t>
  </si>
  <si>
    <t>Material Hoist &amp; Cabinet Dolly Package</t>
  </si>
  <si>
    <t>TOTAL DIRECT EQUIPMENT &amp; RENTAL COST ($)</t>
  </si>
  <si>
    <t>LICENSED SUBCONTRACTOR PACKAGE &amp; QUOTE SHEET</t>
  </si>
  <si>
    <t xml:space="preserve">  Manage subcontractor bids, verify license/insurance, and calculate markup amounts per package.</t>
  </si>
  <si>
    <t>Sub. Code</t>
  </si>
  <si>
    <t>Subcontractor Company</t>
  </si>
  <si>
    <t>Scope of Work &amp; Package Description</t>
  </si>
  <si>
    <t>Quoted Cost ($)</t>
  </si>
  <si>
    <t>Markup %</t>
  </si>
  <si>
    <t>Markup Amt ($)</t>
  </si>
  <si>
    <t>Billed Amount ($)</t>
  </si>
  <si>
    <t>License Verified</t>
  </si>
  <si>
    <t>SUB-401</t>
  </si>
  <si>
    <t>Spark Systems Electric LLC</t>
  </si>
  <si>
    <t>200A Service Panel Upgrade &amp; LED Wiring Rough/Finish</t>
  </si>
  <si>
    <t>Yes - Verified</t>
  </si>
  <si>
    <t>SUB-402</t>
  </si>
  <si>
    <t>Apex Mechanical Plumbing Co.</t>
  </si>
  <si>
    <t>Kitchen Sink Reroute, Gas Line Extension &amp; Appliance Hookup</t>
  </si>
  <si>
    <t>SUB-403</t>
  </si>
  <si>
    <t>Breeze Comfort HVAC LLC</t>
  </si>
  <si>
    <t>Range Hood Duct Reroute &amp; Supply Register Diffusers</t>
  </si>
  <si>
    <t>TOTAL SUBCONTRACTOR PACKAGE COSTS ($)</t>
  </si>
  <si>
    <t>CONSTRUCTION ESTIMATE &amp; CONTRACTOR BID TEMPLATE</t>
  </si>
  <si>
    <t xml:space="preserve">  Dynamic bid sheet compiling itemized costs, overhead, contingency, and markup.</t>
  </si>
  <si>
    <t>PROJECT &amp; CLIENT INFORMATION</t>
  </si>
  <si>
    <t>BID ESTIMATE &amp; CONTRACTOR DETAILS</t>
  </si>
  <si>
    <t>Project Name:</t>
  </si>
  <si>
    <t>Estimate Number:</t>
  </si>
  <si>
    <t>Client / Owner:</t>
  </si>
  <si>
    <t>Estimate Date:</t>
  </si>
  <si>
    <t>Job Location:</t>
  </si>
  <si>
    <t>Contractor:</t>
  </si>
  <si>
    <t>Scope Summary:</t>
  </si>
  <si>
    <t>Item #</t>
  </si>
  <si>
    <t>Cost Category &amp; Item Specification</t>
  </si>
  <si>
    <t>Trade Source</t>
  </si>
  <si>
    <t>1. DIRECT MATERIALS &amp; FIXTURE PACKAGES</t>
  </si>
  <si>
    <t>Custom Cabinetry &amp; Millwork Package</t>
  </si>
  <si>
    <t>Materials Sheet</t>
  </si>
  <si>
    <t>Calacatta Gold Quartz Countertops &amp; Backsplash</t>
  </si>
  <si>
    <t>Engineered Hardwood Flooring &amp; Moisture Barrier</t>
  </si>
  <si>
    <t>Recessed &amp; Decorative LED Lighting Bundle</t>
  </si>
  <si>
    <t>Architectural Interior Primers &amp; Enamel Paints</t>
  </si>
  <si>
    <t>SUBTOTAL DIRECT MATERIALS ($)</t>
  </si>
  <si>
    <t>2. DIRECT LABOR &amp; CRAFTSMANSHIP HOURS</t>
  </si>
  <si>
    <t>Selective Kitchen Demolition, Haul &amp; Structural Prep</t>
  </si>
  <si>
    <t>Labor Sheet</t>
  </si>
  <si>
    <t>Master Cabinetry, Millwork &amp; Island Installation</t>
  </si>
  <si>
    <t>Drywall Framing, Hanging, Taping &amp; Sanding</t>
  </si>
  <si>
    <t>Precision Interior Spray Painting &amp; Enamel Trim Finish</t>
  </si>
  <si>
    <t>SUBTOTAL DIRECT LABOR ($)</t>
  </si>
  <si>
    <t>3. LICENSED SUBCONTRACTOR SPECIALTY SERVICES</t>
  </si>
  <si>
    <t>Licensed Electrical Wiring &amp; Service Panel Upgrade</t>
  </si>
  <si>
    <t>Pkg</t>
  </si>
  <si>
    <t>Subcontractors</t>
  </si>
  <si>
    <t>Licensed Plumbing Gas/Water Reroute &amp; Fixtures</t>
  </si>
  <si>
    <t>Licensed HVAC Duct Modification &amp; Range Hood Exhaust</t>
  </si>
  <si>
    <t>SUBTOTAL SUBCONTRACTORS ($)</t>
  </si>
  <si>
    <t>4. EQUIPMENT RENTALS &amp; SPECIAL TOOLING ALLOWANCE</t>
  </si>
  <si>
    <t>20-Yard Roll-Off Waste Dumpster Rental &amp; Removal</t>
  </si>
  <si>
    <t>Equipment Sheet</t>
  </si>
  <si>
    <t>HEPA Air Scrubber, Dust Containment &amp; Dehumidifiers</t>
  </si>
  <si>
    <t>Scaffolding Towers, Lifts &amp; Specialty Flooring Sanders</t>
  </si>
  <si>
    <t>SUBTOTAL EQUIPMENT &amp; RENTALS ($)</t>
  </si>
  <si>
    <t>5. PERMITS, FEES &amp; SITE PROTECTION ALLOWANCE</t>
  </si>
  <si>
    <t>Municipal Building, Trade &amp; Electrical Permit Fees</t>
  </si>
  <si>
    <t>Municipal</t>
  </si>
  <si>
    <t>Site Floor Protection, Dust Barriers &amp; Sanitization</t>
  </si>
  <si>
    <t>Jobsite Prep</t>
  </si>
  <si>
    <t>SUBTOTAL PERMITS &amp; OTHER COSTS ($)</t>
  </si>
  <si>
    <t>-</t>
  </si>
  <si>
    <t>6. CONTRACTOR BID PRICING SUMMARY &amp; CONTRACT BID TOTALS</t>
  </si>
  <si>
    <t>Total Direct Job Costs (Sum of Sections 1 to 5)</t>
  </si>
  <si>
    <t>General Overhead Allowance (10.00% of Direct Costs)</t>
  </si>
  <si>
    <t>Contingency Allowance (5.00% of Direct Costs)</t>
  </si>
  <si>
    <t>Subtotal Total Estimated Job Cost (Before Markup)</t>
  </si>
  <si>
    <t>Total Professional Markup &amp; Contractor Gross Profit</t>
  </si>
  <si>
    <t>Estimated Selling Price (Contract Bid Subtotal)</t>
  </si>
  <si>
    <t>Preferred Client Contract Discount (-2.50%)</t>
  </si>
  <si>
    <t>Net Taxable Bid Contract Amount</t>
  </si>
  <si>
    <t>Estimated Sales Tax (8.25% on Net Taxable Amount)</t>
  </si>
  <si>
    <t>GRAND TOTAL CONTRACT BID PRICE ($)</t>
  </si>
  <si>
    <t>7. CONTRACTOR BID ACCEPTANCE &amp; SIGN-OFF AREA</t>
  </si>
  <si>
    <t>NOTES &amp; ASSUMPTIONS: Bid price is valid for 30 days from the estimate date. Any deviations, structural modifications, or owner-requested scope changes will be executed only upon signed Change Order. Includes standard 1-year workmanship warranty from novality store.</t>
  </si>
  <si>
    <t>Client Signature:</t>
  </si>
  <si>
    <t>Date Accepted:</t>
  </si>
  <si>
    <t>Contractor Representative:</t>
  </si>
  <si>
    <t>David Novality, Novality Construction</t>
  </si>
  <si>
    <t>Date Signed:</t>
  </si>
  <si>
    <t>ADVANCED MARKUP &amp; PROFIT MARGIN CALCULATOR</t>
  </si>
  <si>
    <t xml:space="preserve">  Separate category markups, Markup vs. Margin comparison table, and Target Profit Margin reverse calculator.</t>
  </si>
  <si>
    <t>1. CATEGORY-SPECIFIC MARKUP &amp; PROFIT MARGIN CALCULATOR</t>
  </si>
  <si>
    <t>Cost Category</t>
  </si>
  <si>
    <t>Base Cost ($)</t>
  </si>
  <si>
    <t>Selling Price ($)</t>
  </si>
  <si>
    <t>Category Share</t>
  </si>
  <si>
    <t>Profit Margin %</t>
  </si>
  <si>
    <t>Direct Materials</t>
  </si>
  <si>
    <t>Direct Labor</t>
  </si>
  <si>
    <t>Equipment &amp; Rentals</t>
  </si>
  <si>
    <t>Permits &amp; Other Costs</t>
  </si>
  <si>
    <t>Overhead &amp; Contingency</t>
  </si>
  <si>
    <t>TOTAL JOB MARKUP &amp; MARGIN</t>
  </si>
  <si>
    <t>2. MARKUP VS. PROFIT MARGIN COMPARISON TABLE</t>
  </si>
  <si>
    <t>Equivalent Margin %</t>
  </si>
  <si>
    <t>Price on $1,000 Cost ($)</t>
  </si>
  <si>
    <t>Gross Profit ($)</t>
  </si>
  <si>
    <t>3. TARGET MARGIN REVERSE CALCULATOR</t>
  </si>
  <si>
    <t>Input Total Job Cost ($):</t>
  </si>
  <si>
    <t>Cost to price</t>
  </si>
  <si>
    <t>Desired Profit Margin (%):</t>
  </si>
  <si>
    <t>Target %</t>
  </si>
  <si>
    <t>Required Selling Price ($):</t>
  </si>
  <si>
    <t>Formula</t>
  </si>
  <si>
    <t>Required Gross Profit ($):</t>
  </si>
  <si>
    <t>Profit $</t>
  </si>
  <si>
    <t>Equivalent Markup % Needed:</t>
  </si>
  <si>
    <t>Equivalent</t>
  </si>
  <si>
    <t>ESTIMATED VS. ACTUAL JOB COSTING TRACKER &amp; VARIANCE ANALYSIS</t>
  </si>
  <si>
    <t xml:space="preserve">  Track field expenditures against estimated budget. Automatic budget variance and status indicator.</t>
  </si>
  <si>
    <t>Category Code</t>
  </si>
  <si>
    <t>Cost Category Description</t>
  </si>
  <si>
    <t>Estimated Budget ($)</t>
  </si>
  <si>
    <t>Actual Cost Incurred ($)</t>
  </si>
  <si>
    <t>Dollar Variance ($)</t>
  </si>
  <si>
    <t>Budget Variance %</t>
  </si>
  <si>
    <t>Cost Performance Status</t>
  </si>
  <si>
    <t>CAT-100</t>
  </si>
  <si>
    <t>Direct Materials &amp; Fixtures</t>
  </si>
  <si>
    <t>CAT-200</t>
  </si>
  <si>
    <t>Direct Labor &amp; Craft Hours</t>
  </si>
  <si>
    <t>CAT-300</t>
  </si>
  <si>
    <t>Licensed Subcontractors</t>
  </si>
  <si>
    <t>CAT-400</t>
  </si>
  <si>
    <t>Equipment Rentals &amp; Special Tools</t>
  </si>
  <si>
    <t>CAT-500</t>
  </si>
  <si>
    <t>Permits, Fees &amp; Site Protection</t>
  </si>
  <si>
    <t>CAT-600</t>
  </si>
  <si>
    <t>General Overhead &amp; Contingency Allowance</t>
  </si>
  <si>
    <t>TOTAL CONSTRUCTION JOB COST ($)</t>
  </si>
  <si>
    <t>EXECUTIVE JOB PROFITABILITY &amp; MARGIN VARIANCE SUMMARY</t>
  </si>
  <si>
    <t>Contract Bid Selling Price ($)</t>
  </si>
  <si>
    <t>Actual Total Job Cost Incurred ($)</t>
  </si>
  <si>
    <t>Actual Job Gross Profit ($)</t>
  </si>
  <si>
    <t>Actual Realized Profit Margin (%)</t>
  </si>
  <si>
    <t>Estimated Profit Margin (%)</t>
  </si>
  <si>
    <t>Profit Margin Variance (%)</t>
  </si>
  <si>
    <t>EXECUTIVE CONSTRUCTION SUMMARY DASHBOARD &amp; KPI OVERVIEW</t>
  </si>
  <si>
    <t>TOTAL ESTIMATED JOB COST</t>
  </si>
  <si>
    <t>TOTAL CONTRACT BID PRICE</t>
  </si>
  <si>
    <t>TOTAL MARKUP &amp; GROSS PROFIT</t>
  </si>
  <si>
    <t>ESTIMATED PROFIT MARGIN %</t>
  </si>
  <si>
    <t>COST PERFORMANCE BY CATEGORY ($)</t>
  </si>
  <si>
    <t>Estimated ($)</t>
  </si>
  <si>
    <t>Actual ($)</t>
  </si>
  <si>
    <t>Variance ($)</t>
  </si>
  <si>
    <t>Status</t>
  </si>
  <si>
    <t>Permits &amp; Other</t>
  </si>
  <si>
    <t>TOTAL JOB COSTS</t>
  </si>
  <si>
    <t>CONTRACT BID &amp; PROFIT BREAKDOWN</t>
  </si>
  <si>
    <t>Subtotal Direct Costs</t>
  </si>
  <si>
    <t>Overhead Allowance</t>
  </si>
  <si>
    <t>Contingency Allowance</t>
  </si>
  <si>
    <t>Total Professional Markup</t>
  </si>
  <si>
    <t>Subtotal Bid Selling Price</t>
  </si>
  <si>
    <t>Preferred Client Discount</t>
  </si>
  <si>
    <t>Sales Tax (8.25%)</t>
  </si>
  <si>
    <t>GRAND TOTAL BID PRICE ($)</t>
  </si>
  <si>
    <t>COST PERFORMANCE VISUAL SNAPSHOT (EXCEL-SAFE CELL-BASED DASHBOARD)</t>
  </si>
  <si>
    <t>Budget Perf.</t>
  </si>
  <si>
    <t>Visual Bar (Est.)</t>
  </si>
  <si>
    <t>Visual Bar (Act.)</t>
  </si>
  <si>
    <t>NOTE: Native embedded chart removed to ensure 100% Excel compatibility with zero repair errors. The REPT()-based visual bars above provide a drawing-free alternative.</t>
  </si>
  <si>
    <t>CONSTRUCTION PROJECT PROPOSAL &amp; BID ACCEPTANCE</t>
  </si>
  <si>
    <t>Professional Contractor Bid &amp; Scope Specification</t>
  </si>
  <si>
    <t>CONTRACTOR / COMPANY INFO</t>
  </si>
  <si>
    <t>CLIENT / PROJECT INFO</t>
  </si>
  <si>
    <t>Company Name:</t>
  </si>
  <si>
    <t>Client Name:</t>
  </si>
  <si>
    <t>Contact Person:</t>
  </si>
  <si>
    <t>Phone Number:</t>
  </si>
  <si>
    <t>Email Address:</t>
  </si>
  <si>
    <t>SCOPE OF WORK SPECIFICATION</t>
  </si>
  <si>
    <t>PROJECT PRICING SUMMARY BY TRADE &amp; SERVICE</t>
  </si>
  <si>
    <t>Cost Category / Trade Description</t>
  </si>
  <si>
    <t>Contract Price ($)</t>
  </si>
  <si>
    <t>Direct Materials &amp; Custom Architectural Fixtures</t>
  </si>
  <si>
    <t>Direct Labor &amp; Skilled Craftsmanship Hours</t>
  </si>
  <si>
    <t>Licensed Specialty Subcontractor Packages</t>
  </si>
  <si>
    <t>Equipment Rentals, Waste Removal &amp; Specialty Tooling</t>
  </si>
  <si>
    <t>Municipal Building &amp; Trade Permits, Site Protection &amp; Cleanup</t>
  </si>
  <si>
    <t>Contractor Overhead, Management &amp; Contingency Allowance</t>
  </si>
  <si>
    <t>Professional Contractor Markup &amp; Value Engineering</t>
  </si>
  <si>
    <t>SUBTOTAL CONTRACT BID PRICE</t>
  </si>
  <si>
    <t>Preferred Client Discount (-2.50%)</t>
  </si>
  <si>
    <t>Net Taxable Contract Bid Amount</t>
  </si>
  <si>
    <t>Applicable Sales Tax (8.25%)</t>
  </si>
  <si>
    <t>EXCLUSIONS, CLARIFICATIONS &amp; PAYMENT TERMS</t>
  </si>
  <si>
    <t>EXCLUSIONS: Excludes hazardous material abatement, unforeseen subterranean repairs, and utility company connection fees. PAYMENT SCHEDULE: 20% deposit upon contract signing, 50% upon progress milestones, and 30% upon substantial completion. PROPOSAL VALIDITY: 30 days from date of issue.</t>
  </si>
  <si>
    <t>CLIENT ACCEPTANCE &amp; AUTHORIZATION SIGNATURE AREA</t>
  </si>
  <si>
    <t>Printed Name:</t>
  </si>
  <si>
    <t>Robert Sterling, Apex Properties</t>
  </si>
  <si>
    <t>Contractor Sign-off:</t>
  </si>
  <si>
    <t>STANDARD CONTRACTOR TERMS, CONDITIONS &amp; WORKMANSHIP WARRANTY</t>
  </si>
  <si>
    <t>Legal Agreement &amp; Operational Policies for Construction Contracts</t>
  </si>
  <si>
    <t>1. SCOPE OF WORK &amp; PROPOSAL VALIDITY</t>
  </si>
  <si>
    <t>The contractor agrees to perform the scope of work specified in the Client Proposal. The pricing stated in this document is valid for 30 calendar days from the date of issuance. Any work not explicitly listed is excluded.</t>
  </si>
  <si>
    <t>2. PAYMENT SCHEDULE &amp; INVOICING</t>
  </si>
  <si>
    <t>Payments shall be made according to the agreed milestone payment schedule: 20% mobilization deposit upon signing, milestone progress invoices during construction, and final payment upon completion of punchlist items.</t>
  </si>
  <si>
    <t>3. CHANGE ORDERS &amp; MODIFICATIONS</t>
  </si>
  <si>
    <t>Any alteration or deviation from the original specifications involving extra costs or schedule extensions will be executed only upon a written Change Order signed by both Owner and Contractor.</t>
  </si>
  <si>
    <t>4. SITE ACCESS, WORKING HOURS &amp; UTILITIES</t>
  </si>
  <si>
    <t>The owner agrees to provide reasonable access to the property during standard working hours (7:00 AM - 5:00 PM) and make water and electricity available for construction purposes without charge.</t>
  </si>
  <si>
    <t>5. WORKMANSHIP WARRANTY &amp; MATERIAL GUARANTEE</t>
  </si>
  <si>
    <t>Novality Construction &amp; Design LLC provides a 1-year limited workmanship warranty on all installations. Standard manufacturer warranties apply to all installed equipment and material fixtures.</t>
  </si>
  <si>
    <t>6. INSURANCE &amp; LICENSING</t>
  </si>
  <si>
    <t>The contractor shall maintain general liability and workers' compensation insurance throughout the project duration and hold valid municipal trade licenses.</t>
  </si>
  <si>
    <t>7. DELAYS &amp; FORCE MAJEURE</t>
  </si>
  <si>
    <t>The contractor is not responsible for project delays caused by severe weather, material vendor backorders, strikes, or municipal permitting delays beyond contractor control.</t>
  </si>
  <si>
    <t>MATERIAL PRICE DATABASE (MASTER INVENTORY &amp; UNIT PRICE REFERENCE)</t>
  </si>
  <si>
    <t xml:space="preserve">  Reference table of standard construction materials, default suppliers, and current market unit costs.</t>
  </si>
  <si>
    <t>SKU Code</t>
  </si>
  <si>
    <t>Default Supplier</t>
  </si>
  <si>
    <t>Standard Price ($)</t>
  </si>
  <si>
    <t>Lead Time (Days)</t>
  </si>
  <si>
    <t>Custom Shaker Base Cabinet Box</t>
  </si>
  <si>
    <t>Custom Shaker Wall Cabinet Box</t>
  </si>
  <si>
    <t>Calacatta Gold Quartz Slab (3cm)</t>
  </si>
  <si>
    <t>Engineered Oak Hardwood Plank</t>
  </si>
  <si>
    <t>Hardwood Acoustic Underlayment</t>
  </si>
  <si>
    <t>Recessed 6-inch LED Dimmable Fixture</t>
  </si>
  <si>
    <t>Lumens Direct</t>
  </si>
  <si>
    <t>Decorative Pendant Light Fixture</t>
  </si>
  <si>
    <t>Architectural Primer (5-Gal Pail)</t>
  </si>
  <si>
    <t>Premium Satin Enamel (5-Gal Pail)</t>
  </si>
  <si>
    <t>Commercial Stainless Sink &amp; Faucet</t>
  </si>
  <si>
    <t>Ferguson Plumbing</t>
  </si>
  <si>
    <t>Ceramic Subway Backsplash Tile</t>
  </si>
  <si>
    <t>Drywall Sheet 1/2-inch x 8ft</t>
  </si>
  <si>
    <t>Drywall</t>
  </si>
  <si>
    <t>Sheet</t>
  </si>
  <si>
    <t>MAT-113</t>
  </si>
  <si>
    <t>All-Purpose Joint Compound Box</t>
  </si>
  <si>
    <t>Box</t>
  </si>
  <si>
    <t>MAT-114</t>
  </si>
  <si>
    <t>Pressure Treated 2x4 Lumber Stud</t>
  </si>
  <si>
    <t>Framing</t>
  </si>
  <si>
    <t>MAT-115</t>
  </si>
  <si>
    <t>Interior Mold-Resistant Silicone Caulk</t>
  </si>
  <si>
    <t>Finish</t>
  </si>
  <si>
    <t>Tube</t>
  </si>
  <si>
    <t>LABOR RATE DATABASE (STANDARD HOURLY WAGES, BURDEN &amp; BILLING RATES)</t>
  </si>
  <si>
    <t xml:space="preserve">  Master labor rate table with base wage, payroll burden, fully burdened cost, and standard billing rates.</t>
  </si>
  <si>
    <t>Trade Code</t>
  </si>
  <si>
    <t>Craft Role / Trade Description</t>
  </si>
  <si>
    <t>Base Wage ($/hr)</t>
  </si>
  <si>
    <t>Burden &amp; Ins. %</t>
  </si>
  <si>
    <t>Burdened Cost ($/hr)</t>
  </si>
  <si>
    <t>Billing Rate ($/hr)</t>
  </si>
  <si>
    <t>OT Billing Rate ($/hr)</t>
  </si>
  <si>
    <t>TRD-01</t>
  </si>
  <si>
    <t>General Construction Laborer</t>
  </si>
  <si>
    <t>TRD-02</t>
  </si>
  <si>
    <t>Skilled Carpenter &amp; Framing Lead</t>
  </si>
  <si>
    <t>TRD-03</t>
  </si>
  <si>
    <t>Master Millwork &amp; Cabinet Specialist</t>
  </si>
  <si>
    <t>TRD-04</t>
  </si>
  <si>
    <t>Drywall Hanger &amp; Finisher</t>
  </si>
  <si>
    <t>TRD-05</t>
  </si>
  <si>
    <t>Interior Painter &amp; Trim Finisher</t>
  </si>
  <si>
    <t>TRD-06</t>
  </si>
  <si>
    <t>Licensed Electrician (Master)</t>
  </si>
  <si>
    <t>TRD-07</t>
  </si>
  <si>
    <t>Licensed Plumber &amp; Gas Fitter</t>
  </si>
  <si>
    <t>TRD-08</t>
  </si>
  <si>
    <t>HVAC Duct &amp; Mechanical Technician</t>
  </si>
  <si>
    <t>TRD-09</t>
  </si>
  <si>
    <t>Ceramic &amp; Stone Tile Setter</t>
  </si>
  <si>
    <t>TRD-10</t>
  </si>
  <si>
    <t>Hardwood Flooring Installer</t>
  </si>
  <si>
    <t>TRD-11</t>
  </si>
  <si>
    <t>Project Supervisor / QC Manager</t>
  </si>
  <si>
    <t>TRD-12</t>
  </si>
  <si>
    <t>Site Safety &amp; Sanitization Tech</t>
  </si>
  <si>
    <t>MULTIPLE ESTIMATE VERSIONS COMPARISON (GOOD / BETTER / BEST)</t>
  </si>
  <si>
    <t xml:space="preserve">  Side-by-side comparison of 3 client proposal packages to facilitate upselling and option analysis.</t>
  </si>
  <si>
    <t>Cost Category / Metric</t>
  </si>
  <si>
    <t>Option 1: Standard / Base</t>
  </si>
  <si>
    <t>Option 2: Upgraded / Preferred</t>
  </si>
  <si>
    <t>Option 3: Premium / Luxury</t>
  </si>
  <si>
    <t>Direct Materials &amp; Fixture Packages ($)</t>
  </si>
  <si>
    <t>Direct Labor &amp; Craft Hours ($)</t>
  </si>
  <si>
    <t>Licensed Subcontractor Services ($)</t>
  </si>
  <si>
    <t>Equipment Rentals &amp; Tool Allowance ($)</t>
  </si>
  <si>
    <t>Permits, Fees &amp; Site Protection ($)</t>
  </si>
  <si>
    <t>TOTAL DIRECT JOB COSTS ($)</t>
  </si>
  <si>
    <t>Overhead Allowance (10.0%)</t>
  </si>
  <si>
    <t>Contingency Allowance (5.0%)</t>
  </si>
  <si>
    <t>SUBTOTAL JOB COST (Before Markup)</t>
  </si>
  <si>
    <t>Contractor Markup % Applied</t>
  </si>
  <si>
    <t>Total Markup Amount ($)</t>
  </si>
  <si>
    <t>ESTIMATED CONTRACT SELLING PRICE ($)</t>
  </si>
  <si>
    <t>Equivalent Profit Margin %</t>
  </si>
  <si>
    <t>PROJECT CHANGE ORDER TRACKER &amp; BID MODIFICATION LOG</t>
  </si>
  <si>
    <t xml:space="preserve">  Log scope changes, calculate change order markups, and track client approval status.</t>
  </si>
  <si>
    <t>CO Number</t>
  </si>
  <si>
    <t>Date Req.</t>
  </si>
  <si>
    <t>Description of Scope Modification</t>
  </si>
  <si>
    <t>Requested By</t>
  </si>
  <si>
    <t>Direct Cost ($)</t>
  </si>
  <si>
    <t>CO Total Price ($)</t>
  </si>
  <si>
    <t>Schedule Add</t>
  </si>
  <si>
    <t>Approval Status</t>
  </si>
  <si>
    <t>Date Approved</t>
  </si>
  <si>
    <t>CO-001</t>
  </si>
  <si>
    <t>2026-08-05</t>
  </si>
  <si>
    <t>Upgrade Quartz Island Countertop to Waterfall Edge</t>
  </si>
  <si>
    <t>Robert Sterling</t>
  </si>
  <si>
    <t>2 Days</t>
  </si>
  <si>
    <t>Approved</t>
  </si>
  <si>
    <t>2026-08-06</t>
  </si>
  <si>
    <t>CO-002</t>
  </si>
  <si>
    <t>2026-08-10</t>
  </si>
  <si>
    <t>Add 4 Additional Dimmable Recessed LED Lights</t>
  </si>
  <si>
    <t>1 Day</t>
  </si>
  <si>
    <t>2026-08-11</t>
  </si>
  <si>
    <t>CO-003</t>
  </si>
  <si>
    <t>2026-08-15</t>
  </si>
  <si>
    <t>Relocate Secondary Laundry Plumbing Drain Line</t>
  </si>
  <si>
    <t>Pending</t>
  </si>
  <si>
    <t>TOTAL CHANGE ORDER LOG ($)</t>
  </si>
  <si>
    <t>CHANGE ORDER CONTRACT PRICE IMPACT</t>
  </si>
  <si>
    <t>Original Contract Bid Price ($)</t>
  </si>
  <si>
    <t>Total Approved Change Orders ($)</t>
  </si>
  <si>
    <t>REVISED GRAND TOTAL CONTRACT PRICE ($)</t>
  </si>
  <si>
    <t>MILESTONE PAYMENT SCHEDULE &amp; PROGRESS BILLING TRACKER</t>
  </si>
  <si>
    <t xml:space="preserve">  Schedule progress payments based on contract milestones and track amounts received.</t>
  </si>
  <si>
    <t>Milestone #</t>
  </si>
  <si>
    <t>Milestone Phase Description</t>
  </si>
  <si>
    <t>% of Contract</t>
  </si>
  <si>
    <t>Scheduled Amount ($)</t>
  </si>
  <si>
    <t>Target Due Date</t>
  </si>
  <si>
    <t>Payment Status</t>
  </si>
  <si>
    <t>Date Received</t>
  </si>
  <si>
    <t>Check / Ref #</t>
  </si>
  <si>
    <t>PAY-01</t>
  </si>
  <si>
    <t>Initial Mobilization &amp; Deposit (Upon Contract Signing)</t>
  </si>
  <si>
    <t>2026-08-01</t>
  </si>
  <si>
    <t>Paid</t>
  </si>
  <si>
    <t>CHK-9921</t>
  </si>
  <si>
    <t>PAY-02</t>
  </si>
  <si>
    <t>Rough-In Completion (Electrical, Plumbing &amp; HVAC)</t>
  </si>
  <si>
    <t>2026-08-16</t>
  </si>
  <si>
    <t>CHK-9945</t>
  </si>
  <si>
    <t>PAY-03</t>
  </si>
  <si>
    <t>Drywall, Flooring &amp; Cabinet Installation Completion</t>
  </si>
  <si>
    <t>PAY-04</t>
  </si>
  <si>
    <t>Countertops, Backsplash Tile &amp; Fixture Completion</t>
  </si>
  <si>
    <t>2026-09-10</t>
  </si>
  <si>
    <t>PAY-05</t>
  </si>
  <si>
    <t>Final Inspection &amp; Punchlist Sign-Off</t>
  </si>
  <si>
    <t>2026-09-20</t>
  </si>
  <si>
    <t>TOTAL CONTRACT PAYMENT SCHEDULE</t>
  </si>
  <si>
    <t>PROGRESS INVOICE &amp; CONTRACT BILLING SUMMARY</t>
  </si>
  <si>
    <t>Standard AIA-Style Progress Billing Summary for Construction Contractors</t>
  </si>
  <si>
    <t>CONTRACTOR / PAYEE DETAILS</t>
  </si>
  <si>
    <t>INVOICE &amp; CONTRACT METRICS</t>
  </si>
  <si>
    <t>Invoice Number:</t>
  </si>
  <si>
    <t>INV-2026-001</t>
  </si>
  <si>
    <t>Billing Period:</t>
  </si>
  <si>
    <t>2026-08-01 to 2026-08-16</t>
  </si>
  <si>
    <t>PROGRESS BILLING FINANCIAL BREAKDOWN</t>
  </si>
  <si>
    <t>1. Original Contract Bid Price ($)</t>
  </si>
  <si>
    <t>2. Net Addition from Approved Change Orders ($)</t>
  </si>
  <si>
    <t>3. REVISED TOTAL CONTRACT PRICE ($)</t>
  </si>
  <si>
    <t>4. Total Value of Work Completed to Date ($)</t>
  </si>
  <si>
    <t>5. Retainage Withheld (5.00% of Completed Work)</t>
  </si>
  <si>
    <t>6. Total Earned Less Retainage ($)</t>
  </si>
  <si>
    <t>7. Less Previous Payments Received ($)</t>
  </si>
  <si>
    <t>8. CURRENT PROGRESS INVOICE AMOUNT DUE ($)</t>
  </si>
  <si>
    <t>9. Balance to Finish Including Retainage ($)</t>
  </si>
  <si>
    <t>CONSTRUCTION PROJECT TIMELINE &amp; GANTT SCHEDULE TRACKER (12 WEEKS)</t>
  </si>
  <si>
    <t xml:space="preserve">  High-level schedule tracker by phase. Visual bar indicators highlight planned week duration.</t>
  </si>
  <si>
    <t>Phase #</t>
  </si>
  <si>
    <t>Construction Phase &amp; Task</t>
  </si>
  <si>
    <t>Lead Trade</t>
  </si>
  <si>
    <t>Start Wk</t>
  </si>
  <si>
    <t>Duration</t>
  </si>
  <si>
    <t>End Wk</t>
  </si>
  <si>
    <t>W1</t>
  </si>
  <si>
    <t>W2</t>
  </si>
  <si>
    <t>W3</t>
  </si>
  <si>
    <t>W4</t>
  </si>
  <si>
    <t>W5</t>
  </si>
  <si>
    <t>W6</t>
  </si>
  <si>
    <t>W7</t>
  </si>
  <si>
    <t>W8</t>
  </si>
  <si>
    <t>W9</t>
  </si>
  <si>
    <t>W10</t>
  </si>
  <si>
    <t>W11</t>
  </si>
  <si>
    <t>W12</t>
  </si>
  <si>
    <t>PH-01</t>
  </si>
  <si>
    <t>Permitting &amp; Material Procurement</t>
  </si>
  <si>
    <t>Management</t>
  </si>
  <si>
    <t>Completed</t>
  </si>
  <si>
    <t>PH-02</t>
  </si>
  <si>
    <t>Selective Kitchen Demolition &amp; Site Prep</t>
  </si>
  <si>
    <t>Demolition</t>
  </si>
  <si>
    <t>PH-03</t>
  </si>
  <si>
    <t>Structural Framing &amp; Wall Header Reroute</t>
  </si>
  <si>
    <t>Carpentry</t>
  </si>
  <si>
    <t>PH-04</t>
  </si>
  <si>
    <t>Electrical &amp; Plumbing Rough-In Wiring/Pipes</t>
  </si>
  <si>
    <t>MEP Subs</t>
  </si>
  <si>
    <t>PH-05</t>
  </si>
  <si>
    <t>Municipal Inspection (Rough MEP &amp; Frame)</t>
  </si>
  <si>
    <t>PH-06</t>
  </si>
  <si>
    <t>Drywall Hanging, Taping &amp; Plaster Sanding</t>
  </si>
  <si>
    <t>In Progress</t>
  </si>
  <si>
    <t>PH-07</t>
  </si>
  <si>
    <t>Scheduled</t>
  </si>
  <si>
    <t>PH-08</t>
  </si>
  <si>
    <t>Custom Cabinetry &amp; Kitchen Island Box Install</t>
  </si>
  <si>
    <t>PH-09</t>
  </si>
  <si>
    <t>Quartz Countertop Slab &amp; Tile Backsplash</t>
  </si>
  <si>
    <t>Stone / Tile</t>
  </si>
  <si>
    <t>PH-10</t>
  </si>
  <si>
    <t>Interior Paint, Trim Molding &amp; Enamel Finish</t>
  </si>
  <si>
    <t>Painting</t>
  </si>
  <si>
    <t>PH-11</t>
  </si>
  <si>
    <t>MEP Fixtures, Faucet &amp; LED Trim Finish</t>
  </si>
  <si>
    <t>PH-12</t>
  </si>
  <si>
    <t>Final Cleanup, Punchlist &amp; Owner Sign-Off</t>
  </si>
</sst>
</file>

<file path=xl/styles.xml><?xml version="1.0" encoding="utf-8"?>
<styleSheet xmlns="http://schemas.openxmlformats.org/spreadsheetml/2006/main">
  <numFmts count="5">
    <numFmt numFmtId="164" formatCode="0.00%"/>
    <numFmt numFmtId="165" formatCode="#,##0"/>
    <numFmt numFmtId="166" formatCode="$#,##0.00"/>
    <numFmt numFmtId="166" formatCode="$#,##0.00"/>
    <numFmt numFmtId="166" formatCode="$#,##0.00"/>
    <numFmt numFmtId="166" formatCode="$#,##0.00"/>
    <numFmt numFmtId="167" formatCode="yyyy-mm-dd"/>
    <numFmt numFmtId="164" formatCode="0.00%"/>
    <numFmt numFmtId="164" formatCode="0.00%"/>
    <numFmt numFmtId="166" formatCode="$#,##0.00"/>
    <numFmt numFmtId="168" formatCode="0.0%"/>
  </numFmts>
  <fonts count="18">
    <font>
      <sz val="11"/>
      <color theme="1"/>
      <name val="Calibri"/>
      <family val="2"/>
      <scheme val="minor"/>
    </font>
    <font>
      <b/>
      <sz val="15"/>
      <color rgb="FFFFFFFF"/>
      <name val="Segoe UI"/>
      <family val="2"/>
    </font>
    <font>
      <b/>
      <sz val="11"/>
      <color rgb="FF1B365D"/>
      <name val="Segoe UI"/>
      <family val="2"/>
    </font>
    <font>
      <b/>
      <sz val="12"/>
      <color rgb="FFFFFFFF"/>
      <name val="Segoe UI"/>
      <family val="2"/>
    </font>
    <font>
      <sz val="10"/>
      <color theme="1"/>
      <name val="Segoe UI"/>
      <family val="2"/>
    </font>
    <font>
      <b/>
      <sz val="10"/>
      <color rgb="FFFFFFFF"/>
      <name val="Segoe UI"/>
      <family val="2"/>
    </font>
    <font>
      <sz val="10"/>
      <color rgb="FF1E293B"/>
      <name val="Segoe UI"/>
      <family val="2"/>
    </font>
    <font>
      <b/>
      <sz val="10"/>
      <color rgb="FF1B365D"/>
      <name val="Segoe UI"/>
      <family val="2"/>
    </font>
    <font>
      <b/>
      <sz val="11"/>
      <color rgb="FFFFFFFF"/>
      <name val="Segoe UI"/>
      <family val="2"/>
    </font>
    <font>
      <i/>
      <sz val="9"/>
      <color rgb="FF475569"/>
      <name val="Segoe UI"/>
      <family val="2"/>
    </font>
    <font>
      <b/>
      <sz val="9"/>
      <color rgb="FF475569"/>
      <name val="Segoe UI"/>
      <family val="2"/>
    </font>
    <font>
      <b/>
      <sz val="14"/>
      <color rgb="FF1B365D"/>
      <name val="Segoe UI"/>
      <family val="2"/>
    </font>
    <font>
      <b/>
      <sz val="14"/>
      <color rgb="FFD97706"/>
      <name val="Segoe UI"/>
      <family val="2"/>
    </font>
    <font>
      <sz val="10"/>
      <color rgb="FF1B365D"/>
      <name val="Consolas"/>
      <family val="2"/>
    </font>
    <font>
      <sz val="10"/>
      <color rgb="FFD97706"/>
      <name val="Consolas"/>
      <family val="2"/>
    </font>
    <font>
      <b/>
      <sz val="16"/>
      <color rgb="FF1B365D"/>
      <name val="Segoe UI"/>
      <family val="2"/>
    </font>
    <font>
      <sz val="11"/>
      <color rgb="FF64748B"/>
      <name val="Segoe UI"/>
      <family val="2"/>
    </font>
    <font>
      <b/>
      <sz val="10"/>
      <color rgb="FF1E293B"/>
      <name val="Segoe UI"/>
      <family val="2"/>
    </font>
  </fonts>
  <fills count="8">
    <fill>
      <patternFill patternType="none"/>
    </fill>
    <fill>
      <patternFill patternType="gray125"/>
    </fill>
    <fill>
      <patternFill patternType="solid">
        <fgColor rgb="FF1B365D"/>
        <bgColor indexed="64"/>
      </patternFill>
    </fill>
    <fill>
      <patternFill patternType="solid">
        <fgColor rgb="FFEBF5FB"/>
        <bgColor indexed="64"/>
      </patternFill>
    </fill>
    <fill>
      <patternFill patternType="solid">
        <fgColor rgb="FF2C3E50"/>
        <bgColor indexed="64"/>
      </patternFill>
    </fill>
    <fill>
      <patternFill patternType="solid">
        <fgColor rgb="FFFFFFFF"/>
        <bgColor indexed="64"/>
      </patternFill>
    </fill>
    <fill>
      <patternFill patternType="solid">
        <fgColor rgb="FFF8F9FA"/>
        <bgColor indexed="64"/>
      </patternFill>
    </fill>
    <fill>
      <patternFill patternType="solid">
        <fgColor rgb="FFD97706"/>
        <bgColor indexed="64"/>
      </patternFill>
    </fill>
  </fills>
  <borders count="8">
    <border>
      <left/>
      <right/>
      <top/>
      <bottom/>
      <diagonal/>
    </border>
    <border>
      <left style="thin">
        <color rgb="FFBDC3C7"/>
      </left>
      <right style="thin">
        <color rgb="FFBDC3C7"/>
      </right>
      <top style="thin">
        <color rgb="FFBDC3C7"/>
      </top>
      <bottom style="thin">
        <color rgb="FFBDC3C7"/>
      </bottom>
      <diagonal/>
    </border>
    <border>
      <left style="thin">
        <color rgb="FFCBD5E1"/>
      </left>
      <right style="thin">
        <color rgb="FFCBD5E1"/>
      </right>
      <top style="thin">
        <color rgb="FFCBD5E1"/>
      </top>
      <bottom style="thin">
        <color rgb="FFCBD5E1"/>
      </bottom>
      <diagonal/>
    </border>
    <border>
      <left style="thin">
        <color rgb="FF1B365D"/>
      </left>
      <right style="thin">
        <color rgb="FF1B365D"/>
      </right>
      <top style="thin">
        <color rgb="FF1B365D"/>
      </top>
      <bottom style="thin">
        <color rgb="FF1B365D"/>
      </bottom>
      <diagonal/>
    </border>
    <border>
      <left style="thin">
        <color rgb="FFD97706"/>
      </left>
      <right style="thin">
        <color rgb="FFD97706"/>
      </right>
      <top style="thin">
        <color rgb="FFD97706"/>
      </top>
      <bottom style="thin">
        <color rgb="FFD97706"/>
      </bottom>
      <diagonal/>
    </border>
    <border>
      <left style="thin">
        <color rgb="FFCBD5E1"/>
      </left>
      <right style="thin">
        <color rgb="FFCBD5E1"/>
      </right>
      <top style="thin">
        <color rgb="FFCBD5E1"/>
      </top>
      <bottom/>
      <diagonal/>
    </border>
    <border>
      <left style="thin">
        <color rgb="FFCBD5E1"/>
      </left>
      <right style="thin">
        <color rgb="FFCBD5E1"/>
      </right>
      <top/>
      <bottom style="thin">
        <color rgb="FFCBD5E1"/>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5">
    <xf numFmtId="0" fontId="0" fillId="0" borderId="0" xfId="0"/>
    <xf numFmtId="0" fontId="1" fillId="2" borderId="0" xfId="0" applyFont="1" applyFill="1" applyAlignment="1">
      <alignment horizontal="left" vertical="center" indent="1"/>
    </xf>
    <xf numFmtId="0" fontId="2" fillId="3" borderId="1" xfId="0" applyFont="1" applyFill="1" applyBorder="1" applyAlignment="1">
      <alignment horizontal="left" vertical="center" indent="1"/>
    </xf>
    <xf numFmtId="0" fontId="3" fillId="4" borderId="0" xfId="0" applyFont="1" applyFill="1" applyAlignment="1">
      <alignment horizontal="left" vertical="center" indent="1"/>
    </xf>
    <xf numFmtId="0" fontId="4" fillId="0" borderId="2" xfId="0" applyFont="1" applyBorder="1" applyAlignment="1">
      <alignment vertical="top" wrapText="1"/>
    </xf>
    <xf numFmtId="0" fontId="5" fillId="2" borderId="3" xfId="0" applyFont="1" applyFill="1" applyBorder="1" applyAlignment="1">
      <alignment horizontal="left" vertical="center" indent="1"/>
    </xf>
    <xf numFmtId="0" fontId="6" fillId="5" borderId="2" xfId="0" applyFont="1" applyFill="1" applyBorder="1" applyAlignment="1" applyProtection="1">
      <alignment horizontal="center" vertical="center"/>
      <protection locked="0"/>
    </xf>
    <xf numFmtId="0" fontId="6" fillId="6" borderId="2" xfId="0" applyFont="1" applyFill="1" applyBorder="1" applyAlignment="1">
      <alignment horizontal="left" vertical="center"/>
    </xf>
    <xf numFmtId="0" fontId="6" fillId="6" borderId="2" xfId="0" applyFont="1" applyFill="1" applyBorder="1" applyAlignment="1">
      <alignment horizontal="center" vertical="center"/>
    </xf>
    <xf numFmtId="0" fontId="5" fillId="2" borderId="3" xfId="0" applyFont="1" applyFill="1" applyBorder="1" applyAlignment="1">
      <alignment horizontal="center" vertical="center"/>
    </xf>
    <xf numFmtId="0" fontId="6" fillId="5" borderId="2" xfId="0" applyFont="1" applyFill="1" applyBorder="1" applyAlignment="1" applyProtection="1">
      <alignment horizontal="left" vertical="center"/>
      <protection locked="0"/>
    </xf>
    <xf numFmtId="164" fontId="6" fillId="5" borderId="2" xfId="0" applyNumberFormat="1" applyFont="1" applyFill="1" applyBorder="1" applyAlignment="1" applyProtection="1">
      <alignment horizontal="right" vertical="center"/>
      <protection locked="0"/>
    </xf>
    <xf numFmtId="0" fontId="4" fillId="5" borderId="2" xfId="0" applyFont="1" applyFill="1" applyBorder="1" applyAlignment="1" applyProtection="1">
      <alignment vertical="top" wrapText="1"/>
      <protection locked="0"/>
    </xf>
    <xf numFmtId="165" fontId="6" fillId="5" borderId="2" xfId="0" applyNumberFormat="1" applyFont="1" applyFill="1" applyBorder="1" applyAlignment="1" applyProtection="1">
      <alignment horizontal="right" vertical="center"/>
      <protection locked="0"/>
    </xf>
    <xf numFmtId="166" fontId="6" fillId="5" borderId="2" xfId="0" applyNumberFormat="1" applyFont="1" applyFill="1" applyBorder="1" applyAlignment="1" applyProtection="1">
      <alignment horizontal="right" vertical="center"/>
      <protection locked="0"/>
    </xf>
    <xf numFmtId="166" fontId="6" fillId="6" borderId="2" xfId="0" applyNumberFormat="1" applyFont="1" applyFill="1" applyBorder="1" applyAlignment="1">
      <alignment horizontal="right" vertical="center"/>
    </xf>
    <xf numFmtId="0" fontId="7" fillId="3" borderId="1" xfId="0" applyFont="1" applyFill="1" applyBorder="1" applyAlignment="1">
      <alignment horizontal="right" vertical="center"/>
    </xf>
    <xf numFmtId="166" fontId="7" fillId="3" borderId="1" xfId="0" applyNumberFormat="1" applyFont="1" applyFill="1" applyBorder="1" applyAlignment="1">
      <alignment horizontal="right" vertical="center"/>
    </xf>
    <xf numFmtId="0" fontId="5" fillId="7" borderId="4" xfId="0" applyFont="1" applyFill="1" applyBorder="1" applyAlignment="1">
      <alignment horizontal="center" vertical="center"/>
    </xf>
    <xf numFmtId="0" fontId="8" fillId="2" borderId="3" xfId="0" applyFont="1" applyFill="1" applyBorder="1" applyAlignment="1">
      <alignment horizontal="right" vertical="center"/>
    </xf>
    <xf numFmtId="166" fontId="8" fillId="2" borderId="3" xfId="0" applyNumberFormat="1" applyFont="1" applyFill="1" applyBorder="1" applyAlignment="1">
      <alignment horizontal="right" vertical="center"/>
    </xf>
    <xf numFmtId="0" fontId="9" fillId="0" borderId="0" xfId="0" applyFont="1" applyAlignment="1">
      <alignment horizontal="left" vertical="top" wrapText="1"/>
    </xf>
    <xf numFmtId="167" fontId="6" fillId="5" borderId="2" xfId="0" applyNumberFormat="1" applyFont="1" applyFill="1" applyBorder="1" applyAlignment="1" applyProtection="1">
      <alignment horizontal="center" vertical="center"/>
      <protection locked="0"/>
    </xf>
    <xf numFmtId="164" fontId="6" fillId="6" borderId="2" xfId="0" applyNumberFormat="1" applyFont="1" applyFill="1" applyBorder="1" applyAlignment="1">
      <alignment horizontal="right" vertical="center"/>
    </xf>
    <xf numFmtId="164" fontId="7" fillId="3" borderId="1" xfId="0" applyNumberFormat="1" applyFont="1" applyFill="1" applyBorder="1" applyAlignment="1">
      <alignment horizontal="right" vertical="center"/>
    </xf>
    <xf numFmtId="0" fontId="10" fillId="3" borderId="5" xfId="0" applyFont="1" applyFill="1" applyBorder="1" applyAlignment="1">
      <alignment horizontal="center" vertical="center"/>
    </xf>
    <xf numFmtId="166" fontId="11" fillId="5" borderId="6" xfId="0" applyNumberFormat="1" applyFont="1" applyFill="1" applyBorder="1" applyAlignment="1">
      <alignment horizontal="center" vertical="center"/>
    </xf>
    <xf numFmtId="168" fontId="12" fillId="5" borderId="6" xfId="0" applyNumberFormat="1" applyFont="1" applyFill="1" applyBorder="1" applyAlignment="1">
      <alignment horizontal="center" vertical="center"/>
    </xf>
    <xf numFmtId="0" fontId="13" fillId="5" borderId="2" xfId="0" applyFont="1" applyFill="1" applyBorder="1" applyAlignment="1">
      <alignment horizontal="left" vertical="center"/>
    </xf>
    <xf numFmtId="0" fontId="14" fillId="5" borderId="2" xfId="0" applyFont="1" applyFill="1" applyBorder="1" applyAlignment="1">
      <alignment horizontal="left"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left" vertical="center"/>
    </xf>
    <xf numFmtId="0" fontId="0" fillId="2" borderId="2" xfId="0" applyFill="1" applyBorder="1"/>
    <xf numFmtId="0" fontId="0" fillId="5" borderId="7" xfId="0"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B365D"/>
  </sheetPr>
  <dimension ref="A2:H26"/>
  <sheetViews>
    <sheetView tabSelected="1" workbookViewId="0"/>
  </sheetViews>
  <sheetFormatPr defaultRowHeight="15"/>
  <cols>
    <col min="1" max="1" width="4.7109375" customWidth="1"/>
    <col min="2" max="7" width="16.7109375" customWidth="1"/>
    <col min="8" max="8" width="24.7109375" customWidth="1"/>
  </cols>
  <sheetData>
    <row r="2" spans="2:8" ht="35" customHeight="1">
      <c r="B2" s="1" t="s">
        <v>0</v>
      </c>
      <c r="C2" s="1"/>
      <c r="D2" s="1"/>
      <c r="E2" s="1"/>
      <c r="F2" s="1"/>
      <c r="G2" s="1"/>
      <c r="H2" s="1"/>
    </row>
    <row r="3" spans="2:8" ht="22" customHeight="1">
      <c r="B3" s="2" t="s">
        <v>1</v>
      </c>
      <c r="C3" s="2"/>
      <c r="D3" s="2"/>
      <c r="E3" s="2"/>
      <c r="F3" s="2"/>
      <c r="G3" s="2"/>
      <c r="H3" s="2"/>
    </row>
    <row r="5" spans="2:8">
      <c r="B5" s="3" t="s">
        <v>2</v>
      </c>
      <c r="C5" s="3"/>
      <c r="D5" s="3"/>
      <c r="E5" s="3"/>
      <c r="F5" s="3"/>
      <c r="G5" s="3"/>
      <c r="H5" s="3"/>
    </row>
    <row r="6" spans="2:8" ht="45" customHeight="1">
      <c r="B6" s="4" t="s">
        <v>3</v>
      </c>
      <c r="C6" s="4"/>
      <c r="D6" s="4"/>
      <c r="E6" s="4"/>
      <c r="F6" s="4"/>
      <c r="G6" s="4"/>
      <c r="H6" s="4"/>
    </row>
    <row r="8" spans="2:8">
      <c r="B8" s="5" t="s">
        <v>4</v>
      </c>
      <c r="C8" s="5"/>
      <c r="D8" s="5"/>
    </row>
    <row r="9" spans="2:8">
      <c r="B9" s="6" t="s">
        <v>5</v>
      </c>
      <c r="C9" s="7" t="s">
        <v>6</v>
      </c>
      <c r="D9" s="7"/>
    </row>
    <row r="10" spans="2:8">
      <c r="B10" s="8" t="s">
        <v>7</v>
      </c>
      <c r="C10" s="7" t="s">
        <v>8</v>
      </c>
      <c r="D10" s="7"/>
    </row>
    <row r="11" spans="2:8">
      <c r="B11" s="9" t="s">
        <v>9</v>
      </c>
      <c r="C11" s="7" t="s">
        <v>10</v>
      </c>
      <c r="D11" s="7"/>
    </row>
    <row r="13" spans="2:8">
      <c r="B13" s="3" t="s">
        <v>11</v>
      </c>
      <c r="C13" s="3"/>
      <c r="D13" s="3"/>
      <c r="E13" s="3"/>
      <c r="F13" s="3"/>
      <c r="G13" s="3"/>
      <c r="H13" s="3"/>
    </row>
    <row r="15" spans="2:8" ht="22" customHeight="1">
      <c r="B15" s="2" t="s">
        <v>12</v>
      </c>
      <c r="C15" s="2"/>
      <c r="D15" s="2"/>
      <c r="E15" s="2"/>
      <c r="F15" s="2"/>
      <c r="G15" s="2"/>
      <c r="H15" s="2"/>
    </row>
    <row r="16" spans="2:8" ht="32" customHeight="1">
      <c r="B16" s="4" t="s">
        <v>13</v>
      </c>
      <c r="C16" s="4"/>
      <c r="D16" s="4"/>
      <c r="E16" s="4"/>
      <c r="F16" s="4"/>
      <c r="G16" s="4"/>
      <c r="H16" s="4"/>
    </row>
    <row r="17" spans="2:8" ht="22" customHeight="1">
      <c r="B17" s="2" t="s">
        <v>14</v>
      </c>
      <c r="C17" s="2"/>
      <c r="D17" s="2"/>
      <c r="E17" s="2"/>
      <c r="F17" s="2"/>
      <c r="G17" s="2"/>
      <c r="H17" s="2"/>
    </row>
    <row r="18" spans="2:8" ht="32" customHeight="1">
      <c r="B18" s="4" t="s">
        <v>15</v>
      </c>
      <c r="C18" s="4"/>
      <c r="D18" s="4"/>
      <c r="E18" s="4"/>
      <c r="F18" s="4"/>
      <c r="G18" s="4"/>
      <c r="H18" s="4"/>
    </row>
    <row r="19" spans="2:8" ht="22" customHeight="1">
      <c r="B19" s="2" t="s">
        <v>16</v>
      </c>
      <c r="C19" s="2"/>
      <c r="D19" s="2"/>
      <c r="E19" s="2"/>
      <c r="F19" s="2"/>
      <c r="G19" s="2"/>
      <c r="H19" s="2"/>
    </row>
    <row r="20" spans="2:8" ht="32" customHeight="1">
      <c r="B20" s="4" t="s">
        <v>17</v>
      </c>
      <c r="C20" s="4"/>
      <c r="D20" s="4"/>
      <c r="E20" s="4"/>
      <c r="F20" s="4"/>
      <c r="G20" s="4"/>
      <c r="H20" s="4"/>
    </row>
    <row r="21" spans="2:8" ht="22" customHeight="1">
      <c r="B21" s="2" t="s">
        <v>18</v>
      </c>
      <c r="C21" s="2"/>
      <c r="D21" s="2"/>
      <c r="E21" s="2"/>
      <c r="F21" s="2"/>
      <c r="G21" s="2"/>
      <c r="H21" s="2"/>
    </row>
    <row r="22" spans="2:8" ht="32" customHeight="1">
      <c r="B22" s="4" t="s">
        <v>19</v>
      </c>
      <c r="C22" s="4"/>
      <c r="D22" s="4"/>
      <c r="E22" s="4"/>
      <c r="F22" s="4"/>
      <c r="G22" s="4"/>
      <c r="H22" s="4"/>
    </row>
    <row r="23" spans="2:8" ht="22" customHeight="1">
      <c r="B23" s="2" t="s">
        <v>20</v>
      </c>
      <c r="C23" s="2"/>
      <c r="D23" s="2"/>
      <c r="E23" s="2"/>
      <c r="F23" s="2"/>
      <c r="G23" s="2"/>
      <c r="H23" s="2"/>
    </row>
    <row r="24" spans="2:8" ht="32" customHeight="1">
      <c r="B24" s="4" t="s">
        <v>21</v>
      </c>
      <c r="C24" s="4"/>
      <c r="D24" s="4"/>
      <c r="E24" s="4"/>
      <c r="F24" s="4"/>
      <c r="G24" s="4"/>
      <c r="H24" s="4"/>
    </row>
    <row r="25" spans="2:8" ht="22" customHeight="1">
      <c r="B25" s="2" t="s">
        <v>22</v>
      </c>
      <c r="C25" s="2"/>
      <c r="D25" s="2"/>
      <c r="E25" s="2"/>
      <c r="F25" s="2"/>
      <c r="G25" s="2"/>
      <c r="H25" s="2"/>
    </row>
    <row r="26" spans="2:8" ht="32" customHeight="1">
      <c r="B26" s="4" t="s">
        <v>23</v>
      </c>
      <c r="C26" s="4"/>
      <c r="D26" s="4"/>
      <c r="E26" s="4"/>
      <c r="F26" s="4"/>
      <c r="G26" s="4"/>
      <c r="H26" s="4"/>
    </row>
  </sheetData>
  <sheetProtection password="EC7C" sheet="1" objects="1" scenarios="1" formatCells="0" formatColumns="0" formatRows="0" insertRows="0" deleteRows="0" sort="0" autoFilter="0"/>
  <mergeCells count="21">
    <mergeCell ref="B2:H2"/>
    <mergeCell ref="B3:H3"/>
    <mergeCell ref="B5:H5"/>
    <mergeCell ref="B6:H6"/>
    <mergeCell ref="B8:D8"/>
    <mergeCell ref="C9:D9"/>
    <mergeCell ref="C10:D10"/>
    <mergeCell ref="C11:D11"/>
    <mergeCell ref="B13:H13"/>
    <mergeCell ref="B15:H15"/>
    <mergeCell ref="B16:H16"/>
    <mergeCell ref="B17:H17"/>
    <mergeCell ref="B18:H18"/>
    <mergeCell ref="B19:H19"/>
    <mergeCell ref="B20:H20"/>
    <mergeCell ref="B21:H21"/>
    <mergeCell ref="B22:H22"/>
    <mergeCell ref="B23:H23"/>
    <mergeCell ref="B24:H24"/>
    <mergeCell ref="B25:H25"/>
    <mergeCell ref="B26:H26"/>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B365D"/>
  </sheetPr>
  <dimension ref="A2:F20"/>
  <sheetViews>
    <sheetView workbookViewId="0"/>
  </sheetViews>
  <sheetFormatPr defaultRowHeight="15"/>
  <cols>
    <col min="1" max="1" width="3.7109375" customWidth="1"/>
    <col min="2" max="2" width="24.7109375" customWidth="1"/>
    <col min="3" max="3" width="38.7109375" customWidth="1"/>
    <col min="4" max="4" width="4.7109375" customWidth="1"/>
    <col min="5" max="5" width="28.7109375" customWidth="1"/>
    <col min="6" max="6" width="18.7109375" customWidth="1"/>
  </cols>
  <sheetData>
    <row r="2" spans="2:6" ht="30" customHeight="1">
      <c r="B2" s="1" t="s">
        <v>24</v>
      </c>
      <c r="C2" s="1"/>
      <c r="D2" s="1"/>
      <c r="E2" s="1"/>
      <c r="F2" s="1"/>
    </row>
    <row r="4" spans="2:6">
      <c r="B4" s="3" t="s">
        <v>25</v>
      </c>
      <c r="C4" s="3"/>
      <c r="E4" s="3" t="s">
        <v>55</v>
      </c>
      <c r="F4" s="3"/>
    </row>
    <row r="5" spans="2:6">
      <c r="B5" s="7" t="s">
        <v>26</v>
      </c>
      <c r="C5" s="10" t="s">
        <v>27</v>
      </c>
      <c r="E5" s="7" t="s">
        <v>56</v>
      </c>
      <c r="F5" s="11">
        <v>0.0825</v>
      </c>
    </row>
    <row r="6" spans="2:6">
      <c r="B6" s="7" t="s">
        <v>28</v>
      </c>
      <c r="C6" s="10" t="s">
        <v>29</v>
      </c>
      <c r="E6" s="7" t="s">
        <v>57</v>
      </c>
      <c r="F6" s="11">
        <v>0.025</v>
      </c>
    </row>
    <row r="7" spans="2:6">
      <c r="B7" s="7" t="s">
        <v>30</v>
      </c>
      <c r="C7" s="10" t="s">
        <v>31</v>
      </c>
      <c r="E7" s="7" t="s">
        <v>58</v>
      </c>
      <c r="F7" s="11">
        <v>0.05</v>
      </c>
    </row>
    <row r="8" spans="2:6">
      <c r="B8" s="7" t="s">
        <v>32</v>
      </c>
      <c r="C8" s="10" t="s">
        <v>33</v>
      </c>
      <c r="E8" s="7" t="s">
        <v>59</v>
      </c>
      <c r="F8" s="11">
        <v>0.1</v>
      </c>
    </row>
    <row r="9" spans="2:6">
      <c r="B9" s="7" t="s">
        <v>34</v>
      </c>
      <c r="C9" s="10" t="s">
        <v>35</v>
      </c>
      <c r="E9" s="7" t="s">
        <v>60</v>
      </c>
      <c r="F9" s="11">
        <v>0.225</v>
      </c>
    </row>
    <row r="10" spans="2:6">
      <c r="B10" s="7" t="s">
        <v>36</v>
      </c>
      <c r="C10" s="10" t="s">
        <v>37</v>
      </c>
      <c r="E10" s="7" t="s">
        <v>61</v>
      </c>
      <c r="F10" s="11">
        <v>0.2</v>
      </c>
    </row>
    <row r="11" spans="2:6" ht="45" customHeight="1">
      <c r="B11" s="7" t="s">
        <v>38</v>
      </c>
      <c r="C11" s="12" t="s">
        <v>39</v>
      </c>
      <c r="E11" s="7" t="s">
        <v>62</v>
      </c>
      <c r="F11" s="11">
        <v>0.35</v>
      </c>
    </row>
    <row r="12" spans="2:6">
      <c r="E12" s="7" t="s">
        <v>63</v>
      </c>
      <c r="F12" s="11">
        <v>0.15</v>
      </c>
    </row>
    <row r="13" spans="2:6">
      <c r="B13" s="3" t="s">
        <v>40</v>
      </c>
      <c r="C13" s="3"/>
      <c r="E13" s="7" t="s">
        <v>64</v>
      </c>
      <c r="F13" s="11">
        <v>0.25</v>
      </c>
    </row>
    <row r="14" spans="2:6">
      <c r="B14" s="7" t="s">
        <v>41</v>
      </c>
      <c r="C14" s="10" t="s">
        <v>42</v>
      </c>
    </row>
    <row r="15" spans="2:6">
      <c r="B15" s="7" t="s">
        <v>43</v>
      </c>
      <c r="C15" s="10" t="s">
        <v>44</v>
      </c>
      <c r="E15" s="2" t="s">
        <v>65</v>
      </c>
      <c r="F15" s="2"/>
    </row>
    <row r="16" spans="2:6" ht="60" customHeight="1">
      <c r="B16" s="7" t="s">
        <v>45</v>
      </c>
      <c r="C16" s="10" t="s">
        <v>46</v>
      </c>
      <c r="E16" s="4" t="s">
        <v>66</v>
      </c>
      <c r="F16" s="4"/>
    </row>
    <row r="17" spans="2:6">
      <c r="B17" s="7" t="s">
        <v>47</v>
      </c>
      <c r="C17" s="10" t="s">
        <v>48</v>
      </c>
      <c r="E17" s="4"/>
      <c r="F17" s="4"/>
    </row>
    <row r="18" spans="2:6">
      <c r="B18" s="7" t="s">
        <v>49</v>
      </c>
      <c r="C18" s="10" t="s">
        <v>50</v>
      </c>
      <c r="E18" s="4"/>
      <c r="F18" s="4"/>
    </row>
    <row r="19" spans="2:6">
      <c r="B19" s="7" t="s">
        <v>51</v>
      </c>
      <c r="C19" s="10" t="s">
        <v>52</v>
      </c>
    </row>
    <row r="20" spans="2:6">
      <c r="B20" s="7" t="s">
        <v>53</v>
      </c>
      <c r="C20" s="10" t="s">
        <v>54</v>
      </c>
    </row>
  </sheetData>
  <sheetProtection password="EC7C" sheet="1" objects="1" scenarios="1" formatCells="0" formatColumns="0" formatRows="0" insertRows="0" deleteRows="0" sort="0" autoFilter="0"/>
  <mergeCells count="6">
    <mergeCell ref="B2:F2"/>
    <mergeCell ref="B4:C4"/>
    <mergeCell ref="B13:C13"/>
    <mergeCell ref="E4:F4"/>
    <mergeCell ref="E15:F15"/>
    <mergeCell ref="E16:F18"/>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3B82F6"/>
  </sheetPr>
  <dimension ref="A2:I18"/>
  <sheetViews>
    <sheetView workbookViewId="0"/>
  </sheetViews>
  <sheetFormatPr defaultRowHeight="15"/>
  <cols>
    <col min="1" max="1" width="10.7109375" customWidth="1"/>
    <col min="2" max="2" width="32.7109375" customWidth="1"/>
    <col min="3" max="3" width="18.7109375" customWidth="1"/>
    <col min="4" max="4" width="22.7109375" customWidth="1"/>
    <col min="5" max="5" width="12.7109375" customWidth="1"/>
    <col min="6" max="6" width="10.7109375" customWidth="1"/>
    <col min="7" max="9" width="16.7109375" customWidth="1"/>
  </cols>
  <sheetData>
    <row r="2" spans="1:9" ht="30" customHeight="1">
      <c r="A2" s="1" t="s">
        <v>67</v>
      </c>
      <c r="B2" s="1"/>
      <c r="C2" s="1"/>
      <c r="D2" s="1"/>
      <c r="E2" s="1"/>
      <c r="F2" s="1"/>
      <c r="G2" s="1"/>
      <c r="H2" s="1"/>
      <c r="I2" s="1"/>
    </row>
    <row r="3" spans="1:9">
      <c r="A3" s="2" t="s">
        <v>68</v>
      </c>
      <c r="B3" s="2"/>
      <c r="C3" s="2"/>
      <c r="D3" s="2"/>
      <c r="E3" s="2"/>
      <c r="F3" s="2"/>
      <c r="G3" s="2"/>
      <c r="H3" s="2"/>
      <c r="I3" s="2"/>
    </row>
    <row r="5" spans="1:9" ht="25" customHeight="1">
      <c r="A5" s="9" t="s">
        <v>69</v>
      </c>
      <c r="B5" s="9" t="s">
        <v>70</v>
      </c>
      <c r="C5" s="9" t="s">
        <v>71</v>
      </c>
      <c r="D5" s="9" t="s">
        <v>72</v>
      </c>
      <c r="E5" s="9" t="s">
        <v>73</v>
      </c>
      <c r="F5" s="9" t="s">
        <v>74</v>
      </c>
      <c r="G5" s="9" t="s">
        <v>75</v>
      </c>
      <c r="H5" s="9" t="s">
        <v>76</v>
      </c>
      <c r="I5" s="9" t="s">
        <v>77</v>
      </c>
    </row>
    <row r="6" spans="1:9">
      <c r="A6" s="6" t="s">
        <v>78</v>
      </c>
      <c r="B6" s="10" t="s">
        <v>79</v>
      </c>
      <c r="C6" s="6" t="s">
        <v>80</v>
      </c>
      <c r="D6" s="10" t="s">
        <v>81</v>
      </c>
      <c r="E6" s="13">
        <v>12</v>
      </c>
      <c r="F6" s="6" t="s">
        <v>82</v>
      </c>
      <c r="G6" s="14">
        <v>700</v>
      </c>
      <c r="H6" s="14">
        <v>140</v>
      </c>
      <c r="I6" s="15">
        <f>E6*G6+H6</f>
        <v>0</v>
      </c>
    </row>
    <row r="7" spans="1:9">
      <c r="A7" s="6" t="s">
        <v>83</v>
      </c>
      <c r="B7" s="10" t="s">
        <v>84</v>
      </c>
      <c r="C7" s="6" t="s">
        <v>80</v>
      </c>
      <c r="D7" s="10" t="s">
        <v>81</v>
      </c>
      <c r="E7" s="13">
        <v>8</v>
      </c>
      <c r="F7" s="6" t="s">
        <v>82</v>
      </c>
      <c r="G7" s="14">
        <v>350</v>
      </c>
      <c r="H7" s="14">
        <v>70</v>
      </c>
      <c r="I7" s="15">
        <f>E7*G7+H7</f>
        <v>0</v>
      </c>
    </row>
    <row r="8" spans="1:9">
      <c r="A8" s="6" t="s">
        <v>85</v>
      </c>
      <c r="B8" s="10" t="s">
        <v>86</v>
      </c>
      <c r="C8" s="6" t="s">
        <v>87</v>
      </c>
      <c r="D8" s="10" t="s">
        <v>88</v>
      </c>
      <c r="E8" s="13">
        <v>60</v>
      </c>
      <c r="F8" s="6" t="s">
        <v>89</v>
      </c>
      <c r="G8" s="14">
        <v>75</v>
      </c>
      <c r="H8" s="14">
        <v>300</v>
      </c>
      <c r="I8" s="15">
        <f>E8*G8+H8</f>
        <v>0</v>
      </c>
    </row>
    <row r="9" spans="1:9">
      <c r="A9" s="6" t="s">
        <v>90</v>
      </c>
      <c r="B9" s="10" t="s">
        <v>91</v>
      </c>
      <c r="C9" s="6" t="s">
        <v>92</v>
      </c>
      <c r="D9" s="10" t="s">
        <v>93</v>
      </c>
      <c r="E9" s="13">
        <v>450</v>
      </c>
      <c r="F9" s="6" t="s">
        <v>89</v>
      </c>
      <c r="G9" s="14">
        <v>6.5</v>
      </c>
      <c r="H9" s="14">
        <v>225</v>
      </c>
      <c r="I9" s="15">
        <f>E9*G9+H9</f>
        <v>0</v>
      </c>
    </row>
    <row r="10" spans="1:9">
      <c r="A10" s="6" t="s">
        <v>94</v>
      </c>
      <c r="B10" s="10" t="s">
        <v>95</v>
      </c>
      <c r="C10" s="6" t="s">
        <v>92</v>
      </c>
      <c r="D10" s="10" t="s">
        <v>93</v>
      </c>
      <c r="E10" s="13">
        <v>450</v>
      </c>
      <c r="F10" s="6" t="s">
        <v>89</v>
      </c>
      <c r="G10" s="14">
        <v>0.65</v>
      </c>
      <c r="H10" s="14">
        <v>7.5</v>
      </c>
      <c r="I10" s="15">
        <f>E10*G10+H10</f>
        <v>0</v>
      </c>
    </row>
    <row r="11" spans="1:9">
      <c r="A11" s="6" t="s">
        <v>96</v>
      </c>
      <c r="B11" s="10" t="s">
        <v>97</v>
      </c>
      <c r="C11" s="6" t="s">
        <v>98</v>
      </c>
      <c r="D11" s="10" t="s">
        <v>99</v>
      </c>
      <c r="E11" s="13">
        <v>16</v>
      </c>
      <c r="F11" s="6" t="s">
        <v>74</v>
      </c>
      <c r="G11" s="14">
        <v>45</v>
      </c>
      <c r="H11" s="14">
        <v>30</v>
      </c>
      <c r="I11" s="15">
        <f>E11*G11+H11</f>
        <v>0</v>
      </c>
    </row>
    <row r="12" spans="1:9">
      <c r="A12" s="6" t="s">
        <v>100</v>
      </c>
      <c r="B12" s="10" t="s">
        <v>101</v>
      </c>
      <c r="C12" s="6" t="s">
        <v>98</v>
      </c>
      <c r="D12" s="10" t="s">
        <v>99</v>
      </c>
      <c r="E12" s="13">
        <v>3</v>
      </c>
      <c r="F12" s="6" t="s">
        <v>74</v>
      </c>
      <c r="G12" s="14">
        <v>220</v>
      </c>
      <c r="H12" s="14">
        <v>20</v>
      </c>
      <c r="I12" s="15">
        <f>E12*G12+H12</f>
        <v>0</v>
      </c>
    </row>
    <row r="13" spans="1:9">
      <c r="A13" s="6" t="s">
        <v>102</v>
      </c>
      <c r="B13" s="10" t="s">
        <v>103</v>
      </c>
      <c r="C13" s="6" t="s">
        <v>104</v>
      </c>
      <c r="D13" s="10" t="s">
        <v>105</v>
      </c>
      <c r="E13" s="13">
        <v>4</v>
      </c>
      <c r="F13" s="6" t="s">
        <v>106</v>
      </c>
      <c r="G13" s="14">
        <v>45</v>
      </c>
      <c r="H13" s="14">
        <v>20</v>
      </c>
      <c r="I13" s="15">
        <f>E13*G13+H13</f>
        <v>0</v>
      </c>
    </row>
    <row r="14" spans="1:9">
      <c r="A14" s="6" t="s">
        <v>107</v>
      </c>
      <c r="B14" s="10" t="s">
        <v>108</v>
      </c>
      <c r="C14" s="6" t="s">
        <v>104</v>
      </c>
      <c r="D14" s="10" t="s">
        <v>105</v>
      </c>
      <c r="E14" s="13">
        <v>6</v>
      </c>
      <c r="F14" s="6" t="s">
        <v>106</v>
      </c>
      <c r="G14" s="14">
        <v>65</v>
      </c>
      <c r="H14" s="14">
        <v>30</v>
      </c>
      <c r="I14" s="15">
        <f>E14*G14+H14</f>
        <v>0</v>
      </c>
    </row>
    <row r="15" spans="1:9">
      <c r="A15" s="6" t="s">
        <v>109</v>
      </c>
      <c r="B15" s="10" t="s">
        <v>110</v>
      </c>
      <c r="C15" s="6" t="s">
        <v>111</v>
      </c>
      <c r="D15" s="10" t="s">
        <v>112</v>
      </c>
      <c r="E15" s="13">
        <v>1</v>
      </c>
      <c r="F15" s="6" t="s">
        <v>82</v>
      </c>
      <c r="G15" s="14">
        <v>950</v>
      </c>
      <c r="H15" s="14">
        <v>50</v>
      </c>
      <c r="I15" s="15">
        <f>E15*G15+H15</f>
        <v>0</v>
      </c>
    </row>
    <row r="16" spans="1:9">
      <c r="A16" s="6" t="s">
        <v>113</v>
      </c>
      <c r="B16" s="10" t="s">
        <v>114</v>
      </c>
      <c r="C16" s="6" t="s">
        <v>115</v>
      </c>
      <c r="D16" s="10" t="s">
        <v>88</v>
      </c>
      <c r="E16" s="13">
        <v>80</v>
      </c>
      <c r="F16" s="6" t="s">
        <v>89</v>
      </c>
      <c r="G16" s="14">
        <v>8.5</v>
      </c>
      <c r="H16" s="14">
        <v>40</v>
      </c>
      <c r="I16" s="15">
        <f>E16*G16+H16</f>
        <v>0</v>
      </c>
    </row>
    <row r="17" spans="1:9">
      <c r="A17" s="6" t="s">
        <v>116</v>
      </c>
      <c r="B17" s="10" t="s">
        <v>117</v>
      </c>
      <c r="C17" s="6" t="s">
        <v>118</v>
      </c>
      <c r="D17" s="10" t="s">
        <v>119</v>
      </c>
      <c r="E17" s="13">
        <v>1</v>
      </c>
      <c r="F17" s="6" t="s">
        <v>120</v>
      </c>
      <c r="G17" s="14">
        <v>650</v>
      </c>
      <c r="H17" s="14">
        <v>50</v>
      </c>
      <c r="I17" s="15">
        <f>E17*G17+H17</f>
        <v>0</v>
      </c>
    </row>
    <row r="18" spans="1:9" ht="25" customHeight="1">
      <c r="A18" s="16" t="s">
        <v>121</v>
      </c>
      <c r="B18" s="16"/>
      <c r="C18" s="16"/>
      <c r="D18" s="16"/>
      <c r="E18" s="16"/>
      <c r="F18" s="16"/>
      <c r="G18" s="16"/>
      <c r="H18" s="16"/>
      <c r="I18" s="17">
        <f>SUM(I6:I17)</f>
        <v>0</v>
      </c>
    </row>
  </sheetData>
  <sheetProtection password="EC7C" sheet="1" objects="1" scenarios="1" formatCells="0" formatColumns="0" formatRows="0" insertRows="0" deleteRows="0" sort="0" autoFilter="0"/>
  <mergeCells count="3">
    <mergeCell ref="A2:I2"/>
    <mergeCell ref="A3:I3"/>
    <mergeCell ref="A18:H18"/>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3B82F6"/>
  </sheetPr>
  <dimension ref="A2:H16"/>
  <sheetViews>
    <sheetView workbookViewId="0"/>
  </sheetViews>
  <sheetFormatPr defaultRowHeight="15"/>
  <cols>
    <col min="1" max="1" width="10.7109375" customWidth="1"/>
    <col min="2" max="2" width="32.7109375" customWidth="1"/>
    <col min="3" max="4" width="14.7109375" customWidth="1"/>
    <col min="5" max="7" width="16.7109375" customWidth="1"/>
    <col min="8" max="8" width="18.7109375" customWidth="1"/>
  </cols>
  <sheetData>
    <row r="2" spans="1:8" ht="30" customHeight="1">
      <c r="A2" s="1" t="s">
        <v>122</v>
      </c>
      <c r="B2" s="1"/>
      <c r="C2" s="1"/>
      <c r="D2" s="1"/>
      <c r="E2" s="1"/>
      <c r="F2" s="1"/>
      <c r="G2" s="1"/>
      <c r="H2" s="1"/>
    </row>
    <row r="3" spans="1:8">
      <c r="A3" s="2" t="s">
        <v>123</v>
      </c>
      <c r="B3" s="2"/>
      <c r="C3" s="2"/>
      <c r="D3" s="2"/>
      <c r="E3" s="2"/>
      <c r="F3" s="2"/>
      <c r="G3" s="2"/>
      <c r="H3" s="2"/>
    </row>
    <row r="5" spans="1:8" ht="25" customHeight="1">
      <c r="A5" s="9" t="s">
        <v>124</v>
      </c>
      <c r="B5" s="9" t="s">
        <v>125</v>
      </c>
      <c r="C5" s="9" t="s">
        <v>126</v>
      </c>
      <c r="D5" s="9" t="s">
        <v>127</v>
      </c>
      <c r="E5" s="9" t="s">
        <v>128</v>
      </c>
      <c r="F5" s="9" t="s">
        <v>129</v>
      </c>
      <c r="G5" s="9" t="s">
        <v>130</v>
      </c>
      <c r="H5" s="9" t="s">
        <v>131</v>
      </c>
    </row>
    <row r="6" spans="1:8">
      <c r="A6" s="6" t="s">
        <v>132</v>
      </c>
      <c r="B6" s="10" t="s">
        <v>133</v>
      </c>
      <c r="C6" s="13">
        <v>2</v>
      </c>
      <c r="D6" s="13">
        <v>32</v>
      </c>
      <c r="E6" s="14">
        <v>40</v>
      </c>
      <c r="F6" s="13">
        <v>0</v>
      </c>
      <c r="G6" s="14">
        <v>60</v>
      </c>
      <c r="H6" s="15">
        <f>(C6*D6*E6)+(C6*F6*G6)</f>
        <v>0</v>
      </c>
    </row>
    <row r="7" spans="1:8">
      <c r="A7" s="6" t="s">
        <v>134</v>
      </c>
      <c r="B7" s="10" t="s">
        <v>135</v>
      </c>
      <c r="C7" s="13">
        <v>2</v>
      </c>
      <c r="D7" s="13">
        <v>24</v>
      </c>
      <c r="E7" s="14">
        <v>55</v>
      </c>
      <c r="F7" s="13">
        <v>4</v>
      </c>
      <c r="G7" s="14">
        <v>82.5</v>
      </c>
      <c r="H7" s="15">
        <f>(C7*D7*E7)+(C7*F7*G7)</f>
        <v>0</v>
      </c>
    </row>
    <row r="8" spans="1:8">
      <c r="A8" s="6" t="s">
        <v>136</v>
      </c>
      <c r="B8" s="10" t="s">
        <v>137</v>
      </c>
      <c r="C8" s="13">
        <v>2</v>
      </c>
      <c r="D8" s="13">
        <v>40</v>
      </c>
      <c r="E8" s="14">
        <v>65</v>
      </c>
      <c r="F8" s="13">
        <v>0</v>
      </c>
      <c r="G8" s="14">
        <v>97.5</v>
      </c>
      <c r="H8" s="15">
        <f>(C8*D8*E8)+(C8*F8*G8)</f>
        <v>0</v>
      </c>
    </row>
    <row r="9" spans="1:8">
      <c r="A9" s="6" t="s">
        <v>138</v>
      </c>
      <c r="B9" s="10" t="s">
        <v>139</v>
      </c>
      <c r="C9" s="13">
        <v>1</v>
      </c>
      <c r="D9" s="13">
        <v>32</v>
      </c>
      <c r="E9" s="14">
        <v>60</v>
      </c>
      <c r="F9" s="13">
        <v>0</v>
      </c>
      <c r="G9" s="14">
        <v>90</v>
      </c>
      <c r="H9" s="15">
        <f>(C9*D9*E9)+(C9*F9*G9)</f>
        <v>0</v>
      </c>
    </row>
    <row r="10" spans="1:8">
      <c r="A10" s="6" t="s">
        <v>140</v>
      </c>
      <c r="B10" s="10" t="s">
        <v>141</v>
      </c>
      <c r="C10" s="13">
        <v>2</v>
      </c>
      <c r="D10" s="13">
        <v>28</v>
      </c>
      <c r="E10" s="14">
        <v>45</v>
      </c>
      <c r="F10" s="13">
        <v>0</v>
      </c>
      <c r="G10" s="14">
        <v>67.5</v>
      </c>
      <c r="H10" s="15">
        <f>(C10*D10*E10)+(C10*F10*G10)</f>
        <v>0</v>
      </c>
    </row>
    <row r="11" spans="1:8">
      <c r="A11" s="6" t="s">
        <v>142</v>
      </c>
      <c r="B11" s="10" t="s">
        <v>143</v>
      </c>
      <c r="C11" s="13">
        <v>2</v>
      </c>
      <c r="D11" s="13">
        <v>24</v>
      </c>
      <c r="E11" s="14">
        <v>50</v>
      </c>
      <c r="F11" s="13">
        <v>0</v>
      </c>
      <c r="G11" s="14">
        <v>75</v>
      </c>
      <c r="H11" s="15">
        <f>(C11*D11*E11)+(C11*F11*G11)</f>
        <v>0</v>
      </c>
    </row>
    <row r="12" spans="1:8">
      <c r="A12" s="6" t="s">
        <v>144</v>
      </c>
      <c r="B12" s="10" t="s">
        <v>145</v>
      </c>
      <c r="C12" s="13">
        <v>1</v>
      </c>
      <c r="D12" s="13">
        <v>16</v>
      </c>
      <c r="E12" s="14">
        <v>55</v>
      </c>
      <c r="F12" s="13">
        <v>0</v>
      </c>
      <c r="G12" s="14">
        <v>82.5</v>
      </c>
      <c r="H12" s="15">
        <f>(C12*D12*E12)+(C12*F12*G12)</f>
        <v>0</v>
      </c>
    </row>
    <row r="13" spans="1:8">
      <c r="A13" s="6" t="s">
        <v>146</v>
      </c>
      <c r="B13" s="10" t="s">
        <v>147</v>
      </c>
      <c r="C13" s="13">
        <v>2</v>
      </c>
      <c r="D13" s="13">
        <v>36</v>
      </c>
      <c r="E13" s="14">
        <v>45</v>
      </c>
      <c r="F13" s="13">
        <v>0</v>
      </c>
      <c r="G13" s="14">
        <v>67.5</v>
      </c>
      <c r="H13" s="15">
        <f>(C13*D13*E13)+(C13*F13*G13)</f>
        <v>0</v>
      </c>
    </row>
    <row r="14" spans="1:8">
      <c r="A14" s="6" t="s">
        <v>148</v>
      </c>
      <c r="B14" s="10" t="s">
        <v>149</v>
      </c>
      <c r="C14" s="13">
        <v>1</v>
      </c>
      <c r="D14" s="13">
        <v>24</v>
      </c>
      <c r="E14" s="14">
        <v>75</v>
      </c>
      <c r="F14" s="13">
        <v>0</v>
      </c>
      <c r="G14" s="14">
        <v>112.5</v>
      </c>
      <c r="H14" s="15">
        <f>(C14*D14*E14)+(C14*F14*G14)</f>
        <v>0</v>
      </c>
    </row>
    <row r="15" spans="1:8">
      <c r="A15" s="6" t="s">
        <v>150</v>
      </c>
      <c r="B15" s="10" t="s">
        <v>151</v>
      </c>
      <c r="C15" s="13">
        <v>1</v>
      </c>
      <c r="D15" s="13">
        <v>16</v>
      </c>
      <c r="E15" s="14">
        <v>35</v>
      </c>
      <c r="F15" s="13">
        <v>0</v>
      </c>
      <c r="G15" s="14">
        <v>52.5</v>
      </c>
      <c r="H15" s="15">
        <f>(C15*D15*E15)+(C15*F15*G15)</f>
        <v>0</v>
      </c>
    </row>
    <row r="16" spans="1:8" ht="25" customHeight="1">
      <c r="A16" s="16" t="s">
        <v>152</v>
      </c>
      <c r="B16" s="16"/>
      <c r="C16" s="16"/>
      <c r="D16" s="16"/>
      <c r="E16" s="16"/>
      <c r="F16" s="16"/>
      <c r="G16" s="16"/>
      <c r="H16" s="17">
        <f>SUM(H6:H15)</f>
        <v>0</v>
      </c>
    </row>
  </sheetData>
  <sheetProtection password="EC7C" sheet="1" objects="1" scenarios="1" formatCells="0" formatColumns="0" formatRows="0" insertRows="0" deleteRows="0" sort="0" autoFilter="0"/>
  <mergeCells count="3">
    <mergeCell ref="A2:H2"/>
    <mergeCell ref="A3:H3"/>
    <mergeCell ref="A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3B82F6"/>
  </sheetPr>
  <dimension ref="A2:H14"/>
  <sheetViews>
    <sheetView workbookViewId="0"/>
  </sheetViews>
  <sheetFormatPr defaultRowHeight="15"/>
  <cols>
    <col min="1" max="1" width="10.7109375" customWidth="1"/>
    <col min="2" max="2" width="32.7109375" customWidth="1"/>
    <col min="3" max="4" width="18.7109375" customWidth="1"/>
    <col min="5" max="8" width="16.7109375" customWidth="1"/>
  </cols>
  <sheetData>
    <row r="2" spans="1:8" ht="30" customHeight="1">
      <c r="A2" s="1" t="s">
        <v>153</v>
      </c>
      <c r="B2" s="1"/>
      <c r="C2" s="1"/>
      <c r="D2" s="1"/>
      <c r="E2" s="1"/>
      <c r="F2" s="1"/>
      <c r="G2" s="1"/>
      <c r="H2" s="1"/>
    </row>
    <row r="3" spans="1:8">
      <c r="A3" s="2" t="s">
        <v>154</v>
      </c>
      <c r="B3" s="2"/>
      <c r="C3" s="2"/>
      <c r="D3" s="2"/>
      <c r="E3" s="2"/>
      <c r="F3" s="2"/>
      <c r="G3" s="2"/>
      <c r="H3" s="2"/>
    </row>
    <row r="5" spans="1:8" ht="25" customHeight="1">
      <c r="A5" s="9" t="s">
        <v>155</v>
      </c>
      <c r="B5" s="9" t="s">
        <v>156</v>
      </c>
      <c r="C5" s="9" t="s">
        <v>157</v>
      </c>
      <c r="D5" s="9" t="s">
        <v>158</v>
      </c>
      <c r="E5" s="9" t="s">
        <v>159</v>
      </c>
      <c r="F5" s="9" t="s">
        <v>160</v>
      </c>
      <c r="G5" s="9" t="s">
        <v>161</v>
      </c>
      <c r="H5" s="9" t="s">
        <v>77</v>
      </c>
    </row>
    <row r="6" spans="1:8">
      <c r="A6" s="6" t="s">
        <v>162</v>
      </c>
      <c r="B6" s="10" t="s">
        <v>163</v>
      </c>
      <c r="C6" s="6" t="s">
        <v>164</v>
      </c>
      <c r="D6" s="6" t="s">
        <v>165</v>
      </c>
      <c r="E6" s="14">
        <v>650</v>
      </c>
      <c r="F6" s="13">
        <v>1</v>
      </c>
      <c r="G6" s="14">
        <v>200</v>
      </c>
      <c r="H6" s="15">
        <f>E6*F6+G6</f>
        <v>0</v>
      </c>
    </row>
    <row r="7" spans="1:8">
      <c r="A7" s="6" t="s">
        <v>166</v>
      </c>
      <c r="B7" s="10" t="s">
        <v>167</v>
      </c>
      <c r="C7" s="6" t="s">
        <v>168</v>
      </c>
      <c r="D7" s="6" t="s">
        <v>169</v>
      </c>
      <c r="E7" s="14">
        <v>45</v>
      </c>
      <c r="F7" s="13">
        <v>10</v>
      </c>
      <c r="G7" s="14">
        <v>50</v>
      </c>
      <c r="H7" s="15">
        <f>E7*F7+G7</f>
        <v>0</v>
      </c>
    </row>
    <row r="8" spans="1:8">
      <c r="A8" s="6" t="s">
        <v>170</v>
      </c>
      <c r="B8" s="10" t="s">
        <v>171</v>
      </c>
      <c r="C8" s="6" t="s">
        <v>168</v>
      </c>
      <c r="D8" s="6" t="s">
        <v>169</v>
      </c>
      <c r="E8" s="14">
        <v>35</v>
      </c>
      <c r="F8" s="13">
        <v>4</v>
      </c>
      <c r="G8" s="14">
        <v>0</v>
      </c>
      <c r="H8" s="15">
        <f>E8*F8+G8</f>
        <v>0</v>
      </c>
    </row>
    <row r="9" spans="1:8">
      <c r="A9" s="6" t="s">
        <v>172</v>
      </c>
      <c r="B9" s="10" t="s">
        <v>173</v>
      </c>
      <c r="C9" s="6" t="s">
        <v>164</v>
      </c>
      <c r="D9" s="6" t="s">
        <v>169</v>
      </c>
      <c r="E9" s="14">
        <v>85</v>
      </c>
      <c r="F9" s="13">
        <v>3</v>
      </c>
      <c r="G9" s="14">
        <v>50</v>
      </c>
      <c r="H9" s="15">
        <f>E9*F9+G9</f>
        <v>0</v>
      </c>
    </row>
    <row r="10" spans="1:8">
      <c r="A10" s="6" t="s">
        <v>174</v>
      </c>
      <c r="B10" s="10" t="s">
        <v>175</v>
      </c>
      <c r="C10" s="6" t="s">
        <v>164</v>
      </c>
      <c r="D10" s="6" t="s">
        <v>176</v>
      </c>
      <c r="E10" s="14">
        <v>250</v>
      </c>
      <c r="F10" s="13">
        <v>2</v>
      </c>
      <c r="G10" s="14">
        <v>75</v>
      </c>
      <c r="H10" s="15">
        <f>E10*F10+G10</f>
        <v>0</v>
      </c>
    </row>
    <row r="11" spans="1:8">
      <c r="A11" s="6" t="s">
        <v>177</v>
      </c>
      <c r="B11" s="10" t="s">
        <v>178</v>
      </c>
      <c r="C11" s="6" t="s">
        <v>168</v>
      </c>
      <c r="D11" s="6" t="s">
        <v>165</v>
      </c>
      <c r="E11" s="14">
        <v>120</v>
      </c>
      <c r="F11" s="13">
        <v>1</v>
      </c>
      <c r="G11" s="14">
        <v>0</v>
      </c>
      <c r="H11" s="15">
        <f>E11*F11+G11</f>
        <v>0</v>
      </c>
    </row>
    <row r="12" spans="1:8">
      <c r="A12" s="6" t="s">
        <v>179</v>
      </c>
      <c r="B12" s="10" t="s">
        <v>180</v>
      </c>
      <c r="C12" s="6" t="s">
        <v>164</v>
      </c>
      <c r="D12" s="6" t="s">
        <v>169</v>
      </c>
      <c r="E12" s="14">
        <v>40</v>
      </c>
      <c r="F12" s="13">
        <v>5</v>
      </c>
      <c r="G12" s="14">
        <v>25</v>
      </c>
      <c r="H12" s="15">
        <f>E12*F12+G12</f>
        <v>0</v>
      </c>
    </row>
    <row r="13" spans="1:8">
      <c r="A13" s="6" t="s">
        <v>181</v>
      </c>
      <c r="B13" s="10" t="s">
        <v>182</v>
      </c>
      <c r="C13" s="6" t="s">
        <v>168</v>
      </c>
      <c r="D13" s="6" t="s">
        <v>165</v>
      </c>
      <c r="E13" s="14">
        <v>150</v>
      </c>
      <c r="F13" s="13">
        <v>1</v>
      </c>
      <c r="G13" s="14">
        <v>0</v>
      </c>
      <c r="H13" s="15">
        <f>E13*F13+G13</f>
        <v>0</v>
      </c>
    </row>
    <row r="14" spans="1:8" ht="25" customHeight="1">
      <c r="A14" s="16" t="s">
        <v>183</v>
      </c>
      <c r="B14" s="16"/>
      <c r="C14" s="16"/>
      <c r="D14" s="16"/>
      <c r="E14" s="16"/>
      <c r="F14" s="16"/>
      <c r="G14" s="16"/>
      <c r="H14" s="17">
        <f>SUM(H6:H13)</f>
        <v>0</v>
      </c>
    </row>
  </sheetData>
  <sheetProtection password="EC7C" sheet="1" objects="1" scenarios="1" formatCells="0" formatColumns="0" formatRows="0" insertRows="0" deleteRows="0" sort="0" autoFilter="0"/>
  <mergeCells count="3">
    <mergeCell ref="A2:H2"/>
    <mergeCell ref="A3:H3"/>
    <mergeCell ref="A14:G14"/>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3B82F6"/>
  </sheetPr>
  <dimension ref="A2:H9"/>
  <sheetViews>
    <sheetView workbookViewId="0"/>
  </sheetViews>
  <sheetFormatPr defaultRowHeight="15"/>
  <cols>
    <col min="1" max="1" width="10.7109375" customWidth="1"/>
    <col min="2" max="2" width="28.7109375" customWidth="1"/>
    <col min="3" max="3" width="32.7109375" customWidth="1"/>
    <col min="4" max="7" width="16.7109375" customWidth="1"/>
    <col min="8" max="8" width="18.7109375" customWidth="1"/>
  </cols>
  <sheetData>
    <row r="2" spans="1:8" ht="30" customHeight="1">
      <c r="A2" s="1" t="s">
        <v>184</v>
      </c>
      <c r="B2" s="1"/>
      <c r="C2" s="1"/>
      <c r="D2" s="1"/>
      <c r="E2" s="1"/>
      <c r="F2" s="1"/>
      <c r="G2" s="1"/>
      <c r="H2" s="1"/>
    </row>
    <row r="3" spans="1:8">
      <c r="A3" s="2" t="s">
        <v>185</v>
      </c>
      <c r="B3" s="2"/>
      <c r="C3" s="2"/>
      <c r="D3" s="2"/>
      <c r="E3" s="2"/>
      <c r="F3" s="2"/>
      <c r="G3" s="2"/>
      <c r="H3" s="2"/>
    </row>
    <row r="5" spans="1:8" ht="25" customHeight="1">
      <c r="A5" s="9" t="s">
        <v>186</v>
      </c>
      <c r="B5" s="9" t="s">
        <v>187</v>
      </c>
      <c r="C5" s="9" t="s">
        <v>188</v>
      </c>
      <c r="D5" s="9" t="s">
        <v>189</v>
      </c>
      <c r="E5" s="9" t="s">
        <v>190</v>
      </c>
      <c r="F5" s="9" t="s">
        <v>191</v>
      </c>
      <c r="G5" s="9" t="s">
        <v>192</v>
      </c>
      <c r="H5" s="9" t="s">
        <v>193</v>
      </c>
    </row>
    <row r="6" spans="1:8">
      <c r="A6" s="6" t="s">
        <v>194</v>
      </c>
      <c r="B6" s="10" t="s">
        <v>195</v>
      </c>
      <c r="C6" s="10" t="s">
        <v>196</v>
      </c>
      <c r="D6" s="14">
        <v>4200</v>
      </c>
      <c r="E6" s="11">
        <v>0.15</v>
      </c>
      <c r="F6" s="15">
        <f>D6*E6</f>
        <v>0</v>
      </c>
      <c r="G6" s="15">
        <f>D6+F6</f>
        <v>0</v>
      </c>
      <c r="H6" s="6" t="s">
        <v>197</v>
      </c>
    </row>
    <row r="7" spans="1:8">
      <c r="A7" s="6" t="s">
        <v>198</v>
      </c>
      <c r="B7" s="10" t="s">
        <v>199</v>
      </c>
      <c r="C7" s="10" t="s">
        <v>200</v>
      </c>
      <c r="D7" s="14">
        <v>3800</v>
      </c>
      <c r="E7" s="11">
        <v>0.15</v>
      </c>
      <c r="F7" s="15">
        <f>D7*E7</f>
        <v>0</v>
      </c>
      <c r="G7" s="15">
        <f>D7+F7</f>
        <v>0</v>
      </c>
      <c r="H7" s="6" t="s">
        <v>197</v>
      </c>
    </row>
    <row r="8" spans="1:8">
      <c r="A8" s="6" t="s">
        <v>201</v>
      </c>
      <c r="B8" s="10" t="s">
        <v>202</v>
      </c>
      <c r="C8" s="10" t="s">
        <v>203</v>
      </c>
      <c r="D8" s="14">
        <v>1750</v>
      </c>
      <c r="E8" s="11">
        <v>0.15</v>
      </c>
      <c r="F8" s="15">
        <f>D8*E8</f>
        <v>0</v>
      </c>
      <c r="G8" s="15">
        <f>D8+F8</f>
        <v>0</v>
      </c>
      <c r="H8" s="6" t="s">
        <v>197</v>
      </c>
    </row>
    <row r="9" spans="1:8" ht="25" customHeight="1">
      <c r="A9" s="16" t="s">
        <v>204</v>
      </c>
      <c r="B9" s="16"/>
      <c r="C9" s="16"/>
      <c r="D9" s="17">
        <f>SUM(D6:D8)</f>
        <v>0</v>
      </c>
      <c r="E9" s="16">
        <f/>
        <v>0</v>
      </c>
      <c r="F9" s="17">
        <f>SUM(F6:F8)</f>
        <v>0</v>
      </c>
      <c r="G9" s="17">
        <f>SUM(G6:G8)</f>
        <v>0</v>
      </c>
      <c r="H9" s="16"/>
    </row>
  </sheetData>
  <sheetProtection password="EC7C" sheet="1" objects="1" scenarios="1" formatCells="0" formatColumns="0" formatRows="0" insertRows="0" deleteRows="0" sort="0" autoFilter="0"/>
  <mergeCells count="3">
    <mergeCell ref="A2:H2"/>
    <mergeCell ref="A3:H3"/>
    <mergeCell ref="A9:C9"/>
  </mergeCell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2C3E50"/>
    <pageSetUpPr fitToPage="1"/>
  </sheetPr>
  <dimension ref="A2:G62"/>
  <sheetViews>
    <sheetView workbookViewId="0"/>
  </sheetViews>
  <sheetFormatPr defaultRowHeight="15"/>
  <cols>
    <col min="1" max="1" width="8.7109375" customWidth="1"/>
    <col min="2" max="2" width="34.7109375" customWidth="1"/>
    <col min="3" max="3" width="12.7109375" customWidth="1"/>
    <col min="4" max="4" width="10.7109375" customWidth="1"/>
    <col min="5" max="7" width="16.7109375" customWidth="1"/>
  </cols>
  <sheetData>
    <row r="2" spans="1:7" ht="35" customHeight="1">
      <c r="A2" s="1" t="s">
        <v>205</v>
      </c>
      <c r="B2" s="1"/>
      <c r="C2" s="1"/>
      <c r="D2" s="1"/>
      <c r="E2" s="1"/>
      <c r="F2" s="1"/>
      <c r="G2" s="1"/>
    </row>
    <row r="3" spans="1:7">
      <c r="A3" s="2" t="s">
        <v>206</v>
      </c>
      <c r="B3" s="2"/>
      <c r="C3" s="2"/>
      <c r="D3" s="2"/>
      <c r="E3" s="2"/>
      <c r="F3" s="2"/>
      <c r="G3" s="2"/>
    </row>
    <row r="5" spans="1:7">
      <c r="A5" s="3" t="s">
        <v>207</v>
      </c>
      <c r="B5" s="3"/>
      <c r="C5" s="3"/>
      <c r="E5" s="3" t="s">
        <v>208</v>
      </c>
      <c r="F5" s="3"/>
      <c r="G5" s="3"/>
    </row>
    <row r="6" spans="1:7">
      <c r="A6" s="7" t="s">
        <v>209</v>
      </c>
      <c r="B6" s="7">
        <f>'Project Info'!B4</f>
        <v>0</v>
      </c>
      <c r="C6" s="7"/>
      <c r="E6" s="7" t="s">
        <v>210</v>
      </c>
      <c r="F6" s="7">
        <f>'Project Info'!B7</f>
        <v>0</v>
      </c>
      <c r="G6" s="7"/>
    </row>
    <row r="7" spans="1:7">
      <c r="A7" s="7" t="s">
        <v>211</v>
      </c>
      <c r="B7" s="7">
        <f>'Project Info'!B5</f>
        <v>0</v>
      </c>
      <c r="C7" s="7"/>
      <c r="E7" s="7" t="s">
        <v>212</v>
      </c>
      <c r="F7" s="7">
        <f>'Project Info'!B8</f>
        <v>0</v>
      </c>
      <c r="G7" s="7"/>
    </row>
    <row r="8" spans="1:7">
      <c r="A8" s="7" t="s">
        <v>213</v>
      </c>
      <c r="B8" s="7">
        <f>'Project Info'!B6</f>
        <v>0</v>
      </c>
      <c r="C8" s="7"/>
      <c r="E8" s="7" t="s">
        <v>214</v>
      </c>
      <c r="F8" s="7">
        <f>'Project Info'!B13</f>
        <v>0</v>
      </c>
      <c r="G8" s="7"/>
    </row>
    <row r="9" spans="1:7">
      <c r="A9" s="7" t="s">
        <v>215</v>
      </c>
      <c r="B9" s="7">
        <f>'Project Info'!B10</f>
        <v>0</v>
      </c>
      <c r="C9" s="7"/>
      <c r="D9" s="7"/>
      <c r="E9" s="7"/>
      <c r="F9" s="7"/>
      <c r="G9" s="7"/>
    </row>
    <row r="12" spans="1:7" ht="25" customHeight="1">
      <c r="A12" s="9" t="s">
        <v>216</v>
      </c>
      <c r="B12" s="9" t="s">
        <v>217</v>
      </c>
      <c r="C12" s="9" t="s">
        <v>73</v>
      </c>
      <c r="D12" s="9" t="s">
        <v>74</v>
      </c>
      <c r="E12" s="9" t="s">
        <v>75</v>
      </c>
      <c r="F12" s="9" t="s">
        <v>77</v>
      </c>
      <c r="G12" s="9" t="s">
        <v>218</v>
      </c>
    </row>
    <row r="13" spans="1:7">
      <c r="A13" s="3" t="s">
        <v>219</v>
      </c>
      <c r="B13" s="3"/>
      <c r="C13" s="3"/>
      <c r="D13" s="3"/>
      <c r="E13" s="3"/>
      <c r="F13" s="3"/>
      <c r="G13" s="3"/>
    </row>
    <row r="14" spans="1:7">
      <c r="A14" s="6">
        <v>1.01</v>
      </c>
      <c r="B14" s="10" t="s">
        <v>220</v>
      </c>
      <c r="C14" s="13">
        <v>1</v>
      </c>
      <c r="D14" s="6" t="s">
        <v>120</v>
      </c>
      <c r="E14" s="14">
        <v>11200</v>
      </c>
      <c r="F14" s="15">
        <f>C14*E14</f>
        <v>0</v>
      </c>
      <c r="G14" s="8" t="s">
        <v>221</v>
      </c>
    </row>
    <row r="15" spans="1:7">
      <c r="A15" s="6">
        <v>1.02</v>
      </c>
      <c r="B15" s="10" t="s">
        <v>222</v>
      </c>
      <c r="C15" s="13">
        <v>1</v>
      </c>
      <c r="D15" s="6" t="s">
        <v>120</v>
      </c>
      <c r="E15" s="14">
        <v>4800</v>
      </c>
      <c r="F15" s="15">
        <f>C15*E15</f>
        <v>0</v>
      </c>
      <c r="G15" s="8" t="s">
        <v>221</v>
      </c>
    </row>
    <row r="16" spans="1:7">
      <c r="A16" s="6">
        <v>1.03</v>
      </c>
      <c r="B16" s="10" t="s">
        <v>223</v>
      </c>
      <c r="C16" s="13">
        <v>1</v>
      </c>
      <c r="D16" s="6" t="s">
        <v>120</v>
      </c>
      <c r="E16" s="14">
        <v>3450</v>
      </c>
      <c r="F16" s="15">
        <f>C16*E16</f>
        <v>0</v>
      </c>
      <c r="G16" s="8" t="s">
        <v>221</v>
      </c>
    </row>
    <row r="17" spans="1:7">
      <c r="A17" s="6">
        <v>1.04</v>
      </c>
      <c r="B17" s="10" t="s">
        <v>224</v>
      </c>
      <c r="C17" s="13">
        <v>1</v>
      </c>
      <c r="D17" s="6" t="s">
        <v>120</v>
      </c>
      <c r="E17" s="14">
        <v>1400</v>
      </c>
      <c r="F17" s="15">
        <f>C17*E17</f>
        <v>0</v>
      </c>
      <c r="G17" s="8" t="s">
        <v>221</v>
      </c>
    </row>
    <row r="18" spans="1:7">
      <c r="A18" s="6">
        <v>1.05</v>
      </c>
      <c r="B18" s="10" t="s">
        <v>225</v>
      </c>
      <c r="C18" s="13">
        <v>1</v>
      </c>
      <c r="D18" s="6" t="s">
        <v>120</v>
      </c>
      <c r="E18" s="14">
        <v>800</v>
      </c>
      <c r="F18" s="15">
        <f>C18*E18</f>
        <v>0</v>
      </c>
      <c r="G18" s="8" t="s">
        <v>221</v>
      </c>
    </row>
    <row r="19" spans="1:7">
      <c r="A19" s="16" t="s">
        <v>226</v>
      </c>
      <c r="B19" s="16"/>
      <c r="C19" s="16"/>
      <c r="D19" s="16"/>
      <c r="E19" s="16"/>
      <c r="F19" s="17">
        <f>SUM(F14:F18)</f>
        <v>0</v>
      </c>
      <c r="G19" s="15">
        <f>'Materials'!I18</f>
        <v>0</v>
      </c>
    </row>
    <row r="21" spans="1:7">
      <c r="A21" s="3" t="s">
        <v>227</v>
      </c>
      <c r="B21" s="3"/>
      <c r="C21" s="3"/>
      <c r="D21" s="3"/>
      <c r="E21" s="3"/>
      <c r="F21" s="3"/>
      <c r="G21" s="3"/>
    </row>
    <row r="22" spans="1:7">
      <c r="A22" s="6">
        <v>2.01</v>
      </c>
      <c r="B22" s="10" t="s">
        <v>228</v>
      </c>
      <c r="C22" s="13">
        <v>1</v>
      </c>
      <c r="D22" s="6" t="s">
        <v>120</v>
      </c>
      <c r="E22" s="14">
        <v>3200</v>
      </c>
      <c r="F22" s="15">
        <f>C22*E22</f>
        <v>0</v>
      </c>
      <c r="G22" s="8" t="s">
        <v>229</v>
      </c>
    </row>
    <row r="23" spans="1:7">
      <c r="A23" s="6">
        <v>2.02</v>
      </c>
      <c r="B23" s="10" t="s">
        <v>230</v>
      </c>
      <c r="C23" s="13">
        <v>1</v>
      </c>
      <c r="D23" s="6" t="s">
        <v>120</v>
      </c>
      <c r="E23" s="14">
        <v>6400</v>
      </c>
      <c r="F23" s="15">
        <f>C23*E23</f>
        <v>0</v>
      </c>
      <c r="G23" s="8" t="s">
        <v>229</v>
      </c>
    </row>
    <row r="24" spans="1:7">
      <c r="A24" s="6">
        <v>2.03</v>
      </c>
      <c r="B24" s="10" t="s">
        <v>231</v>
      </c>
      <c r="C24" s="13">
        <v>1</v>
      </c>
      <c r="D24" s="6" t="s">
        <v>120</v>
      </c>
      <c r="E24" s="14">
        <v>3600</v>
      </c>
      <c r="F24" s="15">
        <f>C24*E24</f>
        <v>0</v>
      </c>
      <c r="G24" s="8" t="s">
        <v>229</v>
      </c>
    </row>
    <row r="25" spans="1:7">
      <c r="A25" s="6">
        <v>2.04</v>
      </c>
      <c r="B25" s="10" t="s">
        <v>232</v>
      </c>
      <c r="C25" s="13">
        <v>1</v>
      </c>
      <c r="D25" s="6" t="s">
        <v>120</v>
      </c>
      <c r="E25" s="14">
        <v>3600</v>
      </c>
      <c r="F25" s="15">
        <f>C25*E25</f>
        <v>0</v>
      </c>
      <c r="G25" s="8" t="s">
        <v>229</v>
      </c>
    </row>
    <row r="26" spans="1:7">
      <c r="A26" s="16" t="s">
        <v>233</v>
      </c>
      <c r="B26" s="16"/>
      <c r="C26" s="16"/>
      <c r="D26" s="16"/>
      <c r="E26" s="16"/>
      <c r="F26" s="17">
        <f>SUM(F22:F25)</f>
        <v>0</v>
      </c>
      <c r="G26" s="15">
        <f>'Labor'!H16</f>
        <v>0</v>
      </c>
    </row>
    <row r="28" spans="1:7">
      <c r="A28" s="3" t="s">
        <v>234</v>
      </c>
      <c r="B28" s="3"/>
      <c r="C28" s="3"/>
      <c r="D28" s="3"/>
      <c r="E28" s="3"/>
      <c r="F28" s="3"/>
      <c r="G28" s="3"/>
    </row>
    <row r="29" spans="1:7">
      <c r="A29" s="6">
        <v>3.01</v>
      </c>
      <c r="B29" s="10" t="s">
        <v>235</v>
      </c>
      <c r="C29" s="13">
        <v>1</v>
      </c>
      <c r="D29" s="6" t="s">
        <v>236</v>
      </c>
      <c r="E29" s="14">
        <v>4200</v>
      </c>
      <c r="F29" s="15">
        <f>C29*E29</f>
        <v>0</v>
      </c>
      <c r="G29" s="8" t="s">
        <v>237</v>
      </c>
    </row>
    <row r="30" spans="1:7">
      <c r="A30" s="6">
        <v>3.02</v>
      </c>
      <c r="B30" s="10" t="s">
        <v>238</v>
      </c>
      <c r="C30" s="13">
        <v>1</v>
      </c>
      <c r="D30" s="6" t="s">
        <v>236</v>
      </c>
      <c r="E30" s="14">
        <v>3800</v>
      </c>
      <c r="F30" s="15">
        <f>C30*E30</f>
        <v>0</v>
      </c>
      <c r="G30" s="8" t="s">
        <v>237</v>
      </c>
    </row>
    <row r="31" spans="1:7">
      <c r="A31" s="6">
        <v>3.03</v>
      </c>
      <c r="B31" s="10" t="s">
        <v>239</v>
      </c>
      <c r="C31" s="13">
        <v>1</v>
      </c>
      <c r="D31" s="6" t="s">
        <v>236</v>
      </c>
      <c r="E31" s="14">
        <v>1750</v>
      </c>
      <c r="F31" s="15">
        <f>C31*E31</f>
        <v>0</v>
      </c>
      <c r="G31" s="8" t="s">
        <v>237</v>
      </c>
    </row>
    <row r="32" spans="1:7">
      <c r="A32" s="16" t="s">
        <v>240</v>
      </c>
      <c r="B32" s="16"/>
      <c r="C32" s="16"/>
      <c r="D32" s="16"/>
      <c r="E32" s="16"/>
      <c r="F32" s="17">
        <f>SUM(F29:F31)</f>
        <v>0</v>
      </c>
      <c r="G32" s="15">
        <f>'Subcontractors'!D9</f>
        <v>0</v>
      </c>
    </row>
    <row r="34" spans="1:7">
      <c r="A34" s="3" t="s">
        <v>241</v>
      </c>
      <c r="B34" s="3"/>
      <c r="C34" s="3"/>
      <c r="D34" s="3"/>
      <c r="E34" s="3"/>
      <c r="F34" s="3"/>
      <c r="G34" s="3"/>
    </row>
    <row r="35" spans="1:7">
      <c r="A35" s="6">
        <v>4.01</v>
      </c>
      <c r="B35" s="10" t="s">
        <v>242</v>
      </c>
      <c r="C35" s="13">
        <v>1</v>
      </c>
      <c r="D35" s="6" t="s">
        <v>120</v>
      </c>
      <c r="E35" s="14">
        <v>850</v>
      </c>
      <c r="F35" s="15">
        <f>C35*E35</f>
        <v>0</v>
      </c>
      <c r="G35" s="8" t="s">
        <v>243</v>
      </c>
    </row>
    <row r="36" spans="1:7">
      <c r="A36" s="6">
        <v>4.02</v>
      </c>
      <c r="B36" s="10" t="s">
        <v>244</v>
      </c>
      <c r="C36" s="13">
        <v>1</v>
      </c>
      <c r="D36" s="6" t="s">
        <v>120</v>
      </c>
      <c r="E36" s="14">
        <v>750</v>
      </c>
      <c r="F36" s="15">
        <f>C36*E36</f>
        <v>0</v>
      </c>
      <c r="G36" s="8" t="s">
        <v>243</v>
      </c>
    </row>
    <row r="37" spans="1:7">
      <c r="A37" s="6">
        <v>4.03</v>
      </c>
      <c r="B37" s="10" t="s">
        <v>245</v>
      </c>
      <c r="C37" s="13">
        <v>1</v>
      </c>
      <c r="D37" s="6" t="s">
        <v>120</v>
      </c>
      <c r="E37" s="14">
        <v>1250</v>
      </c>
      <c r="F37" s="15">
        <f>C37*E37</f>
        <v>0</v>
      </c>
      <c r="G37" s="8" t="s">
        <v>243</v>
      </c>
    </row>
    <row r="38" spans="1:7">
      <c r="A38" s="16" t="s">
        <v>246</v>
      </c>
      <c r="B38" s="16"/>
      <c r="C38" s="16"/>
      <c r="D38" s="16"/>
      <c r="E38" s="16"/>
      <c r="F38" s="17">
        <f>SUM(F35:F37)</f>
        <v>0</v>
      </c>
      <c r="G38" s="15">
        <f>'Equipment'!H14</f>
        <v>0</v>
      </c>
    </row>
    <row r="40" spans="1:7">
      <c r="A40" s="3" t="s">
        <v>247</v>
      </c>
      <c r="B40" s="3"/>
      <c r="C40" s="3"/>
      <c r="D40" s="3"/>
      <c r="E40" s="3"/>
      <c r="F40" s="3"/>
      <c r="G40" s="3"/>
    </row>
    <row r="41" spans="1:7">
      <c r="A41" s="6">
        <v>5.01</v>
      </c>
      <c r="B41" s="10" t="s">
        <v>248</v>
      </c>
      <c r="C41" s="13">
        <v>1</v>
      </c>
      <c r="D41" s="6" t="s">
        <v>120</v>
      </c>
      <c r="E41" s="14">
        <v>950</v>
      </c>
      <c r="F41" s="15">
        <f>C41*E41</f>
        <v>0</v>
      </c>
      <c r="G41" s="8" t="s">
        <v>249</v>
      </c>
    </row>
    <row r="42" spans="1:7">
      <c r="A42" s="6">
        <v>5.02</v>
      </c>
      <c r="B42" s="10" t="s">
        <v>250</v>
      </c>
      <c r="C42" s="13">
        <v>1</v>
      </c>
      <c r="D42" s="6" t="s">
        <v>120</v>
      </c>
      <c r="E42" s="14">
        <v>500</v>
      </c>
      <c r="F42" s="15">
        <f>C42*E42</f>
        <v>0</v>
      </c>
      <c r="G42" s="8" t="s">
        <v>251</v>
      </c>
    </row>
    <row r="43" spans="1:7">
      <c r="A43" s="16" t="s">
        <v>252</v>
      </c>
      <c r="B43" s="16"/>
      <c r="C43" s="16"/>
      <c r="D43" s="16"/>
      <c r="E43" s="16"/>
      <c r="F43" s="17">
        <f>SUM(F41:F42)</f>
        <v>0</v>
      </c>
      <c r="G43" s="8" t="s">
        <v>253</v>
      </c>
    </row>
    <row r="45" spans="1:7">
      <c r="A45" s="18" t="s">
        <v>254</v>
      </c>
      <c r="B45" s="18"/>
      <c r="C45" s="18"/>
      <c r="D45" s="18"/>
      <c r="E45" s="18"/>
      <c r="F45" s="18"/>
      <c r="G45" s="18"/>
    </row>
    <row r="46" spans="1:7" ht="20" customHeight="1">
      <c r="A46" s="16" t="s">
        <v>255</v>
      </c>
      <c r="B46" s="16"/>
      <c r="C46" s="16"/>
      <c r="D46" s="16"/>
      <c r="E46" s="16"/>
      <c r="F46" s="17">
        <f>F19+F26+F32+F38+F43</f>
        <v>0</v>
      </c>
      <c r="G46" s="16"/>
    </row>
    <row r="47" spans="1:7" ht="20" customHeight="1">
      <c r="A47" s="7" t="s">
        <v>256</v>
      </c>
      <c r="B47" s="7"/>
      <c r="C47" s="7"/>
      <c r="D47" s="7"/>
      <c r="E47" s="7"/>
      <c r="F47" s="15">
        <f>'Project Info'!F7*F46</f>
        <v>0</v>
      </c>
      <c r="G47" s="7"/>
    </row>
    <row r="48" spans="1:7" ht="20" customHeight="1">
      <c r="A48" s="7" t="s">
        <v>257</v>
      </c>
      <c r="B48" s="7"/>
      <c r="C48" s="7"/>
      <c r="D48" s="7"/>
      <c r="E48" s="7"/>
      <c r="F48" s="15">
        <f>'Project Info'!F6*F46</f>
        <v>0</v>
      </c>
      <c r="G48" s="7"/>
    </row>
    <row r="49" spans="1:7" ht="20" customHeight="1">
      <c r="A49" s="16" t="s">
        <v>258</v>
      </c>
      <c r="B49" s="16"/>
      <c r="C49" s="16"/>
      <c r="D49" s="16"/>
      <c r="E49" s="16"/>
      <c r="F49" s="17">
        <f>F46+F47+F48</f>
        <v>0</v>
      </c>
      <c r="G49" s="16"/>
    </row>
    <row r="50" spans="1:7" ht="20" customHeight="1">
      <c r="A50" s="7" t="s">
        <v>259</v>
      </c>
      <c r="B50" s="7"/>
      <c r="C50" s="7"/>
      <c r="D50" s="7"/>
      <c r="E50" s="7"/>
      <c r="F50" s="15">
        <f>'Markup &amp; Margin Calculator'!D13</f>
        <v>0</v>
      </c>
      <c r="G50" s="7"/>
    </row>
    <row r="51" spans="1:7" ht="20" customHeight="1">
      <c r="A51" s="16" t="s">
        <v>260</v>
      </c>
      <c r="B51" s="16"/>
      <c r="C51" s="16"/>
      <c r="D51" s="16"/>
      <c r="E51" s="16"/>
      <c r="F51" s="17">
        <f>F49+F50</f>
        <v>0</v>
      </c>
      <c r="G51" s="16"/>
    </row>
    <row r="52" spans="1:7" ht="20" customHeight="1">
      <c r="A52" s="7" t="s">
        <v>261</v>
      </c>
      <c r="B52" s="7"/>
      <c r="C52" s="7"/>
      <c r="D52" s="7"/>
      <c r="E52" s="7"/>
      <c r="F52" s="15">
        <f>-F51*'Project Info'!F5</f>
        <v>0</v>
      </c>
      <c r="G52" s="7"/>
    </row>
    <row r="53" spans="1:7" ht="20" customHeight="1">
      <c r="A53" s="16" t="s">
        <v>262</v>
      </c>
      <c r="B53" s="16"/>
      <c r="C53" s="16"/>
      <c r="D53" s="16"/>
      <c r="E53" s="16"/>
      <c r="F53" s="17">
        <f>F51+F52</f>
        <v>0</v>
      </c>
      <c r="G53" s="16"/>
    </row>
    <row r="54" spans="1:7" ht="20" customHeight="1">
      <c r="A54" s="7" t="s">
        <v>263</v>
      </c>
      <c r="B54" s="7"/>
      <c r="C54" s="7"/>
      <c r="D54" s="7"/>
      <c r="E54" s="7"/>
      <c r="F54" s="15">
        <f>F53*'Project Info'!F4</f>
        <v>0</v>
      </c>
      <c r="G54" s="7"/>
    </row>
    <row r="55" spans="1:7" ht="24" customHeight="1">
      <c r="A55" s="19" t="s">
        <v>264</v>
      </c>
      <c r="B55" s="19"/>
      <c r="C55" s="19"/>
      <c r="D55" s="19"/>
      <c r="E55" s="19"/>
      <c r="F55" s="20">
        <f>F53+F54</f>
        <v>0</v>
      </c>
      <c r="G55" s="19"/>
    </row>
    <row r="57" spans="1:7">
      <c r="A57" s="3" t="s">
        <v>265</v>
      </c>
      <c r="B57" s="3"/>
      <c r="C57" s="3"/>
      <c r="D57" s="3"/>
      <c r="E57" s="3"/>
      <c r="F57" s="3"/>
      <c r="G57" s="3"/>
    </row>
    <row r="59" spans="1:7" ht="45" customHeight="1">
      <c r="A59" s="21" t="s">
        <v>266</v>
      </c>
      <c r="B59" s="21"/>
      <c r="C59" s="21"/>
      <c r="D59" s="21"/>
      <c r="E59" s="21"/>
      <c r="F59" s="21"/>
      <c r="G59" s="21"/>
    </row>
    <row r="61" spans="1:7">
      <c r="A61" s="7" t="s">
        <v>267</v>
      </c>
      <c r="B61" s="10"/>
      <c r="C61" s="10"/>
      <c r="E61" s="7" t="s">
        <v>268</v>
      </c>
      <c r="F61" s="22"/>
      <c r="G61" s="22"/>
    </row>
    <row r="62" spans="1:7">
      <c r="A62" s="7" t="s">
        <v>269</v>
      </c>
      <c r="B62" s="7" t="s">
        <v>270</v>
      </c>
      <c r="C62" s="7"/>
      <c r="E62" s="7" t="s">
        <v>271</v>
      </c>
      <c r="F62" s="8" t="s">
        <v>35</v>
      </c>
      <c r="G62" s="8"/>
    </row>
  </sheetData>
  <sheetProtection password="EC7C" sheet="1" objects="1" scenarios="1" formatCells="0" formatColumns="0" formatRows="0" insertRows="0" deleteRows="0" sort="0" autoFilter="0"/>
  <mergeCells count="38">
    <mergeCell ref="A2:G2"/>
    <mergeCell ref="A3:G3"/>
    <mergeCell ref="A5:C5"/>
    <mergeCell ref="E5:G5"/>
    <mergeCell ref="B6:C6"/>
    <mergeCell ref="F6:G6"/>
    <mergeCell ref="B7:C7"/>
    <mergeCell ref="F7:G7"/>
    <mergeCell ref="B8:C8"/>
    <mergeCell ref="F8:G8"/>
    <mergeCell ref="B9:G9"/>
    <mergeCell ref="A13:G13"/>
    <mergeCell ref="A19:E19"/>
    <mergeCell ref="A21:G21"/>
    <mergeCell ref="A26:E26"/>
    <mergeCell ref="A28:G28"/>
    <mergeCell ref="A32:E32"/>
    <mergeCell ref="A34:G34"/>
    <mergeCell ref="A38:E38"/>
    <mergeCell ref="A40:G40"/>
    <mergeCell ref="A43:E43"/>
    <mergeCell ref="A45:G45"/>
    <mergeCell ref="A46:E46"/>
    <mergeCell ref="A47:E47"/>
    <mergeCell ref="A48:E48"/>
    <mergeCell ref="A49:E49"/>
    <mergeCell ref="A50:E50"/>
    <mergeCell ref="A51:E51"/>
    <mergeCell ref="A52:E52"/>
    <mergeCell ref="A53:E53"/>
    <mergeCell ref="A54:E54"/>
    <mergeCell ref="A55:E55"/>
    <mergeCell ref="A57:G57"/>
    <mergeCell ref="A59:G59"/>
    <mergeCell ref="B61:C61"/>
    <mergeCell ref="F61:G61"/>
    <mergeCell ref="B62:C62"/>
    <mergeCell ref="F62:G62"/>
  </mergeCells>
  <pageMargins left="0.5" right="0.5" top="0.75" bottom="0.75" header="0.3" footer="0.3"/>
  <pageSetup paperSize="1" fitToHeight="0" orientation="portrait"/>
  <headerFooter>
    <oddFooter>&amp;L&amp;"Segoe UI"&amp;8Template Author: novality store&amp;R&amp;"Segoe UI"&amp;8Page &amp;P of &amp;N</oddFooter>
  </headerFooter>
</worksheet>
</file>

<file path=xl/worksheets/sheet8.xml><?xml version="1.0" encoding="utf-8"?>
<worksheet xmlns="http://schemas.openxmlformats.org/spreadsheetml/2006/main" xmlns:r="http://schemas.openxmlformats.org/officeDocument/2006/relationships">
  <sheetPr>
    <tabColor rgb="FFD97706"/>
  </sheetPr>
  <dimension ref="A2:G26"/>
  <sheetViews>
    <sheetView workbookViewId="0"/>
  </sheetViews>
  <sheetFormatPr defaultRowHeight="15"/>
  <cols>
    <col min="1" max="1" width="26.7109375" customWidth="1"/>
    <col min="2" max="7" width="16.7109375" customWidth="1"/>
    <col min="8" max="8" width="22.7109375" customWidth="1"/>
  </cols>
  <sheetData>
    <row r="2" spans="1:7" ht="30" customHeight="1">
      <c r="A2" s="1" t="s">
        <v>272</v>
      </c>
      <c r="B2" s="1"/>
      <c r="C2" s="1"/>
      <c r="D2" s="1"/>
      <c r="E2" s="1"/>
      <c r="F2" s="1"/>
      <c r="G2" s="1"/>
    </row>
    <row r="3" spans="1:7">
      <c r="A3" s="2" t="s">
        <v>273</v>
      </c>
      <c r="B3" s="2"/>
      <c r="C3" s="2"/>
      <c r="D3" s="2"/>
      <c r="E3" s="2"/>
      <c r="F3" s="2"/>
      <c r="G3" s="2"/>
    </row>
    <row r="5" spans="1:7">
      <c r="A5" s="18" t="s">
        <v>274</v>
      </c>
      <c r="B5" s="18"/>
      <c r="C5" s="18"/>
      <c r="D5" s="18"/>
      <c r="E5" s="18"/>
      <c r="F5" s="18"/>
      <c r="G5" s="18"/>
    </row>
    <row r="6" spans="1:7" ht="25" customHeight="1">
      <c r="A6" s="9" t="s">
        <v>275</v>
      </c>
      <c r="B6" s="9" t="s">
        <v>276</v>
      </c>
      <c r="C6" s="9" t="s">
        <v>190</v>
      </c>
      <c r="D6" s="9" t="s">
        <v>191</v>
      </c>
      <c r="E6" s="9" t="s">
        <v>277</v>
      </c>
      <c r="F6" s="9" t="s">
        <v>278</v>
      </c>
      <c r="G6" s="9" t="s">
        <v>279</v>
      </c>
    </row>
    <row r="7" spans="1:7">
      <c r="A7" s="7" t="s">
        <v>280</v>
      </c>
      <c r="B7" s="15">
        <f>'Estimate'!F19</f>
        <v>0</v>
      </c>
      <c r="C7" s="11">
        <f>'Project Info'!F9</f>
        <v>0</v>
      </c>
      <c r="D7" s="15">
        <f>B7*C7</f>
        <v>0</v>
      </c>
      <c r="E7" s="15">
        <f>B7+D7</f>
        <v>0</v>
      </c>
      <c r="F7" s="23">
        <f>E7/$E$13</f>
        <v>0</v>
      </c>
      <c r="G7" s="23">
        <f>IFERROR(D7/E7, 0)</f>
        <v>0</v>
      </c>
    </row>
    <row r="8" spans="1:7">
      <c r="A8" s="7" t="s">
        <v>281</v>
      </c>
      <c r="B8" s="15">
        <f>'Estimate'!F26</f>
        <v>0</v>
      </c>
      <c r="C8" s="11">
        <f>'Project Info'!F10</f>
        <v>0</v>
      </c>
      <c r="D8" s="15">
        <f>B8*C8</f>
        <v>0</v>
      </c>
      <c r="E8" s="15">
        <f>B8+D8</f>
        <v>0</v>
      </c>
      <c r="F8" s="23">
        <f>E8/$E$13</f>
        <v>0</v>
      </c>
      <c r="G8" s="23">
        <f>IFERROR(D8/E8, 0)</f>
        <v>0</v>
      </c>
    </row>
    <row r="9" spans="1:7">
      <c r="A9" s="7" t="s">
        <v>282</v>
      </c>
      <c r="B9" s="15">
        <f>'Estimate'!F38</f>
        <v>0</v>
      </c>
      <c r="C9" s="11">
        <f>'Project Info'!F12</f>
        <v>0</v>
      </c>
      <c r="D9" s="15">
        <f>B9*C9</f>
        <v>0</v>
      </c>
      <c r="E9" s="15">
        <f>B9+D9</f>
        <v>0</v>
      </c>
      <c r="F9" s="23">
        <f>E9/$E$13</f>
        <v>0</v>
      </c>
      <c r="G9" s="23">
        <f>IFERROR(D9/E9, 0)</f>
        <v>0</v>
      </c>
    </row>
    <row r="10" spans="1:7">
      <c r="A10" s="7" t="s">
        <v>237</v>
      </c>
      <c r="B10" s="15">
        <f>'Estimate'!F32</f>
        <v>0</v>
      </c>
      <c r="C10" s="11">
        <f>'Project Info'!F11</f>
        <v>0</v>
      </c>
      <c r="D10" s="15">
        <f>B10*C10</f>
        <v>0</v>
      </c>
      <c r="E10" s="15">
        <f>B10+D10</f>
        <v>0</v>
      </c>
      <c r="F10" s="23">
        <f>E10/$E$13</f>
        <v>0</v>
      </c>
      <c r="G10" s="23">
        <f>IFERROR(D10/E10, 0)</f>
        <v>0</v>
      </c>
    </row>
    <row r="11" spans="1:7">
      <c r="A11" s="7" t="s">
        <v>283</v>
      </c>
      <c r="B11" s="15">
        <f>'Estimate'!F43</f>
        <v>0</v>
      </c>
      <c r="C11" s="11">
        <v>0.15</v>
      </c>
      <c r="D11" s="15">
        <f>B11*C11</f>
        <v>0</v>
      </c>
      <c r="E11" s="15">
        <f>B11+D11</f>
        <v>0</v>
      </c>
      <c r="F11" s="23">
        <f>E11/$E$13</f>
        <v>0</v>
      </c>
      <c r="G11" s="23">
        <f>IFERROR(D11/E11, 0)</f>
        <v>0</v>
      </c>
    </row>
    <row r="12" spans="1:7">
      <c r="A12" s="7" t="s">
        <v>284</v>
      </c>
      <c r="B12" s="15">
        <f>'Estimate'!F47+'Estimate'!F48</f>
        <v>0</v>
      </c>
      <c r="C12" s="11">
        <v>0.2</v>
      </c>
      <c r="D12" s="15">
        <f>B12*C12</f>
        <v>0</v>
      </c>
      <c r="E12" s="15">
        <f>B12+D12</f>
        <v>0</v>
      </c>
      <c r="F12" s="23">
        <f>E12/$E$13</f>
        <v>0</v>
      </c>
      <c r="G12" s="23">
        <f>IFERROR(D12/E12, 0)</f>
        <v>0</v>
      </c>
    </row>
    <row r="13" spans="1:7" ht="25" customHeight="1">
      <c r="A13" s="16" t="s">
        <v>285</v>
      </c>
      <c r="B13" s="17">
        <f>SUM(B7:B12)</f>
        <v>0</v>
      </c>
      <c r="C13" s="24">
        <f>D13/B13</f>
        <v>0</v>
      </c>
      <c r="D13" s="17">
        <f>SUM(D7:D12)</f>
        <v>0</v>
      </c>
      <c r="E13" s="17">
        <f>SUM(E7:E12)</f>
        <v>0</v>
      </c>
      <c r="F13" s="24">
        <f>SUM(F7:F12)</f>
        <v>0</v>
      </c>
      <c r="G13" s="24">
        <f>IFERROR(D13/E13, 0)</f>
        <v>0</v>
      </c>
    </row>
    <row r="15" spans="1:7">
      <c r="A15" s="3" t="s">
        <v>286</v>
      </c>
      <c r="B15" s="3"/>
      <c r="C15" s="3"/>
      <c r="D15" s="3"/>
      <c r="E15" s="3" t="s">
        <v>290</v>
      </c>
      <c r="F15" s="3"/>
      <c r="G15" s="3"/>
    </row>
    <row r="16" spans="1:7">
      <c r="A16" s="9" t="s">
        <v>190</v>
      </c>
      <c r="B16" s="9" t="s">
        <v>287</v>
      </c>
      <c r="C16" s="9" t="s">
        <v>288</v>
      </c>
      <c r="D16" s="9" t="s">
        <v>289</v>
      </c>
    </row>
    <row r="17" spans="1:7">
      <c r="A17" s="23">
        <v>0.1</v>
      </c>
      <c r="B17" s="23">
        <f>A17/(1+A17)</f>
        <v>0</v>
      </c>
      <c r="C17" s="15">
        <f>1000*(1+A17)</f>
        <v>0</v>
      </c>
      <c r="D17" s="15">
        <f>C17-1000</f>
        <v>0</v>
      </c>
      <c r="E17" s="7" t="s">
        <v>291</v>
      </c>
      <c r="F17" s="14">
        <f>B13</f>
        <v>0</v>
      </c>
      <c r="G17" s="8" t="s">
        <v>292</v>
      </c>
    </row>
    <row r="18" spans="1:7">
      <c r="A18" s="23">
        <v>0.15</v>
      </c>
      <c r="B18" s="23">
        <f>A18/(1+A18)</f>
        <v>0</v>
      </c>
      <c r="C18" s="15">
        <f>1000*(1+A18)</f>
        <v>0</v>
      </c>
      <c r="D18" s="15">
        <f>C18-1000</f>
        <v>0</v>
      </c>
      <c r="E18" s="7" t="s">
        <v>293</v>
      </c>
      <c r="F18" s="11">
        <f>'Project Info'!F8</f>
        <v>0</v>
      </c>
      <c r="G18" s="8" t="s">
        <v>294</v>
      </c>
    </row>
    <row r="19" spans="1:7">
      <c r="A19" s="23">
        <v>0.2</v>
      </c>
      <c r="B19" s="23">
        <f>A19/(1+A19)</f>
        <v>0</v>
      </c>
      <c r="C19" s="15">
        <f>1000*(1+A19)</f>
        <v>0</v>
      </c>
      <c r="D19" s="15">
        <f>C19-1000</f>
        <v>0</v>
      </c>
      <c r="E19" s="7" t="s">
        <v>295</v>
      </c>
      <c r="F19" s="17">
        <f>F17/(1-F18)</f>
        <v>0</v>
      </c>
      <c r="G19" s="8" t="s">
        <v>296</v>
      </c>
    </row>
    <row r="20" spans="1:7">
      <c r="A20" s="23">
        <v>0.25</v>
      </c>
      <c r="B20" s="23">
        <f>A20/(1+A20)</f>
        <v>0</v>
      </c>
      <c r="C20" s="15">
        <f>1000*(1+A20)</f>
        <v>0</v>
      </c>
      <c r="D20" s="15">
        <f>C20-1000</f>
        <v>0</v>
      </c>
      <c r="E20" s="7" t="s">
        <v>297</v>
      </c>
      <c r="F20" s="15">
        <f>F19-F17</f>
        <v>0</v>
      </c>
      <c r="G20" s="8" t="s">
        <v>298</v>
      </c>
    </row>
    <row r="21" spans="1:7">
      <c r="A21" s="23">
        <v>0.3</v>
      </c>
      <c r="B21" s="23">
        <f>A21/(1+A21)</f>
        <v>0</v>
      </c>
      <c r="C21" s="15">
        <f>1000*(1+A21)</f>
        <v>0</v>
      </c>
      <c r="D21" s="15">
        <f>C21-1000</f>
        <v>0</v>
      </c>
      <c r="E21" s="7" t="s">
        <v>299</v>
      </c>
      <c r="F21" s="24">
        <f>IFERROR(F20/F17, 0)</f>
        <v>0</v>
      </c>
      <c r="G21" s="8" t="s">
        <v>300</v>
      </c>
    </row>
    <row r="22" spans="1:7">
      <c r="A22" s="23">
        <v>0.35</v>
      </c>
      <c r="B22" s="23">
        <f>A22/(1+A22)</f>
        <v>0</v>
      </c>
      <c r="C22" s="15">
        <f>1000*(1+A22)</f>
        <v>0</v>
      </c>
      <c r="D22" s="15">
        <f>C22-1000</f>
        <v>0</v>
      </c>
    </row>
    <row r="23" spans="1:7">
      <c r="A23" s="23">
        <v>0.4</v>
      </c>
      <c r="B23" s="23">
        <f>A23/(1+A23)</f>
        <v>0</v>
      </c>
      <c r="C23" s="15">
        <f>1000*(1+A23)</f>
        <v>0</v>
      </c>
      <c r="D23" s="15">
        <f>C23-1000</f>
        <v>0</v>
      </c>
    </row>
    <row r="24" spans="1:7">
      <c r="A24" s="23">
        <v>0.5</v>
      </c>
      <c r="B24" s="23">
        <f>A24/(1+A24)</f>
        <v>0</v>
      </c>
      <c r="C24" s="15">
        <f>1000*(1+A24)</f>
        <v>0</v>
      </c>
      <c r="D24" s="15">
        <f>C24-1000</f>
        <v>0</v>
      </c>
    </row>
    <row r="25" spans="1:7">
      <c r="A25" s="23">
        <v>0.75</v>
      </c>
      <c r="B25" s="23">
        <f>A25/(1+A25)</f>
        <v>0</v>
      </c>
      <c r="C25" s="15">
        <f>1000*(1+A25)</f>
        <v>0</v>
      </c>
      <c r="D25" s="15">
        <f>C25-1000</f>
        <v>0</v>
      </c>
    </row>
    <row r="26" spans="1:7">
      <c r="A26" s="23">
        <v>1</v>
      </c>
      <c r="B26" s="23">
        <f>A26/(1+A26)</f>
        <v>0</v>
      </c>
      <c r="C26" s="15">
        <f>1000*(1+A26)</f>
        <v>0</v>
      </c>
      <c r="D26" s="15">
        <f>C26-1000</f>
        <v>0</v>
      </c>
    </row>
  </sheetData>
  <sheetProtection password="EC7C" sheet="1" objects="1" scenarios="1" formatCells="0" formatColumns="0" formatRows="0" insertRows="0" deleteRows="0" sort="0" autoFilter="0"/>
  <mergeCells count="5">
    <mergeCell ref="A2:G2"/>
    <mergeCell ref="A3:G3"/>
    <mergeCell ref="A5:G5"/>
    <mergeCell ref="A15:D15"/>
    <mergeCell ref="E15:G15"/>
  </mergeCell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D97706"/>
  </sheetPr>
  <dimension ref="A2:G20"/>
  <sheetViews>
    <sheetView workbookViewId="0"/>
  </sheetViews>
  <sheetFormatPr defaultRowHeight="15"/>
  <cols>
    <col min="1" max="1" width="10.7109375" customWidth="1"/>
    <col min="2" max="2" width="32.7109375" customWidth="1"/>
    <col min="3" max="5" width="18.7109375" customWidth="1"/>
    <col min="6" max="6" width="16.7109375" customWidth="1"/>
    <col min="7" max="7" width="20.7109375" customWidth="1"/>
  </cols>
  <sheetData>
    <row r="2" spans="1:7" ht="30" customHeight="1">
      <c r="A2" s="1" t="s">
        <v>301</v>
      </c>
      <c r="B2" s="1"/>
      <c r="C2" s="1"/>
      <c r="D2" s="1"/>
      <c r="E2" s="1"/>
      <c r="F2" s="1"/>
      <c r="G2" s="1"/>
    </row>
    <row r="3" spans="1:7">
      <c r="A3" s="2" t="s">
        <v>302</v>
      </c>
      <c r="B3" s="2"/>
      <c r="C3" s="2"/>
      <c r="D3" s="2"/>
      <c r="E3" s="2"/>
      <c r="F3" s="2"/>
      <c r="G3" s="2"/>
    </row>
    <row r="5" spans="1:7" ht="25" customHeight="1">
      <c r="A5" s="9" t="s">
        <v>303</v>
      </c>
      <c r="B5" s="9" t="s">
        <v>304</v>
      </c>
      <c r="C5" s="9" t="s">
        <v>305</v>
      </c>
      <c r="D5" s="9" t="s">
        <v>306</v>
      </c>
      <c r="E5" s="9" t="s">
        <v>307</v>
      </c>
      <c r="F5" s="9" t="s">
        <v>308</v>
      </c>
      <c r="G5" s="9" t="s">
        <v>309</v>
      </c>
    </row>
    <row r="6" spans="1:7">
      <c r="A6" s="8" t="s">
        <v>310</v>
      </c>
      <c r="B6" s="7" t="s">
        <v>311</v>
      </c>
      <c r="C6" s="15">
        <f>'Estimate'!F19</f>
        <v>0</v>
      </c>
      <c r="D6" s="14">
        <v>20950</v>
      </c>
      <c r="E6" s="15">
        <f>C6-D6</f>
        <v>0</v>
      </c>
      <c r="F6" s="23">
        <f>IFERROR(E6/C6, 0)</f>
        <v>0</v>
      </c>
      <c r="G6" s="8">
        <f>IF(E6&gt;=0, "UNDER BUDGET", "OVER BUDGET")</f>
        <v>0</v>
      </c>
    </row>
    <row r="7" spans="1:7">
      <c r="A7" s="8" t="s">
        <v>312</v>
      </c>
      <c r="B7" s="7" t="s">
        <v>313</v>
      </c>
      <c r="C7" s="15">
        <f>'Estimate'!F26</f>
        <v>0</v>
      </c>
      <c r="D7" s="14">
        <v>17200</v>
      </c>
      <c r="E7" s="15">
        <f>C7-D7</f>
        <v>0</v>
      </c>
      <c r="F7" s="23">
        <f>IFERROR(E7/C7, 0)</f>
        <v>0</v>
      </c>
      <c r="G7" s="8">
        <f>IF(E7&gt;=0, "UNDER BUDGET", "OVER BUDGET")</f>
        <v>0</v>
      </c>
    </row>
    <row r="8" spans="1:7">
      <c r="A8" s="8" t="s">
        <v>314</v>
      </c>
      <c r="B8" s="7" t="s">
        <v>315</v>
      </c>
      <c r="C8" s="15">
        <f>'Estimate'!F32</f>
        <v>0</v>
      </c>
      <c r="D8" s="14">
        <v>9750</v>
      </c>
      <c r="E8" s="15">
        <f>C8-D8</f>
        <v>0</v>
      </c>
      <c r="F8" s="23">
        <f>IFERROR(E8/C8, 0)</f>
        <v>0</v>
      </c>
      <c r="G8" s="8">
        <f>IF(E8&gt;=0, "UNDER BUDGET", "OVER BUDGET")</f>
        <v>0</v>
      </c>
    </row>
    <row r="9" spans="1:7">
      <c r="A9" s="8" t="s">
        <v>316</v>
      </c>
      <c r="B9" s="7" t="s">
        <v>317</v>
      </c>
      <c r="C9" s="15">
        <f>'Estimate'!F38</f>
        <v>0</v>
      </c>
      <c r="D9" s="14">
        <v>2650</v>
      </c>
      <c r="E9" s="15">
        <f>C9-D9</f>
        <v>0</v>
      </c>
      <c r="F9" s="23">
        <f>IFERROR(E9/C9, 0)</f>
        <v>0</v>
      </c>
      <c r="G9" s="8">
        <f>IF(E9&gt;=0, "UNDER BUDGET", "OVER BUDGET")</f>
        <v>0</v>
      </c>
    </row>
    <row r="10" spans="1:7">
      <c r="A10" s="8" t="s">
        <v>318</v>
      </c>
      <c r="B10" s="7" t="s">
        <v>319</v>
      </c>
      <c r="C10" s="15">
        <f>'Estimate'!F43</f>
        <v>0</v>
      </c>
      <c r="D10" s="14">
        <v>1450</v>
      </c>
      <c r="E10" s="15">
        <f>C10-D10</f>
        <v>0</v>
      </c>
      <c r="F10" s="23">
        <f>IFERROR(E10/C10, 0)</f>
        <v>0</v>
      </c>
      <c r="G10" s="8">
        <f>IF(E10&gt;=0, "UNDER BUDGET", "OVER BUDGET")</f>
        <v>0</v>
      </c>
    </row>
    <row r="11" spans="1:7">
      <c r="A11" s="8" t="s">
        <v>320</v>
      </c>
      <c r="B11" s="7" t="s">
        <v>321</v>
      </c>
      <c r="C11" s="15">
        <f>'Estimate'!F47+'Estimate'!F48</f>
        <v>0</v>
      </c>
      <c r="D11" s="14">
        <v>7500</v>
      </c>
      <c r="E11" s="15">
        <f>C11-D11</f>
        <v>0</v>
      </c>
      <c r="F11" s="23">
        <f>IFERROR(E11/C11, 0)</f>
        <v>0</v>
      </c>
      <c r="G11" s="8">
        <f>IF(E11&gt;=0, "UNDER BUDGET", "OVER BUDGET")</f>
        <v>0</v>
      </c>
    </row>
    <row r="12" spans="1:7" ht="25" customHeight="1">
      <c r="A12" s="16" t="s">
        <v>322</v>
      </c>
      <c r="B12" s="16"/>
      <c r="C12" s="17">
        <f>SUM(C6:C11)</f>
        <v>0</v>
      </c>
      <c r="D12" s="17">
        <f>SUM(D6:D11)</f>
        <v>0</v>
      </c>
      <c r="E12" s="17">
        <f>C12-D12</f>
        <v>0</v>
      </c>
      <c r="F12" s="24">
        <f>IFERROR(E12/C12, 0)</f>
        <v>0</v>
      </c>
      <c r="G12" s="16">
        <f>IF(E12&gt;=0, "UNDER BUDGET", "OVER BUDGET")</f>
        <v>0</v>
      </c>
    </row>
    <row r="14" spans="1:7">
      <c r="B14" s="3" t="s">
        <v>323</v>
      </c>
      <c r="C14" s="3"/>
      <c r="D14" s="3"/>
      <c r="E14" s="3"/>
      <c r="F14" s="3"/>
    </row>
    <row r="15" spans="1:7">
      <c r="B15" s="7" t="s">
        <v>324</v>
      </c>
      <c r="C15" s="15">
        <f>'Estimate'!F51</f>
        <v>0</v>
      </c>
    </row>
    <row r="16" spans="1:7">
      <c r="B16" s="7" t="s">
        <v>325</v>
      </c>
      <c r="C16" s="15">
        <f>D12</f>
        <v>0</v>
      </c>
    </row>
    <row r="17" spans="2:3">
      <c r="B17" s="7" t="s">
        <v>326</v>
      </c>
      <c r="C17" s="17">
        <f>C15-C16</f>
        <v>0</v>
      </c>
    </row>
    <row r="18" spans="2:3">
      <c r="B18" s="7" t="s">
        <v>327</v>
      </c>
      <c r="C18" s="24">
        <f>IFERROR(C17/C15, 0)</f>
        <v>0</v>
      </c>
    </row>
    <row r="19" spans="2:3">
      <c r="B19" s="7" t="s">
        <v>328</v>
      </c>
      <c r="C19" s="23">
        <f>'Markup &amp; Margin Calculator'!G13</f>
        <v>0</v>
      </c>
    </row>
    <row r="20" spans="2:3">
      <c r="B20" s="7" t="s">
        <v>329</v>
      </c>
      <c r="C20" s="24">
        <f>C18-C19</f>
        <v>0</v>
      </c>
    </row>
  </sheetData>
  <sheetProtection password="EC7C" sheet="1" objects="1" scenarios="1" formatCells="0" formatColumns="0" formatRows="0" insertRows="0" deleteRows="0" sort="0" autoFilter="0"/>
  <mergeCells count="4">
    <mergeCell ref="A2:G2"/>
    <mergeCell ref="A3:G3"/>
    <mergeCell ref="A12:B12"/>
    <mergeCell ref="B14:F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D97706"/>
  </sheetPr>
  <dimension ref="A2:J27"/>
  <sheetViews>
    <sheetView workbookViewId="0"/>
  </sheetViews>
  <sheetFormatPr defaultRowHeight="15"/>
  <cols>
    <col min="1" max="1" width="3.7109375" customWidth="1"/>
    <col min="2" max="3" width="24.7109375" customWidth="1"/>
    <col min="4" max="7" width="16.7109375" customWidth="1"/>
    <col min="8" max="10" width="18.7109375" customWidth="1"/>
  </cols>
  <sheetData>
    <row r="2" spans="2:10" ht="35" customHeight="1">
      <c r="B2" s="1" t="s">
        <v>330</v>
      </c>
      <c r="C2" s="1"/>
      <c r="D2" s="1"/>
      <c r="E2" s="1"/>
      <c r="F2" s="1"/>
      <c r="G2" s="1"/>
      <c r="H2" s="1"/>
      <c r="I2" s="1"/>
      <c r="J2" s="1"/>
    </row>
    <row r="4" spans="2:10">
      <c r="B4" s="25" t="s">
        <v>331</v>
      </c>
      <c r="C4" s="25"/>
      <c r="D4" s="25" t="s">
        <v>332</v>
      </c>
      <c r="E4" s="25"/>
      <c r="F4" s="25" t="s">
        <v>333</v>
      </c>
      <c r="G4" s="25"/>
      <c r="H4" s="25" t="s">
        <v>334</v>
      </c>
      <c r="I4" s="25"/>
    </row>
    <row r="5" spans="2:10">
      <c r="B5" s="26">
        <f>'Estimate'!F49</f>
        <v>0</v>
      </c>
      <c r="C5" s="26"/>
      <c r="D5" s="26">
        <f>'Estimate'!F55</f>
        <v>0</v>
      </c>
      <c r="E5" s="26"/>
      <c r="F5" s="26">
        <f>'Markup &amp; Margin Calculator'!D13</f>
        <v>0</v>
      </c>
      <c r="G5" s="26"/>
      <c r="H5" s="27">
        <f>'Markup &amp; Margin Calculator'!G13</f>
        <v>0</v>
      </c>
      <c r="I5" s="27"/>
    </row>
    <row r="6" spans="2:10">
      <c r="B6" s="26"/>
      <c r="C6" s="26"/>
      <c r="D6" s="26"/>
      <c r="E6" s="26"/>
      <c r="F6" s="26"/>
      <c r="G6" s="26"/>
      <c r="H6" s="27"/>
      <c r="I6" s="27"/>
    </row>
    <row r="8" spans="2:10">
      <c r="B8" s="3" t="s">
        <v>335</v>
      </c>
      <c r="C8" s="3"/>
      <c r="D8" s="3"/>
      <c r="E8" s="3"/>
      <c r="F8" s="3"/>
      <c r="H8" s="18" t="s">
        <v>342</v>
      </c>
      <c r="I8" s="18"/>
      <c r="J8" s="18"/>
    </row>
    <row r="9" spans="2:10" ht="25" customHeight="1">
      <c r="B9" s="9" t="s">
        <v>275</v>
      </c>
      <c r="C9" s="9" t="s">
        <v>336</v>
      </c>
      <c r="D9" s="9" t="s">
        <v>337</v>
      </c>
      <c r="E9" s="9" t="s">
        <v>338</v>
      </c>
      <c r="F9" s="9" t="s">
        <v>339</v>
      </c>
    </row>
    <row r="10" spans="2:10">
      <c r="B10" s="7" t="s">
        <v>280</v>
      </c>
      <c r="C10" s="15">
        <f>'Job Costing &amp; Actuals'!C6</f>
        <v>0</v>
      </c>
      <c r="D10" s="15">
        <f>'Job Costing &amp; Actuals'!D6</f>
        <v>0</v>
      </c>
      <c r="E10" s="15">
        <f>C10-D10</f>
        <v>0</v>
      </c>
      <c r="F10" s="8">
        <f>IF(E10&gt;=0, "UNDER BUDGET", "OVER BUDGET")</f>
        <v>0</v>
      </c>
      <c r="H10" s="7" t="s">
        <v>343</v>
      </c>
      <c r="I10" s="7"/>
      <c r="J10" s="15">
        <f>'Estimate'!F46</f>
        <v>0</v>
      </c>
    </row>
    <row r="11" spans="2:10">
      <c r="B11" s="7" t="s">
        <v>281</v>
      </c>
      <c r="C11" s="15">
        <f>'Job Costing &amp; Actuals'!C7</f>
        <v>0</v>
      </c>
      <c r="D11" s="15">
        <f>'Job Costing &amp; Actuals'!D7</f>
        <v>0</v>
      </c>
      <c r="E11" s="15">
        <f>C11-D11</f>
        <v>0</v>
      </c>
      <c r="F11" s="8">
        <f>IF(E11&gt;=0, "UNDER BUDGET", "OVER BUDGET")</f>
        <v>0</v>
      </c>
      <c r="H11" s="7" t="s">
        <v>344</v>
      </c>
      <c r="I11" s="7"/>
      <c r="J11" s="15">
        <f>'Estimate'!F47</f>
        <v>0</v>
      </c>
    </row>
    <row r="12" spans="2:10">
      <c r="B12" s="7" t="s">
        <v>237</v>
      </c>
      <c r="C12" s="15">
        <f>'Job Costing &amp; Actuals'!C8</f>
        <v>0</v>
      </c>
      <c r="D12" s="15">
        <f>'Job Costing &amp; Actuals'!D8</f>
        <v>0</v>
      </c>
      <c r="E12" s="15">
        <f>C12-D12</f>
        <v>0</v>
      </c>
      <c r="F12" s="8">
        <f>IF(E12&gt;=0, "UNDER BUDGET", "OVER BUDGET")</f>
        <v>0</v>
      </c>
      <c r="H12" s="7" t="s">
        <v>345</v>
      </c>
      <c r="I12" s="7"/>
      <c r="J12" s="15">
        <f>'Estimate'!F48</f>
        <v>0</v>
      </c>
    </row>
    <row r="13" spans="2:10">
      <c r="B13" s="7" t="s">
        <v>282</v>
      </c>
      <c r="C13" s="15">
        <f>'Job Costing &amp; Actuals'!C9</f>
        <v>0</v>
      </c>
      <c r="D13" s="15">
        <f>'Job Costing &amp; Actuals'!D9</f>
        <v>0</v>
      </c>
      <c r="E13" s="15">
        <f>C13-D13</f>
        <v>0</v>
      </c>
      <c r="F13" s="8">
        <f>IF(E13&gt;=0, "UNDER BUDGET", "OVER BUDGET")</f>
        <v>0</v>
      </c>
      <c r="H13" s="7" t="s">
        <v>346</v>
      </c>
      <c r="I13" s="7"/>
      <c r="J13" s="15">
        <f>'Estimate'!F50</f>
        <v>0</v>
      </c>
    </row>
    <row r="14" spans="2:10">
      <c r="B14" s="7" t="s">
        <v>340</v>
      </c>
      <c r="C14" s="15">
        <f>'Job Costing &amp; Actuals'!C10</f>
        <v>0</v>
      </c>
      <c r="D14" s="15">
        <f>'Job Costing &amp; Actuals'!D10</f>
        <v>0</v>
      </c>
      <c r="E14" s="15">
        <f>C14-D14</f>
        <v>0</v>
      </c>
      <c r="F14" s="8">
        <f>IF(E14&gt;=0, "UNDER BUDGET", "OVER BUDGET")</f>
        <v>0</v>
      </c>
      <c r="H14" s="7" t="s">
        <v>347</v>
      </c>
      <c r="I14" s="7"/>
      <c r="J14" s="15">
        <f>'Estimate'!F51</f>
        <v>0</v>
      </c>
    </row>
    <row r="15" spans="2:10">
      <c r="B15" s="7" t="s">
        <v>284</v>
      </c>
      <c r="C15" s="15">
        <f>'Job Costing &amp; Actuals'!C11</f>
        <v>0</v>
      </c>
      <c r="D15" s="15">
        <f>'Job Costing &amp; Actuals'!D11</f>
        <v>0</v>
      </c>
      <c r="E15" s="15">
        <f>C15-D15</f>
        <v>0</v>
      </c>
      <c r="F15" s="8">
        <f>IF(E15&gt;=0, "UNDER BUDGET", "OVER BUDGET")</f>
        <v>0</v>
      </c>
      <c r="H15" s="7" t="s">
        <v>348</v>
      </c>
      <c r="I15" s="7"/>
      <c r="J15" s="15">
        <f>'Estimate'!F52</f>
        <v>0</v>
      </c>
    </row>
    <row r="16" spans="2:10" ht="25" customHeight="1">
      <c r="B16" s="16" t="s">
        <v>341</v>
      </c>
      <c r="C16" s="17">
        <f>SUM(C10:C15)</f>
        <v>0</v>
      </c>
      <c r="D16" s="17">
        <f>SUM(D10:D15)</f>
        <v>0</v>
      </c>
      <c r="E16" s="17">
        <f>C16-D16</f>
        <v>0</v>
      </c>
      <c r="F16" s="16">
        <f>IF(E16&gt;=0, "UNDER BUDGET", "OVER BUDGET")</f>
        <v>0</v>
      </c>
      <c r="H16" s="7" t="s">
        <v>349</v>
      </c>
      <c r="I16" s="7"/>
      <c r="J16" s="15">
        <f>'Estimate'!F54</f>
        <v>0</v>
      </c>
    </row>
    <row r="17" spans="2:10" ht="25" customHeight="1">
      <c r="H17" s="19" t="s">
        <v>350</v>
      </c>
      <c r="I17" s="19"/>
      <c r="J17" s="20">
        <f>'Estimate'!F55</f>
        <v>0</v>
      </c>
    </row>
    <row r="18" spans="2:10">
      <c r="B18" s="3" t="s">
        <v>351</v>
      </c>
      <c r="C18" s="3"/>
      <c r="D18" s="3"/>
      <c r="E18" s="3"/>
      <c r="F18" s="3"/>
      <c r="G18" s="3"/>
      <c r="H18" s="3"/>
      <c r="I18" s="3"/>
      <c r="J18" s="3"/>
    </row>
    <row r="19" spans="2:10" ht="25" customHeight="1">
      <c r="B19" s="9" t="s">
        <v>275</v>
      </c>
      <c r="C19" s="9" t="s">
        <v>336</v>
      </c>
      <c r="D19" s="9" t="s">
        <v>337</v>
      </c>
      <c r="E19" s="9" t="s">
        <v>338</v>
      </c>
      <c r="F19" s="9" t="s">
        <v>352</v>
      </c>
      <c r="G19" s="9" t="s">
        <v>353</v>
      </c>
      <c r="H19" s="9" t="s">
        <v>354</v>
      </c>
    </row>
    <row r="20" spans="2:10">
      <c r="B20" s="7" t="s">
        <v>280</v>
      </c>
      <c r="C20" s="15">
        <f>'Job Costing &amp; Actuals'!C6</f>
        <v>0</v>
      </c>
      <c r="D20" s="15">
        <f>'Job Costing &amp; Actuals'!D6</f>
        <v>0</v>
      </c>
      <c r="E20" s="15">
        <f>C20-D20</f>
        <v>0</v>
      </c>
      <c r="F20" s="8">
        <f>IF(E20&gt;=0, "ON BUDGET", "OVER BUDGET")</f>
        <v>0</v>
      </c>
      <c r="G20" s="28">
        <f>REPT("█", MAX(1, MIN(50, ROUND(C20/500, 0))))</f>
        <v>0</v>
      </c>
      <c r="H20" s="29">
        <f>REPT("█", MAX(1, MIN(50, ROUND(D20/500, 0))))</f>
        <v>0</v>
      </c>
    </row>
    <row r="21" spans="2:10">
      <c r="B21" s="7" t="s">
        <v>281</v>
      </c>
      <c r="C21" s="15">
        <f>'Job Costing &amp; Actuals'!C7</f>
        <v>0</v>
      </c>
      <c r="D21" s="15">
        <f>'Job Costing &amp; Actuals'!D7</f>
        <v>0</v>
      </c>
      <c r="E21" s="15">
        <f>C21-D21</f>
        <v>0</v>
      </c>
      <c r="F21" s="8">
        <f>IF(E21&gt;=0, "ON BUDGET", "OVER BUDGET")</f>
        <v>0</v>
      </c>
      <c r="G21" s="28">
        <f>REPT("█", MAX(1, MIN(50, ROUND(C21/500, 0))))</f>
        <v>0</v>
      </c>
      <c r="H21" s="29">
        <f>REPT("█", MAX(1, MIN(50, ROUND(D21/500, 0))))</f>
        <v>0</v>
      </c>
    </row>
    <row r="22" spans="2:10">
      <c r="B22" s="7" t="s">
        <v>237</v>
      </c>
      <c r="C22" s="15">
        <f>'Job Costing &amp; Actuals'!C8</f>
        <v>0</v>
      </c>
      <c r="D22" s="15">
        <f>'Job Costing &amp; Actuals'!D8</f>
        <v>0</v>
      </c>
      <c r="E22" s="15">
        <f>C22-D22</f>
        <v>0</v>
      </c>
      <c r="F22" s="8">
        <f>IF(E22&gt;=0, "ON BUDGET", "OVER BUDGET")</f>
        <v>0</v>
      </c>
      <c r="G22" s="28">
        <f>REPT("█", MAX(1, MIN(50, ROUND(C22/500, 0))))</f>
        <v>0</v>
      </c>
      <c r="H22" s="29">
        <f>REPT("█", MAX(1, MIN(50, ROUND(D22/500, 0))))</f>
        <v>0</v>
      </c>
    </row>
    <row r="23" spans="2:10">
      <c r="B23" s="7" t="s">
        <v>282</v>
      </c>
      <c r="C23" s="15">
        <f>'Job Costing &amp; Actuals'!C9</f>
        <v>0</v>
      </c>
      <c r="D23" s="15">
        <f>'Job Costing &amp; Actuals'!D9</f>
        <v>0</v>
      </c>
      <c r="E23" s="15">
        <f>C23-D23</f>
        <v>0</v>
      </c>
      <c r="F23" s="8">
        <f>IF(E23&gt;=0, "ON BUDGET", "OVER BUDGET")</f>
        <v>0</v>
      </c>
      <c r="G23" s="28">
        <f>REPT("█", MAX(1, MIN(50, ROUND(C23/500, 0))))</f>
        <v>0</v>
      </c>
      <c r="H23" s="29">
        <f>REPT("█", MAX(1, MIN(50, ROUND(D23/500, 0))))</f>
        <v>0</v>
      </c>
    </row>
    <row r="24" spans="2:10">
      <c r="B24" s="7" t="s">
        <v>340</v>
      </c>
      <c r="C24" s="15">
        <f>'Job Costing &amp; Actuals'!C10</f>
        <v>0</v>
      </c>
      <c r="D24" s="15">
        <f>'Job Costing &amp; Actuals'!D10</f>
        <v>0</v>
      </c>
      <c r="E24" s="15">
        <f>C24-D24</f>
        <v>0</v>
      </c>
      <c r="F24" s="8">
        <f>IF(E24&gt;=0, "ON BUDGET", "OVER BUDGET")</f>
        <v>0</v>
      </c>
      <c r="G24" s="28">
        <f>REPT("█", MAX(1, MIN(50, ROUND(C24/500, 0))))</f>
        <v>0</v>
      </c>
      <c r="H24" s="29">
        <f>REPT("█", MAX(1, MIN(50, ROUND(D24/500, 0))))</f>
        <v>0</v>
      </c>
    </row>
    <row r="25" spans="2:10">
      <c r="B25" s="7" t="s">
        <v>284</v>
      </c>
      <c r="C25" s="15">
        <f>'Job Costing &amp; Actuals'!C11</f>
        <v>0</v>
      </c>
      <c r="D25" s="15">
        <f>'Job Costing &amp; Actuals'!D11</f>
        <v>0</v>
      </c>
      <c r="E25" s="15">
        <f>C25-D25</f>
        <v>0</v>
      </c>
      <c r="F25" s="8">
        <f>IF(E25&gt;=0, "ON BUDGET", "OVER BUDGET")</f>
        <v>0</v>
      </c>
      <c r="G25" s="28">
        <f>REPT("█", MAX(1, MIN(50, ROUND(C25/500, 0))))</f>
        <v>0</v>
      </c>
      <c r="H25" s="29">
        <f>REPT("█", MAX(1, MIN(50, ROUND(D25/500, 0))))</f>
        <v>0</v>
      </c>
    </row>
    <row r="26" spans="2:10" ht="25" customHeight="1">
      <c r="B26" s="16" t="s">
        <v>341</v>
      </c>
      <c r="C26" s="17">
        <f>SUM(C20:C25)</f>
        <v>0</v>
      </c>
      <c r="D26" s="17">
        <f>SUM(D20:D25)</f>
        <v>0</v>
      </c>
      <c r="E26" s="17">
        <f>C26-D26</f>
        <v>0</v>
      </c>
      <c r="F26" s="16">
        <f>IF(E26&gt;=0, "ON BUDGET", "OVER BUDGET")</f>
        <v>0</v>
      </c>
      <c r="G26" s="28">
        <f>REPT("█", MAX(1, MIN(50, ROUND(C26/500, 0))))</f>
        <v>0</v>
      </c>
      <c r="H26" s="29">
        <f>REPT("█", MAX(1, MIN(50, ROUND(D26/500, 0))))</f>
        <v>0</v>
      </c>
    </row>
    <row r="27" spans="2:10">
      <c r="B27" s="21" t="s">
        <v>355</v>
      </c>
      <c r="C27" s="21"/>
      <c r="D27" s="21"/>
      <c r="E27" s="21"/>
      <c r="F27" s="21"/>
      <c r="G27" s="21"/>
      <c r="H27" s="21"/>
      <c r="I27" s="21"/>
      <c r="J27" s="21"/>
    </row>
  </sheetData>
  <sheetProtection password="EC7C" sheet="1" objects="1" scenarios="1" formatCells="0" formatColumns="0" formatRows="0" insertRows="0" deleteRows="0" sort="0" autoFilter="0"/>
  <mergeCells count="21">
    <mergeCell ref="B2:J2"/>
    <mergeCell ref="B4:C4"/>
    <mergeCell ref="B5:C6"/>
    <mergeCell ref="D4:E4"/>
    <mergeCell ref="D5:E6"/>
    <mergeCell ref="F4:G4"/>
    <mergeCell ref="F5:G6"/>
    <mergeCell ref="H4:I4"/>
    <mergeCell ref="H5:I6"/>
    <mergeCell ref="B8:F8"/>
    <mergeCell ref="H8:J8"/>
    <mergeCell ref="H10:I10"/>
    <mergeCell ref="H11:I11"/>
    <mergeCell ref="H12:I12"/>
    <mergeCell ref="H13:I13"/>
    <mergeCell ref="H14:I14"/>
    <mergeCell ref="H15:I15"/>
    <mergeCell ref="H16:I16"/>
    <mergeCell ref="H17:I17"/>
    <mergeCell ref="B18:J18"/>
    <mergeCell ref="B27:J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2C3E50"/>
    <pageSetUpPr fitToPage="1"/>
  </sheetPr>
  <dimension ref="A2:G33"/>
  <sheetViews>
    <sheetView showGridLines="0" workbookViewId="0"/>
  </sheetViews>
  <sheetFormatPr defaultRowHeight="15"/>
  <cols>
    <col min="1" max="1" width="5.7109375" customWidth="1"/>
    <col min="2" max="5" width="20.7109375" customWidth="1"/>
    <col min="6" max="7" width="16.7109375" customWidth="1"/>
  </cols>
  <sheetData>
    <row r="2" spans="2:7" ht="35" customHeight="1">
      <c r="B2" s="30" t="s">
        <v>356</v>
      </c>
      <c r="C2" s="30"/>
      <c r="D2" s="30"/>
      <c r="E2" s="30"/>
      <c r="F2" s="30"/>
      <c r="G2" s="30"/>
    </row>
    <row r="3" spans="2:7">
      <c r="B3" s="31" t="s">
        <v>357</v>
      </c>
      <c r="C3" s="31"/>
      <c r="D3" s="31"/>
      <c r="E3" s="31"/>
      <c r="F3" s="31"/>
      <c r="G3" s="31"/>
    </row>
    <row r="5" spans="2:7">
      <c r="B5" s="3" t="s">
        <v>358</v>
      </c>
      <c r="C5" s="3"/>
      <c r="D5" s="3"/>
      <c r="E5" s="3" t="s">
        <v>359</v>
      </c>
      <c r="F5" s="3"/>
      <c r="G5" s="3"/>
    </row>
    <row r="6" spans="2:7">
      <c r="B6" s="32" t="s">
        <v>360</v>
      </c>
      <c r="C6" s="7">
        <f>'Project Info'!B13</f>
        <v>0</v>
      </c>
      <c r="D6" s="7"/>
      <c r="E6" s="32" t="s">
        <v>361</v>
      </c>
      <c r="F6" s="7">
        <f>'Project Info'!B5</f>
        <v>0</v>
      </c>
      <c r="G6" s="7"/>
    </row>
    <row r="7" spans="2:7">
      <c r="B7" s="32" t="s">
        <v>362</v>
      </c>
      <c r="C7" s="7">
        <f>'Project Info'!B14</f>
        <v>0</v>
      </c>
      <c r="D7" s="7"/>
      <c r="E7" s="32" t="s">
        <v>209</v>
      </c>
      <c r="F7" s="7">
        <f>'Project Info'!B4</f>
        <v>0</v>
      </c>
      <c r="G7" s="7"/>
    </row>
    <row r="8" spans="2:7">
      <c r="B8" s="32" t="s">
        <v>363</v>
      </c>
      <c r="C8" s="7">
        <f>'Project Info'!B16</f>
        <v>0</v>
      </c>
      <c r="D8" s="7"/>
      <c r="E8" s="32" t="s">
        <v>213</v>
      </c>
      <c r="F8" s="7">
        <f>'Project Info'!B6</f>
        <v>0</v>
      </c>
      <c r="G8" s="7"/>
    </row>
    <row r="9" spans="2:7">
      <c r="B9" s="32" t="s">
        <v>364</v>
      </c>
      <c r="C9" s="7">
        <f>'Project Info'!B17</f>
        <v>0</v>
      </c>
      <c r="D9" s="7"/>
      <c r="E9" s="32" t="s">
        <v>210</v>
      </c>
      <c r="F9" s="7">
        <f>'Project Info'!B7</f>
        <v>0</v>
      </c>
      <c r="G9" s="7"/>
    </row>
    <row r="11" spans="2:7">
      <c r="B11" s="3" t="s">
        <v>365</v>
      </c>
      <c r="C11" s="3"/>
      <c r="D11" s="3"/>
      <c r="E11" s="3"/>
      <c r="F11" s="3"/>
      <c r="G11" s="3"/>
    </row>
    <row r="12" spans="2:7" ht="40" customHeight="1">
      <c r="B12" s="4">
        <f>'Project Info'!B10</f>
        <v>0</v>
      </c>
      <c r="C12" s="4"/>
      <c r="D12" s="4"/>
      <c r="E12" s="4"/>
      <c r="F12" s="4"/>
      <c r="G12" s="4"/>
    </row>
    <row r="14" spans="2:7">
      <c r="B14" s="9" t="s">
        <v>366</v>
      </c>
      <c r="C14" s="9"/>
      <c r="D14" s="9"/>
      <c r="E14" s="9"/>
      <c r="F14" s="9"/>
      <c r="G14" s="9"/>
    </row>
    <row r="15" spans="2:7">
      <c r="B15" s="5" t="s">
        <v>367</v>
      </c>
      <c r="C15" s="5"/>
      <c r="D15" s="5"/>
      <c r="E15" s="5"/>
      <c r="F15" s="9" t="s">
        <v>368</v>
      </c>
      <c r="G15" s="9"/>
    </row>
    <row r="16" spans="2:7" ht="22" customHeight="1">
      <c r="B16" s="7" t="s">
        <v>369</v>
      </c>
      <c r="C16" s="7"/>
      <c r="D16" s="7"/>
      <c r="E16" s="7"/>
      <c r="F16" s="15">
        <f>'Estimate'!F19</f>
        <v>0</v>
      </c>
      <c r="G16" s="15"/>
    </row>
    <row r="17" spans="2:7" ht="22" customHeight="1">
      <c r="B17" s="7" t="s">
        <v>370</v>
      </c>
      <c r="C17" s="7"/>
      <c r="D17" s="7"/>
      <c r="E17" s="7"/>
      <c r="F17" s="15">
        <f>'Estimate'!F26</f>
        <v>0</v>
      </c>
      <c r="G17" s="15"/>
    </row>
    <row r="18" spans="2:7" ht="22" customHeight="1">
      <c r="B18" s="7" t="s">
        <v>371</v>
      </c>
      <c r="C18" s="7"/>
      <c r="D18" s="7"/>
      <c r="E18" s="7"/>
      <c r="F18" s="15">
        <f>'Estimate'!F32</f>
        <v>0</v>
      </c>
      <c r="G18" s="15"/>
    </row>
    <row r="19" spans="2:7" ht="22" customHeight="1">
      <c r="B19" s="7" t="s">
        <v>372</v>
      </c>
      <c r="C19" s="7"/>
      <c r="D19" s="7"/>
      <c r="E19" s="7"/>
      <c r="F19" s="15">
        <f>'Estimate'!F38</f>
        <v>0</v>
      </c>
      <c r="G19" s="15"/>
    </row>
    <row r="20" spans="2:7" ht="22" customHeight="1">
      <c r="B20" s="7" t="s">
        <v>373</v>
      </c>
      <c r="C20" s="7"/>
      <c r="D20" s="7"/>
      <c r="E20" s="7"/>
      <c r="F20" s="15">
        <f>'Estimate'!F43</f>
        <v>0</v>
      </c>
      <c r="G20" s="15"/>
    </row>
    <row r="21" spans="2:7" ht="22" customHeight="1">
      <c r="B21" s="7" t="s">
        <v>374</v>
      </c>
      <c r="C21" s="7"/>
      <c r="D21" s="7"/>
      <c r="E21" s="7"/>
      <c r="F21" s="15">
        <f>'Estimate'!F47+'Estimate'!F48</f>
        <v>0</v>
      </c>
      <c r="G21" s="15"/>
    </row>
    <row r="22" spans="2:7" ht="22" customHeight="1">
      <c r="B22" s="7" t="s">
        <v>375</v>
      </c>
      <c r="C22" s="7"/>
      <c r="D22" s="7"/>
      <c r="E22" s="7"/>
      <c r="F22" s="15">
        <f>'Estimate'!F50</f>
        <v>0</v>
      </c>
      <c r="G22" s="15"/>
    </row>
    <row r="23" spans="2:7" ht="22" customHeight="1">
      <c r="B23" s="16" t="s">
        <v>376</v>
      </c>
      <c r="C23" s="16"/>
      <c r="D23" s="16"/>
      <c r="E23" s="16"/>
      <c r="F23" s="17">
        <f>'Estimate'!F51</f>
        <v>0</v>
      </c>
      <c r="G23" s="17"/>
    </row>
    <row r="24" spans="2:7" ht="22" customHeight="1">
      <c r="B24" s="7" t="s">
        <v>377</v>
      </c>
      <c r="C24" s="7"/>
      <c r="D24" s="7"/>
      <c r="E24" s="7"/>
      <c r="F24" s="15">
        <f>'Estimate'!F52</f>
        <v>0</v>
      </c>
      <c r="G24" s="15"/>
    </row>
    <row r="25" spans="2:7" ht="22" customHeight="1">
      <c r="B25" s="16" t="s">
        <v>378</v>
      </c>
      <c r="C25" s="16"/>
      <c r="D25" s="16"/>
      <c r="E25" s="16"/>
      <c r="F25" s="17">
        <f>'Estimate'!F53</f>
        <v>0</v>
      </c>
      <c r="G25" s="17"/>
    </row>
    <row r="26" spans="2:7" ht="22" customHeight="1">
      <c r="B26" s="7" t="s">
        <v>379</v>
      </c>
      <c r="C26" s="7"/>
      <c r="D26" s="7"/>
      <c r="E26" s="7"/>
      <c r="F26" s="15">
        <f>'Estimate'!F54</f>
        <v>0</v>
      </c>
      <c r="G26" s="15"/>
    </row>
    <row r="27" spans="2:7" ht="28" customHeight="1">
      <c r="B27" s="19" t="s">
        <v>264</v>
      </c>
      <c r="C27" s="19"/>
      <c r="D27" s="19"/>
      <c r="E27" s="19"/>
      <c r="F27" s="20">
        <f>'Estimate'!F55</f>
        <v>0</v>
      </c>
      <c r="G27" s="20"/>
    </row>
    <row r="28" spans="2:7">
      <c r="B28" s="3" t="s">
        <v>380</v>
      </c>
      <c r="C28" s="3"/>
      <c r="D28" s="3"/>
      <c r="E28" s="3"/>
      <c r="F28" s="3"/>
      <c r="G28" s="3"/>
    </row>
    <row r="29" spans="2:7" ht="50" customHeight="1">
      <c r="B29" s="21" t="s">
        <v>381</v>
      </c>
      <c r="C29" s="21"/>
      <c r="D29" s="21"/>
      <c r="E29" s="21"/>
      <c r="F29" s="21"/>
      <c r="G29" s="21"/>
    </row>
    <row r="31" spans="2:7">
      <c r="B31" s="3" t="s">
        <v>382</v>
      </c>
      <c r="C31" s="3"/>
      <c r="D31" s="3"/>
      <c r="E31" s="3"/>
      <c r="F31" s="3"/>
      <c r="G31" s="3"/>
    </row>
    <row r="32" spans="2:7">
      <c r="B32" s="32" t="s">
        <v>267</v>
      </c>
      <c r="C32" s="10"/>
      <c r="D32" s="10"/>
      <c r="E32" s="32" t="s">
        <v>271</v>
      </c>
      <c r="F32" s="22"/>
      <c r="G32" s="22"/>
    </row>
    <row r="33" spans="2:7">
      <c r="B33" s="32" t="s">
        <v>383</v>
      </c>
      <c r="C33" s="10" t="s">
        <v>384</v>
      </c>
      <c r="D33" s="10"/>
      <c r="E33" s="32" t="s">
        <v>385</v>
      </c>
      <c r="F33" s="7" t="s">
        <v>44</v>
      </c>
      <c r="G33" s="7"/>
    </row>
  </sheetData>
  <sheetProtection password="EC7C" sheet="1" objects="1" scenarios="1" formatCells="0" formatColumns="0" formatRows="0" insertRows="0" deleteRows="0" sort="0" autoFilter="0"/>
  <mergeCells count="48">
    <mergeCell ref="B2:G2"/>
    <mergeCell ref="B3:G3"/>
    <mergeCell ref="B5:D5"/>
    <mergeCell ref="E5:G5"/>
    <mergeCell ref="C6:D6"/>
    <mergeCell ref="F6:G6"/>
    <mergeCell ref="C7:D7"/>
    <mergeCell ref="F7:G7"/>
    <mergeCell ref="C8:D8"/>
    <mergeCell ref="F8:G8"/>
    <mergeCell ref="C9:D9"/>
    <mergeCell ref="F9:G9"/>
    <mergeCell ref="B11:G11"/>
    <mergeCell ref="B12:G12"/>
    <mergeCell ref="B14:G14"/>
    <mergeCell ref="B15:E15"/>
    <mergeCell ref="F15:G15"/>
    <mergeCell ref="B16:E16"/>
    <mergeCell ref="F16:G16"/>
    <mergeCell ref="B17:E17"/>
    <mergeCell ref="F17:G17"/>
    <mergeCell ref="B18:E18"/>
    <mergeCell ref="F18:G18"/>
    <mergeCell ref="B19:E19"/>
    <mergeCell ref="F19:G19"/>
    <mergeCell ref="B20:E20"/>
    <mergeCell ref="F20:G20"/>
    <mergeCell ref="B21:E21"/>
    <mergeCell ref="F21:G21"/>
    <mergeCell ref="B22:E22"/>
    <mergeCell ref="F22:G22"/>
    <mergeCell ref="B23:E23"/>
    <mergeCell ref="F23:G23"/>
    <mergeCell ref="B24:E24"/>
    <mergeCell ref="F24:G24"/>
    <mergeCell ref="B25:E25"/>
    <mergeCell ref="F25:G25"/>
    <mergeCell ref="B26:E26"/>
    <mergeCell ref="F26:G26"/>
    <mergeCell ref="B27:E27"/>
    <mergeCell ref="F27:G27"/>
    <mergeCell ref="B28:G28"/>
    <mergeCell ref="B29:G29"/>
    <mergeCell ref="B31:G31"/>
    <mergeCell ref="C32:D32"/>
    <mergeCell ref="F32:G32"/>
    <mergeCell ref="C33:D33"/>
    <mergeCell ref="F33:G33"/>
  </mergeCells>
  <pageMargins left="0.5" right="0.5" top="0.75" bottom="0.75" header="0.3" footer="0.3"/>
  <pageSetup paperSize="1" fitToHeight="0" orientation="portrait"/>
  <headerFooter>
    <oddFooter>&amp;L&amp;"Segoe UI"&amp;8Template Author: novality store&amp;R&amp;"Segoe UI"&amp;8Page &amp;P of &amp;N</oddFooter>
  </headerFooter>
</worksheet>
</file>

<file path=xl/worksheets/sheet12.xml><?xml version="1.0" encoding="utf-8"?>
<worksheet xmlns="http://schemas.openxmlformats.org/spreadsheetml/2006/main" xmlns:r="http://schemas.openxmlformats.org/officeDocument/2006/relationships">
  <sheetPr>
    <tabColor rgb="FF64748B"/>
    <pageSetUpPr fitToPage="1"/>
  </sheetPr>
  <dimension ref="A2:G25"/>
  <sheetViews>
    <sheetView showGridLines="0" workbookViewId="0"/>
  </sheetViews>
  <sheetFormatPr defaultRowHeight="15"/>
  <cols>
    <col min="1" max="1" width="5.7109375" customWidth="1"/>
    <col min="2" max="7" width="16.7109375" customWidth="1"/>
  </cols>
  <sheetData>
    <row r="2" spans="2:7" ht="35" customHeight="1">
      <c r="B2" s="30" t="s">
        <v>386</v>
      </c>
      <c r="C2" s="30"/>
      <c r="D2" s="30"/>
      <c r="E2" s="30"/>
      <c r="F2" s="30"/>
      <c r="G2" s="30"/>
    </row>
    <row r="3" spans="2:7">
      <c r="B3" s="31" t="s">
        <v>387</v>
      </c>
      <c r="C3" s="31"/>
      <c r="D3" s="31"/>
      <c r="E3" s="31"/>
      <c r="F3" s="31"/>
      <c r="G3" s="31"/>
    </row>
    <row r="6" spans="2:7" ht="22" customHeight="1">
      <c r="B6" s="3" t="s">
        <v>388</v>
      </c>
      <c r="C6" s="3"/>
      <c r="D6" s="3"/>
      <c r="E6" s="3"/>
      <c r="F6" s="3"/>
      <c r="G6" s="3"/>
    </row>
    <row r="7" spans="2:7" ht="40" customHeight="1">
      <c r="B7" s="4" t="s">
        <v>389</v>
      </c>
      <c r="C7" s="4"/>
      <c r="D7" s="4"/>
      <c r="E7" s="4"/>
      <c r="F7" s="4"/>
      <c r="G7" s="4"/>
    </row>
    <row r="9" spans="2:7" ht="22" customHeight="1">
      <c r="B9" s="3" t="s">
        <v>390</v>
      </c>
      <c r="C9" s="3"/>
      <c r="D9" s="3"/>
      <c r="E9" s="3"/>
      <c r="F9" s="3"/>
      <c r="G9" s="3"/>
    </row>
    <row r="10" spans="2:7" ht="40" customHeight="1">
      <c r="B10" s="4" t="s">
        <v>391</v>
      </c>
      <c r="C10" s="4"/>
      <c r="D10" s="4"/>
      <c r="E10" s="4"/>
      <c r="F10" s="4"/>
      <c r="G10" s="4"/>
    </row>
    <row r="12" spans="2:7" ht="22" customHeight="1">
      <c r="B12" s="3" t="s">
        <v>392</v>
      </c>
      <c r="C12" s="3"/>
      <c r="D12" s="3"/>
      <c r="E12" s="3"/>
      <c r="F12" s="3"/>
      <c r="G12" s="3"/>
    </row>
    <row r="13" spans="2:7" ht="40" customHeight="1">
      <c r="B13" s="4" t="s">
        <v>393</v>
      </c>
      <c r="C13" s="4"/>
      <c r="D13" s="4"/>
      <c r="E13" s="4"/>
      <c r="F13" s="4"/>
      <c r="G13" s="4"/>
    </row>
    <row r="15" spans="2:7" ht="22" customHeight="1">
      <c r="B15" s="3" t="s">
        <v>394</v>
      </c>
      <c r="C15" s="3"/>
      <c r="D15" s="3"/>
      <c r="E15" s="3"/>
      <c r="F15" s="3"/>
      <c r="G15" s="3"/>
    </row>
    <row r="16" spans="2:7" ht="40" customHeight="1">
      <c r="B16" s="4" t="s">
        <v>395</v>
      </c>
      <c r="C16" s="4"/>
      <c r="D16" s="4"/>
      <c r="E16" s="4"/>
      <c r="F16" s="4"/>
      <c r="G16" s="4"/>
    </row>
    <row r="18" spans="2:7" ht="22" customHeight="1">
      <c r="B18" s="3" t="s">
        <v>396</v>
      </c>
      <c r="C18" s="3"/>
      <c r="D18" s="3"/>
      <c r="E18" s="3"/>
      <c r="F18" s="3"/>
      <c r="G18" s="3"/>
    </row>
    <row r="19" spans="2:7" ht="40" customHeight="1">
      <c r="B19" s="4" t="s">
        <v>397</v>
      </c>
      <c r="C19" s="4"/>
      <c r="D19" s="4"/>
      <c r="E19" s="4"/>
      <c r="F19" s="4"/>
      <c r="G19" s="4"/>
    </row>
    <row r="21" spans="2:7" ht="22" customHeight="1">
      <c r="B21" s="3" t="s">
        <v>398</v>
      </c>
      <c r="C21" s="3"/>
      <c r="D21" s="3"/>
      <c r="E21" s="3"/>
      <c r="F21" s="3"/>
      <c r="G21" s="3"/>
    </row>
    <row r="22" spans="2:7" ht="40" customHeight="1">
      <c r="B22" s="4" t="s">
        <v>399</v>
      </c>
      <c r="C22" s="4"/>
      <c r="D22" s="4"/>
      <c r="E22" s="4"/>
      <c r="F22" s="4"/>
      <c r="G22" s="4"/>
    </row>
    <row r="24" spans="2:7" ht="22" customHeight="1">
      <c r="B24" s="3" t="s">
        <v>400</v>
      </c>
      <c r="C24" s="3"/>
      <c r="D24" s="3"/>
      <c r="E24" s="3"/>
      <c r="F24" s="3"/>
      <c r="G24" s="3"/>
    </row>
    <row r="25" spans="2:7" ht="40" customHeight="1">
      <c r="B25" s="4" t="s">
        <v>401</v>
      </c>
      <c r="C25" s="4"/>
      <c r="D25" s="4"/>
      <c r="E25" s="4"/>
      <c r="F25" s="4"/>
      <c r="G25" s="4"/>
    </row>
  </sheetData>
  <sheetProtection password="EC7C" sheet="1" objects="1" scenarios="1" formatCells="0" formatColumns="0" formatRows="0" insertRows="0" deleteRows="0" sort="0" autoFilter="0"/>
  <mergeCells count="16">
    <mergeCell ref="B2:G2"/>
    <mergeCell ref="B3:G3"/>
    <mergeCell ref="B6:G6"/>
    <mergeCell ref="B7:G7"/>
    <mergeCell ref="B9:G9"/>
    <mergeCell ref="B10:G10"/>
    <mergeCell ref="B12:G12"/>
    <mergeCell ref="B13:G13"/>
    <mergeCell ref="B15:G15"/>
    <mergeCell ref="B16:G16"/>
    <mergeCell ref="B18:G18"/>
    <mergeCell ref="B19:G19"/>
    <mergeCell ref="B21:G21"/>
    <mergeCell ref="B22:G22"/>
    <mergeCell ref="B24:G24"/>
    <mergeCell ref="B25:G25"/>
  </mergeCells>
  <pageMargins left="0.5" right="0.5" top="0.75" bottom="0.75" header="0.3" footer="0.3"/>
  <pageSetup paperSize="1" fitToHeight="0" orientation="portrait"/>
  <headerFooter>
    <oddFooter>&amp;L&amp;"Segoe UI"&amp;8Template Author: novality store&amp;R&amp;"Segoe UI"&amp;8Page &amp;P of &amp;N</oddFooter>
  </headerFooter>
</worksheet>
</file>

<file path=xl/worksheets/sheet13.xml><?xml version="1.0" encoding="utf-8"?>
<worksheet xmlns="http://schemas.openxmlformats.org/spreadsheetml/2006/main" xmlns:r="http://schemas.openxmlformats.org/officeDocument/2006/relationships">
  <sheetPr>
    <tabColor rgb="FF64748B"/>
  </sheetPr>
  <dimension ref="A2:G20"/>
  <sheetViews>
    <sheetView workbookViewId="0"/>
  </sheetViews>
  <sheetFormatPr defaultRowHeight="15"/>
  <cols>
    <col min="1" max="1" width="10.7109375" customWidth="1"/>
    <col min="2" max="2" width="32.7109375" customWidth="1"/>
    <col min="3" max="4" width="18.7109375" customWidth="1"/>
    <col min="5" max="7" width="14.7109375" customWidth="1"/>
  </cols>
  <sheetData>
    <row r="2" spans="1:7" ht="30" customHeight="1">
      <c r="A2" s="1" t="s">
        <v>402</v>
      </c>
      <c r="B2" s="1"/>
      <c r="C2" s="1"/>
      <c r="D2" s="1"/>
      <c r="E2" s="1"/>
      <c r="F2" s="1"/>
      <c r="G2" s="1"/>
    </row>
    <row r="3" spans="1:7">
      <c r="A3" s="2" t="s">
        <v>403</v>
      </c>
      <c r="B3" s="2"/>
      <c r="C3" s="2"/>
      <c r="D3" s="2"/>
      <c r="E3" s="2"/>
      <c r="F3" s="2"/>
      <c r="G3" s="2"/>
    </row>
    <row r="5" spans="1:7" ht="25" customHeight="1">
      <c r="A5" s="9" t="s">
        <v>404</v>
      </c>
      <c r="B5" s="9" t="s">
        <v>70</v>
      </c>
      <c r="C5" s="9" t="s">
        <v>71</v>
      </c>
      <c r="D5" s="9" t="s">
        <v>405</v>
      </c>
      <c r="E5" s="9" t="s">
        <v>74</v>
      </c>
      <c r="F5" s="9" t="s">
        <v>406</v>
      </c>
      <c r="G5" s="9" t="s">
        <v>407</v>
      </c>
    </row>
    <row r="6" spans="1:7">
      <c r="A6" s="8" t="s">
        <v>78</v>
      </c>
      <c r="B6" s="7" t="s">
        <v>408</v>
      </c>
      <c r="C6" s="8" t="s">
        <v>80</v>
      </c>
      <c r="D6" s="7" t="s">
        <v>81</v>
      </c>
      <c r="E6" s="8" t="s">
        <v>82</v>
      </c>
      <c r="F6" s="14">
        <v>700</v>
      </c>
      <c r="G6" s="8">
        <v>14</v>
      </c>
    </row>
    <row r="7" spans="1:7">
      <c r="A7" s="8" t="s">
        <v>83</v>
      </c>
      <c r="B7" s="7" t="s">
        <v>409</v>
      </c>
      <c r="C7" s="8" t="s">
        <v>80</v>
      </c>
      <c r="D7" s="7" t="s">
        <v>81</v>
      </c>
      <c r="E7" s="8" t="s">
        <v>82</v>
      </c>
      <c r="F7" s="14">
        <v>350</v>
      </c>
      <c r="G7" s="8">
        <v>14</v>
      </c>
    </row>
    <row r="8" spans="1:7">
      <c r="A8" s="8" t="s">
        <v>85</v>
      </c>
      <c r="B8" s="7" t="s">
        <v>410</v>
      </c>
      <c r="C8" s="8" t="s">
        <v>87</v>
      </c>
      <c r="D8" s="7" t="s">
        <v>88</v>
      </c>
      <c r="E8" s="8" t="s">
        <v>89</v>
      </c>
      <c r="F8" s="14">
        <v>75</v>
      </c>
      <c r="G8" s="8">
        <v>7</v>
      </c>
    </row>
    <row r="9" spans="1:7">
      <c r="A9" s="8" t="s">
        <v>90</v>
      </c>
      <c r="B9" s="7" t="s">
        <v>411</v>
      </c>
      <c r="C9" s="8" t="s">
        <v>92</v>
      </c>
      <c r="D9" s="7" t="s">
        <v>93</v>
      </c>
      <c r="E9" s="8" t="s">
        <v>89</v>
      </c>
      <c r="F9" s="14">
        <v>6.5</v>
      </c>
      <c r="G9" s="8">
        <v>5</v>
      </c>
    </row>
    <row r="10" spans="1:7">
      <c r="A10" s="8" t="s">
        <v>94</v>
      </c>
      <c r="B10" s="7" t="s">
        <v>412</v>
      </c>
      <c r="C10" s="8" t="s">
        <v>92</v>
      </c>
      <c r="D10" s="7" t="s">
        <v>93</v>
      </c>
      <c r="E10" s="8" t="s">
        <v>89</v>
      </c>
      <c r="F10" s="14">
        <v>0.65</v>
      </c>
      <c r="G10" s="8">
        <v>3</v>
      </c>
    </row>
    <row r="11" spans="1:7">
      <c r="A11" s="8" t="s">
        <v>96</v>
      </c>
      <c r="B11" s="7" t="s">
        <v>413</v>
      </c>
      <c r="C11" s="8" t="s">
        <v>98</v>
      </c>
      <c r="D11" s="7" t="s">
        <v>414</v>
      </c>
      <c r="E11" s="8" t="s">
        <v>74</v>
      </c>
      <c r="F11" s="14">
        <v>45</v>
      </c>
      <c r="G11" s="8">
        <v>2</v>
      </c>
    </row>
    <row r="12" spans="1:7">
      <c r="A12" s="8" t="s">
        <v>100</v>
      </c>
      <c r="B12" s="7" t="s">
        <v>415</v>
      </c>
      <c r="C12" s="8" t="s">
        <v>98</v>
      </c>
      <c r="D12" s="7" t="s">
        <v>414</v>
      </c>
      <c r="E12" s="8" t="s">
        <v>74</v>
      </c>
      <c r="F12" s="14">
        <v>220</v>
      </c>
      <c r="G12" s="8">
        <v>5</v>
      </c>
    </row>
    <row r="13" spans="1:7">
      <c r="A13" s="8" t="s">
        <v>102</v>
      </c>
      <c r="B13" s="7" t="s">
        <v>416</v>
      </c>
      <c r="C13" s="8" t="s">
        <v>104</v>
      </c>
      <c r="D13" s="7" t="s">
        <v>105</v>
      </c>
      <c r="E13" s="8" t="s">
        <v>106</v>
      </c>
      <c r="F13" s="14">
        <v>45</v>
      </c>
      <c r="G13" s="8">
        <v>1</v>
      </c>
    </row>
    <row r="14" spans="1:7">
      <c r="A14" s="8" t="s">
        <v>107</v>
      </c>
      <c r="B14" s="7" t="s">
        <v>417</v>
      </c>
      <c r="C14" s="8" t="s">
        <v>104</v>
      </c>
      <c r="D14" s="7" t="s">
        <v>105</v>
      </c>
      <c r="E14" s="8" t="s">
        <v>106</v>
      </c>
      <c r="F14" s="14">
        <v>65</v>
      </c>
      <c r="G14" s="8">
        <v>1</v>
      </c>
    </row>
    <row r="15" spans="1:7">
      <c r="A15" s="8" t="s">
        <v>109</v>
      </c>
      <c r="B15" s="7" t="s">
        <v>418</v>
      </c>
      <c r="C15" s="8" t="s">
        <v>111</v>
      </c>
      <c r="D15" s="7" t="s">
        <v>419</v>
      </c>
      <c r="E15" s="8" t="s">
        <v>82</v>
      </c>
      <c r="F15" s="14">
        <v>950</v>
      </c>
      <c r="G15" s="8">
        <v>7</v>
      </c>
    </row>
    <row r="16" spans="1:7">
      <c r="A16" s="8" t="s">
        <v>113</v>
      </c>
      <c r="B16" s="7" t="s">
        <v>420</v>
      </c>
      <c r="C16" s="8" t="s">
        <v>115</v>
      </c>
      <c r="D16" s="7" t="s">
        <v>88</v>
      </c>
      <c r="E16" s="8" t="s">
        <v>89</v>
      </c>
      <c r="F16" s="14">
        <v>8.5</v>
      </c>
      <c r="G16" s="8">
        <v>4</v>
      </c>
    </row>
    <row r="17" spans="1:7">
      <c r="A17" s="8" t="s">
        <v>116</v>
      </c>
      <c r="B17" s="7" t="s">
        <v>421</v>
      </c>
      <c r="C17" s="8" t="s">
        <v>422</v>
      </c>
      <c r="D17" s="7" t="s">
        <v>119</v>
      </c>
      <c r="E17" s="8" t="s">
        <v>423</v>
      </c>
      <c r="F17" s="14">
        <v>14.5</v>
      </c>
      <c r="G17" s="8">
        <v>1</v>
      </c>
    </row>
    <row r="18" spans="1:7">
      <c r="A18" s="8" t="s">
        <v>424</v>
      </c>
      <c r="B18" s="7" t="s">
        <v>425</v>
      </c>
      <c r="C18" s="8" t="s">
        <v>422</v>
      </c>
      <c r="D18" s="7" t="s">
        <v>119</v>
      </c>
      <c r="E18" s="8" t="s">
        <v>426</v>
      </c>
      <c r="F18" s="14">
        <v>18</v>
      </c>
      <c r="G18" s="8">
        <v>1</v>
      </c>
    </row>
    <row r="19" spans="1:7">
      <c r="A19" s="8" t="s">
        <v>427</v>
      </c>
      <c r="B19" s="7" t="s">
        <v>428</v>
      </c>
      <c r="C19" s="8" t="s">
        <v>429</v>
      </c>
      <c r="D19" s="7" t="s">
        <v>119</v>
      </c>
      <c r="E19" s="8" t="s">
        <v>74</v>
      </c>
      <c r="F19" s="14">
        <v>6.25</v>
      </c>
      <c r="G19" s="8">
        <v>1</v>
      </c>
    </row>
    <row r="20" spans="1:7">
      <c r="A20" s="8" t="s">
        <v>430</v>
      </c>
      <c r="B20" s="7" t="s">
        <v>431</v>
      </c>
      <c r="C20" s="8" t="s">
        <v>432</v>
      </c>
      <c r="D20" s="7" t="s">
        <v>119</v>
      </c>
      <c r="E20" s="8" t="s">
        <v>433</v>
      </c>
      <c r="F20" s="14">
        <v>8.5</v>
      </c>
      <c r="G20" s="8">
        <v>1</v>
      </c>
    </row>
  </sheetData>
  <sheetProtection password="EC7C" sheet="1" objects="1" scenarios="1" formatCells="0" formatColumns="0" formatRows="0" insertRows="0" deleteRows="0" sort="0" autoFilter="0"/>
  <mergeCells count="2">
    <mergeCell ref="A2:G2"/>
    <mergeCell ref="A3:G3"/>
  </mergeCells>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64748B"/>
  </sheetPr>
  <dimension ref="A2:G17"/>
  <sheetViews>
    <sheetView workbookViewId="0"/>
  </sheetViews>
  <sheetFormatPr defaultRowHeight="15"/>
  <cols>
    <col min="1" max="1" width="10.7109375" customWidth="1"/>
    <col min="2" max="2" width="28.7109375" customWidth="1"/>
    <col min="3" max="7" width="16.7109375" customWidth="1"/>
  </cols>
  <sheetData>
    <row r="2" spans="1:7" ht="30" customHeight="1">
      <c r="A2" s="1" t="s">
        <v>434</v>
      </c>
      <c r="B2" s="1"/>
      <c r="C2" s="1"/>
      <c r="D2" s="1"/>
      <c r="E2" s="1"/>
      <c r="F2" s="1"/>
      <c r="G2" s="1"/>
    </row>
    <row r="3" spans="1:7">
      <c r="A3" s="2" t="s">
        <v>435</v>
      </c>
      <c r="B3" s="2"/>
      <c r="C3" s="2"/>
      <c r="D3" s="2"/>
      <c r="E3" s="2"/>
      <c r="F3" s="2"/>
      <c r="G3" s="2"/>
    </row>
    <row r="5" spans="1:7" ht="25" customHeight="1">
      <c r="A5" s="9" t="s">
        <v>436</v>
      </c>
      <c r="B5" s="9" t="s">
        <v>437</v>
      </c>
      <c r="C5" s="9" t="s">
        <v>438</v>
      </c>
      <c r="D5" s="9" t="s">
        <v>439</v>
      </c>
      <c r="E5" s="9" t="s">
        <v>440</v>
      </c>
      <c r="F5" s="9" t="s">
        <v>441</v>
      </c>
      <c r="G5" s="9" t="s">
        <v>442</v>
      </c>
    </row>
    <row r="6" spans="1:7">
      <c r="A6" s="8" t="s">
        <v>443</v>
      </c>
      <c r="B6" s="7" t="s">
        <v>444</v>
      </c>
      <c r="C6" s="14">
        <v>25</v>
      </c>
      <c r="D6" s="11">
        <v>0.25</v>
      </c>
      <c r="E6" s="15">
        <f>C6*(1+D6)</f>
        <v>0</v>
      </c>
      <c r="F6" s="14">
        <v>40</v>
      </c>
      <c r="G6" s="14">
        <v>60</v>
      </c>
    </row>
    <row r="7" spans="1:7">
      <c r="A7" s="8" t="s">
        <v>445</v>
      </c>
      <c r="B7" s="7" t="s">
        <v>446</v>
      </c>
      <c r="C7" s="14">
        <v>35</v>
      </c>
      <c r="D7" s="11">
        <v>0.28</v>
      </c>
      <c r="E7" s="15">
        <f>C7*(1+D7)</f>
        <v>0</v>
      </c>
      <c r="F7" s="14">
        <v>55</v>
      </c>
      <c r="G7" s="14">
        <v>82.5</v>
      </c>
    </row>
    <row r="8" spans="1:7">
      <c r="A8" s="8" t="s">
        <v>447</v>
      </c>
      <c r="B8" s="7" t="s">
        <v>448</v>
      </c>
      <c r="C8" s="14">
        <v>42</v>
      </c>
      <c r="D8" s="11">
        <v>0.28</v>
      </c>
      <c r="E8" s="15">
        <f>C8*(1+D8)</f>
        <v>0</v>
      </c>
      <c r="F8" s="14">
        <v>65</v>
      </c>
      <c r="G8" s="14">
        <v>97.5</v>
      </c>
    </row>
    <row r="9" spans="1:7">
      <c r="A9" s="8" t="s">
        <v>449</v>
      </c>
      <c r="B9" s="7" t="s">
        <v>450</v>
      </c>
      <c r="C9" s="14">
        <v>30</v>
      </c>
      <c r="D9" s="11">
        <v>0.25</v>
      </c>
      <c r="E9" s="15">
        <f>C9*(1+D9)</f>
        <v>0</v>
      </c>
      <c r="F9" s="14">
        <v>45</v>
      </c>
      <c r="G9" s="14">
        <v>67.5</v>
      </c>
    </row>
    <row r="10" spans="1:7">
      <c r="A10" s="8" t="s">
        <v>451</v>
      </c>
      <c r="B10" s="7" t="s">
        <v>452</v>
      </c>
      <c r="C10" s="14">
        <v>28</v>
      </c>
      <c r="D10" s="11">
        <v>0.25</v>
      </c>
      <c r="E10" s="15">
        <f>C10*(1+D10)</f>
        <v>0</v>
      </c>
      <c r="F10" s="14">
        <v>45</v>
      </c>
      <c r="G10" s="14">
        <v>67.5</v>
      </c>
    </row>
    <row r="11" spans="1:7">
      <c r="A11" s="8" t="s">
        <v>453</v>
      </c>
      <c r="B11" s="7" t="s">
        <v>454</v>
      </c>
      <c r="C11" s="14">
        <v>48</v>
      </c>
      <c r="D11" s="11">
        <v>0.3</v>
      </c>
      <c r="E11" s="15">
        <f>C11*(1+D11)</f>
        <v>0</v>
      </c>
      <c r="F11" s="14">
        <v>75</v>
      </c>
      <c r="G11" s="14">
        <v>112.5</v>
      </c>
    </row>
    <row r="12" spans="1:7">
      <c r="A12" s="8" t="s">
        <v>455</v>
      </c>
      <c r="B12" s="7" t="s">
        <v>456</v>
      </c>
      <c r="C12" s="14">
        <v>48</v>
      </c>
      <c r="D12" s="11">
        <v>0.3</v>
      </c>
      <c r="E12" s="15">
        <f>C12*(1+D12)</f>
        <v>0</v>
      </c>
      <c r="F12" s="14">
        <v>75</v>
      </c>
      <c r="G12" s="14">
        <v>112.5</v>
      </c>
    </row>
    <row r="13" spans="1:7">
      <c r="A13" s="8" t="s">
        <v>457</v>
      </c>
      <c r="B13" s="7" t="s">
        <v>458</v>
      </c>
      <c r="C13" s="14">
        <v>42</v>
      </c>
      <c r="D13" s="11">
        <v>0.3</v>
      </c>
      <c r="E13" s="15">
        <f>C13*(1+D13)</f>
        <v>0</v>
      </c>
      <c r="F13" s="14">
        <v>70</v>
      </c>
      <c r="G13" s="14">
        <v>105</v>
      </c>
    </row>
    <row r="14" spans="1:7">
      <c r="A14" s="8" t="s">
        <v>459</v>
      </c>
      <c r="B14" s="7" t="s">
        <v>460</v>
      </c>
      <c r="C14" s="14">
        <v>35</v>
      </c>
      <c r="D14" s="11">
        <v>0.26</v>
      </c>
      <c r="E14" s="15">
        <f>C14*(1+D14)</f>
        <v>0</v>
      </c>
      <c r="F14" s="14">
        <v>55</v>
      </c>
      <c r="G14" s="14">
        <v>82.5</v>
      </c>
    </row>
    <row r="15" spans="1:7">
      <c r="A15" s="8" t="s">
        <v>461</v>
      </c>
      <c r="B15" s="7" t="s">
        <v>462</v>
      </c>
      <c r="C15" s="14">
        <v>32</v>
      </c>
      <c r="D15" s="11">
        <v>0.26</v>
      </c>
      <c r="E15" s="15">
        <f>C15*(1+D15)</f>
        <v>0</v>
      </c>
      <c r="F15" s="14">
        <v>50</v>
      </c>
      <c r="G15" s="14">
        <v>75</v>
      </c>
    </row>
    <row r="16" spans="1:7">
      <c r="A16" s="8" t="s">
        <v>463</v>
      </c>
      <c r="B16" s="7" t="s">
        <v>464</v>
      </c>
      <c r="C16" s="14">
        <v>50</v>
      </c>
      <c r="D16" s="11">
        <v>0.32</v>
      </c>
      <c r="E16" s="15">
        <f>C16*(1+D16)</f>
        <v>0</v>
      </c>
      <c r="F16" s="14">
        <v>75</v>
      </c>
      <c r="G16" s="14">
        <v>112.5</v>
      </c>
    </row>
    <row r="17" spans="1:7">
      <c r="A17" s="8" t="s">
        <v>465</v>
      </c>
      <c r="B17" s="7" t="s">
        <v>466</v>
      </c>
      <c r="C17" s="14">
        <v>22</v>
      </c>
      <c r="D17" s="11">
        <v>0.25</v>
      </c>
      <c r="E17" s="15">
        <f>C17*(1+D17)</f>
        <v>0</v>
      </c>
      <c r="F17" s="14">
        <v>35</v>
      </c>
      <c r="G17" s="14">
        <v>52.5</v>
      </c>
    </row>
  </sheetData>
  <sheetProtection password="EC7C" sheet="1" objects="1" scenarios="1" formatCells="0" formatColumns="0" formatRows="0" insertRows="0" deleteRows="0" sort="0" autoFilter="0"/>
  <mergeCells count="2">
    <mergeCell ref="A2:G2"/>
    <mergeCell ref="A3:G3"/>
  </mergeCells>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64748B"/>
  </sheetPr>
  <dimension ref="A2:D18"/>
  <sheetViews>
    <sheetView workbookViewId="0"/>
  </sheetViews>
  <sheetFormatPr defaultRowHeight="15"/>
  <cols>
    <col min="1" max="1" width="32.7109375" customWidth="1"/>
    <col min="2" max="4" width="18.7109375" customWidth="1"/>
  </cols>
  <sheetData>
    <row r="2" spans="1:4" ht="30" customHeight="1">
      <c r="A2" s="1" t="s">
        <v>467</v>
      </c>
      <c r="B2" s="1"/>
      <c r="C2" s="1"/>
      <c r="D2" s="1"/>
    </row>
    <row r="3" spans="1:4">
      <c r="A3" s="2" t="s">
        <v>468</v>
      </c>
      <c r="B3" s="2"/>
      <c r="C3" s="2"/>
      <c r="D3" s="2"/>
    </row>
    <row r="5" spans="1:4" ht="25" customHeight="1">
      <c r="A5" s="9" t="s">
        <v>469</v>
      </c>
      <c r="B5" s="9" t="s">
        <v>470</v>
      </c>
      <c r="C5" s="9" t="s">
        <v>471</v>
      </c>
      <c r="D5" s="9" t="s">
        <v>472</v>
      </c>
    </row>
    <row r="6" spans="1:4">
      <c r="A6" s="7" t="s">
        <v>473</v>
      </c>
      <c r="B6" s="14">
        <v>16500</v>
      </c>
      <c r="C6" s="14">
        <v>21650</v>
      </c>
      <c r="D6" s="14">
        <v>29800</v>
      </c>
    </row>
    <row r="7" spans="1:4">
      <c r="A7" s="7" t="s">
        <v>474</v>
      </c>
      <c r="B7" s="14">
        <v>14200</v>
      </c>
      <c r="C7" s="14">
        <v>16800</v>
      </c>
      <c r="D7" s="14">
        <v>21500</v>
      </c>
    </row>
    <row r="8" spans="1:4">
      <c r="A8" s="7" t="s">
        <v>475</v>
      </c>
      <c r="B8" s="14">
        <v>8500</v>
      </c>
      <c r="C8" s="14">
        <v>9750</v>
      </c>
      <c r="D8" s="14">
        <v>12400</v>
      </c>
    </row>
    <row r="9" spans="1:4">
      <c r="A9" s="7" t="s">
        <v>476</v>
      </c>
      <c r="B9" s="14">
        <v>2200</v>
      </c>
      <c r="C9" s="14">
        <v>2850</v>
      </c>
      <c r="D9" s="14">
        <v>3600</v>
      </c>
    </row>
    <row r="10" spans="1:4">
      <c r="A10" s="7" t="s">
        <v>477</v>
      </c>
      <c r="B10" s="14">
        <v>1450</v>
      </c>
      <c r="C10" s="14">
        <v>1450</v>
      </c>
      <c r="D10" s="14">
        <v>1850</v>
      </c>
    </row>
    <row r="11" spans="1:4">
      <c r="A11" s="16" t="s">
        <v>478</v>
      </c>
      <c r="B11" s="17">
        <f>SUM(B6:B10)</f>
        <v>0</v>
      </c>
      <c r="C11" s="17">
        <f>SUM(C6:C10)</f>
        <v>0</v>
      </c>
      <c r="D11" s="17">
        <f>SUM(D6:D10)</f>
        <v>0</v>
      </c>
    </row>
    <row r="12" spans="1:4">
      <c r="A12" s="7" t="s">
        <v>479</v>
      </c>
      <c r="B12" s="15">
        <f>B11*'Project Info'!F7</f>
        <v>0</v>
      </c>
      <c r="C12" s="15">
        <f>C11*'Project Info'!F7</f>
        <v>0</v>
      </c>
      <c r="D12" s="15">
        <f>D11*'Project Info'!F7</f>
        <v>0</v>
      </c>
    </row>
    <row r="13" spans="1:4">
      <c r="A13" s="7" t="s">
        <v>480</v>
      </c>
      <c r="B13" s="15">
        <f>B11*'Project Info'!F6</f>
        <v>0</v>
      </c>
      <c r="C13" s="15">
        <f>C11*'Project Info'!F6</f>
        <v>0</v>
      </c>
      <c r="D13" s="15">
        <f>D11*'Project Info'!F6</f>
        <v>0</v>
      </c>
    </row>
    <row r="14" spans="1:4">
      <c r="A14" s="16" t="s">
        <v>481</v>
      </c>
      <c r="B14" s="17">
        <f>B11+B12+B13</f>
        <v>0</v>
      </c>
      <c r="C14" s="17">
        <f>C11+C12+C13</f>
        <v>0</v>
      </c>
      <c r="D14" s="17">
        <f>D11+D12+D13</f>
        <v>0</v>
      </c>
    </row>
    <row r="15" spans="1:4">
      <c r="A15" s="7" t="s">
        <v>482</v>
      </c>
      <c r="B15" s="11">
        <v>0.22</v>
      </c>
      <c r="C15" s="11">
        <v>0.2348</v>
      </c>
      <c r="D15" s="11">
        <v>0.25</v>
      </c>
    </row>
    <row r="16" spans="1:4">
      <c r="A16" s="7" t="s">
        <v>483</v>
      </c>
      <c r="B16" s="15">
        <f>B14*B15</f>
        <v>0</v>
      </c>
      <c r="C16" s="15">
        <f>C14*C15</f>
        <v>0</v>
      </c>
      <c r="D16" s="15">
        <f>D14*D15</f>
        <v>0</v>
      </c>
    </row>
    <row r="17" spans="1:4">
      <c r="A17" s="16" t="s">
        <v>484</v>
      </c>
      <c r="B17" s="20">
        <f>B14+B16</f>
        <v>0</v>
      </c>
      <c r="C17" s="20">
        <f>C14+C16</f>
        <v>0</v>
      </c>
      <c r="D17" s="20">
        <f>D14+D16</f>
        <v>0</v>
      </c>
    </row>
    <row r="18" spans="1:4">
      <c r="A18" s="7" t="s">
        <v>485</v>
      </c>
      <c r="B18" s="24">
        <f>IFERROR(B16/B17, 0)</f>
        <v>0</v>
      </c>
      <c r="C18" s="24">
        <f>IFERROR(C16/C17, 0)</f>
        <v>0</v>
      </c>
      <c r="D18" s="24">
        <f>IFERROR(D16/D17, 0)</f>
        <v>0</v>
      </c>
    </row>
  </sheetData>
  <sheetProtection password="EC7C" sheet="1" objects="1" scenarios="1" formatCells="0" formatColumns="0" formatRows="0" insertRows="0" deleteRows="0" sort="0" autoFilter="0"/>
  <mergeCells count="2">
    <mergeCell ref="A2:D2"/>
    <mergeCell ref="A3:D3"/>
  </mergeCells>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64748B"/>
  </sheetPr>
  <dimension ref="A2:J15"/>
  <sheetViews>
    <sheetView workbookViewId="0"/>
  </sheetViews>
  <sheetFormatPr defaultRowHeight="15"/>
  <cols>
    <col min="1" max="1" width="10.7109375" customWidth="1"/>
    <col min="2" max="2" width="12.7109375" customWidth="1"/>
    <col min="3" max="3" width="32.7109375" customWidth="1"/>
    <col min="4" max="4" width="18.7109375" customWidth="1"/>
    <col min="5" max="7" width="16.7109375" customWidth="1"/>
    <col min="8" max="10" width="14.7109375" customWidth="1"/>
  </cols>
  <sheetData>
    <row r="2" spans="1:10" ht="30" customHeight="1">
      <c r="A2" s="1" t="s">
        <v>486</v>
      </c>
      <c r="B2" s="1"/>
      <c r="C2" s="1"/>
      <c r="D2" s="1"/>
      <c r="E2" s="1"/>
      <c r="F2" s="1"/>
      <c r="G2" s="1"/>
      <c r="H2" s="1"/>
      <c r="I2" s="1"/>
      <c r="J2" s="1"/>
    </row>
    <row r="3" spans="1:10">
      <c r="A3" s="2" t="s">
        <v>487</v>
      </c>
      <c r="B3" s="2"/>
      <c r="C3" s="2"/>
      <c r="D3" s="2"/>
      <c r="E3" s="2"/>
      <c r="F3" s="2"/>
      <c r="G3" s="2"/>
      <c r="H3" s="2"/>
      <c r="I3" s="2"/>
      <c r="J3" s="2"/>
    </row>
    <row r="5" spans="1:10" ht="25" customHeight="1">
      <c r="A5" s="9" t="s">
        <v>488</v>
      </c>
      <c r="B5" s="9" t="s">
        <v>489</v>
      </c>
      <c r="C5" s="9" t="s">
        <v>490</v>
      </c>
      <c r="D5" s="9" t="s">
        <v>491</v>
      </c>
      <c r="E5" s="9" t="s">
        <v>492</v>
      </c>
      <c r="F5" s="9" t="s">
        <v>190</v>
      </c>
      <c r="G5" s="9" t="s">
        <v>493</v>
      </c>
      <c r="H5" s="9" t="s">
        <v>494</v>
      </c>
      <c r="I5" s="9" t="s">
        <v>495</v>
      </c>
      <c r="J5" s="9" t="s">
        <v>496</v>
      </c>
    </row>
    <row r="6" spans="1:10">
      <c r="A6" s="6" t="s">
        <v>497</v>
      </c>
      <c r="B6" s="22" t="s">
        <v>498</v>
      </c>
      <c r="C6" s="10" t="s">
        <v>499</v>
      </c>
      <c r="D6" s="10" t="s">
        <v>500</v>
      </c>
      <c r="E6" s="14">
        <v>1200</v>
      </c>
      <c r="F6" s="11">
        <v>0.2</v>
      </c>
      <c r="G6" s="15">
        <f>E6*(1+F6)</f>
        <v>0</v>
      </c>
      <c r="H6" s="6" t="s">
        <v>501</v>
      </c>
      <c r="I6" s="6" t="s">
        <v>502</v>
      </c>
      <c r="J6" s="6" t="s">
        <v>503</v>
      </c>
    </row>
    <row r="7" spans="1:10">
      <c r="A7" s="6" t="s">
        <v>504</v>
      </c>
      <c r="B7" s="22" t="s">
        <v>505</v>
      </c>
      <c r="C7" s="10" t="s">
        <v>506</v>
      </c>
      <c r="D7" s="10" t="s">
        <v>500</v>
      </c>
      <c r="E7" s="14">
        <v>450</v>
      </c>
      <c r="F7" s="11">
        <v>0.25</v>
      </c>
      <c r="G7" s="15">
        <f>E7*(1+F7)</f>
        <v>0</v>
      </c>
      <c r="H7" s="6" t="s">
        <v>507</v>
      </c>
      <c r="I7" s="6" t="s">
        <v>502</v>
      </c>
      <c r="J7" s="6" t="s">
        <v>508</v>
      </c>
    </row>
    <row r="8" spans="1:10">
      <c r="A8" s="6" t="s">
        <v>509</v>
      </c>
      <c r="B8" s="22" t="s">
        <v>510</v>
      </c>
      <c r="C8" s="10" t="s">
        <v>511</v>
      </c>
      <c r="D8" s="10" t="s">
        <v>500</v>
      </c>
      <c r="E8" s="14">
        <v>850</v>
      </c>
      <c r="F8" s="11">
        <v>0.2</v>
      </c>
      <c r="G8" s="15">
        <f>E8*(1+F8)</f>
        <v>0</v>
      </c>
      <c r="H8" s="6" t="s">
        <v>507</v>
      </c>
      <c r="I8" s="6" t="s">
        <v>512</v>
      </c>
      <c r="J8" s="6" t="s">
        <v>253</v>
      </c>
    </row>
    <row r="9" spans="1:10" ht="25" customHeight="1">
      <c r="A9" s="16" t="s">
        <v>513</v>
      </c>
      <c r="B9" s="16"/>
      <c r="C9" s="16"/>
      <c r="D9" s="16"/>
      <c r="E9" s="17">
        <f>SUM(E6:E8)</f>
        <v>0</v>
      </c>
      <c r="F9" s="16"/>
      <c r="G9" s="17">
        <f>SUM(G6:G8)</f>
        <v>0</v>
      </c>
      <c r="H9" s="16"/>
      <c r="I9" s="16"/>
      <c r="J9" s="16"/>
    </row>
    <row r="12" spans="1:10">
      <c r="B12" s="3" t="s">
        <v>514</v>
      </c>
      <c r="C12" s="3"/>
      <c r="D12" s="3"/>
      <c r="E12" s="3"/>
    </row>
    <row r="13" spans="1:10">
      <c r="B13" s="7" t="s">
        <v>515</v>
      </c>
      <c r="C13" s="7"/>
      <c r="D13" s="15">
        <f>'Estimate'!F55</f>
        <v>0</v>
      </c>
    </row>
    <row r="14" spans="1:10">
      <c r="B14" s="7" t="s">
        <v>516</v>
      </c>
      <c r="C14" s="7"/>
      <c r="D14" s="17">
        <f>SUMIF(I6:I8, "Approved", G6:G8)</f>
        <v>0</v>
      </c>
    </row>
    <row r="15" spans="1:10">
      <c r="B15" s="19" t="s">
        <v>517</v>
      </c>
      <c r="C15" s="19"/>
      <c r="D15" s="20">
        <f>D13+D14</f>
        <v>0</v>
      </c>
    </row>
  </sheetData>
  <sheetProtection password="EC7C" sheet="1" objects="1" scenarios="1" formatCells="0" formatColumns="0" formatRows="0" insertRows="0" deleteRows="0" sort="0" autoFilter="0"/>
  <mergeCells count="8">
    <mergeCell ref="A2:J2"/>
    <mergeCell ref="A3:J3"/>
    <mergeCell ref="A9:D9"/>
    <mergeCell ref="H9:J9"/>
    <mergeCell ref="B12:E12"/>
    <mergeCell ref="B13:C13"/>
    <mergeCell ref="B14:C1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64748B"/>
  </sheetPr>
  <dimension ref="A2:H11"/>
  <sheetViews>
    <sheetView workbookViewId="0"/>
  </sheetViews>
  <sheetFormatPr defaultRowHeight="15"/>
  <cols>
    <col min="1" max="1" width="10.7109375" customWidth="1"/>
    <col min="2" max="2" width="32.7109375" customWidth="1"/>
    <col min="3" max="5" width="18.7109375" customWidth="1"/>
    <col min="6" max="8" width="16.7109375" customWidth="1"/>
  </cols>
  <sheetData>
    <row r="2" spans="1:8" ht="30" customHeight="1">
      <c r="A2" s="1" t="s">
        <v>518</v>
      </c>
      <c r="B2" s="1"/>
      <c r="C2" s="1"/>
      <c r="D2" s="1"/>
      <c r="E2" s="1"/>
      <c r="F2" s="1"/>
      <c r="G2" s="1"/>
      <c r="H2" s="1"/>
    </row>
    <row r="3" spans="1:8">
      <c r="A3" s="2" t="s">
        <v>519</v>
      </c>
      <c r="B3" s="2"/>
      <c r="C3" s="2"/>
      <c r="D3" s="2"/>
      <c r="E3" s="2"/>
      <c r="F3" s="2"/>
      <c r="G3" s="2"/>
      <c r="H3" s="2"/>
    </row>
    <row r="5" spans="1:8" ht="25" customHeight="1">
      <c r="A5" s="9" t="s">
        <v>520</v>
      </c>
      <c r="B5" s="9" t="s">
        <v>521</v>
      </c>
      <c r="C5" s="9" t="s">
        <v>522</v>
      </c>
      <c r="D5" s="9" t="s">
        <v>523</v>
      </c>
      <c r="E5" s="9" t="s">
        <v>524</v>
      </c>
      <c r="F5" s="9" t="s">
        <v>525</v>
      </c>
      <c r="G5" s="9" t="s">
        <v>526</v>
      </c>
      <c r="H5" s="9" t="s">
        <v>527</v>
      </c>
    </row>
    <row r="6" spans="1:8">
      <c r="A6" s="8" t="s">
        <v>528</v>
      </c>
      <c r="B6" s="7" t="s">
        <v>529</v>
      </c>
      <c r="C6" s="11">
        <v>0.2</v>
      </c>
      <c r="D6" s="15">
        <f>'Estimate'!$F$55*C6</f>
        <v>0</v>
      </c>
      <c r="E6" s="22" t="s">
        <v>530</v>
      </c>
      <c r="F6" s="6" t="s">
        <v>531</v>
      </c>
      <c r="G6" s="6" t="s">
        <v>530</v>
      </c>
      <c r="H6" s="6" t="s">
        <v>532</v>
      </c>
    </row>
    <row r="7" spans="1:8">
      <c r="A7" s="8" t="s">
        <v>533</v>
      </c>
      <c r="B7" s="7" t="s">
        <v>534</v>
      </c>
      <c r="C7" s="11">
        <v>0.25</v>
      </c>
      <c r="D7" s="15">
        <f>'Estimate'!$F$55*C7</f>
        <v>0</v>
      </c>
      <c r="E7" s="22" t="s">
        <v>510</v>
      </c>
      <c r="F7" s="6" t="s">
        <v>531</v>
      </c>
      <c r="G7" s="6" t="s">
        <v>535</v>
      </c>
      <c r="H7" s="6" t="s">
        <v>536</v>
      </c>
    </row>
    <row r="8" spans="1:8">
      <c r="A8" s="8" t="s">
        <v>537</v>
      </c>
      <c r="B8" s="7" t="s">
        <v>538</v>
      </c>
      <c r="C8" s="11">
        <v>0.25</v>
      </c>
      <c r="D8" s="15">
        <f>'Estimate'!$F$55*C8</f>
        <v>0</v>
      </c>
      <c r="E8" s="22" t="s">
        <v>37</v>
      </c>
      <c r="F8" s="6" t="s">
        <v>512</v>
      </c>
      <c r="G8" s="6" t="s">
        <v>253</v>
      </c>
      <c r="H8" s="6" t="s">
        <v>253</v>
      </c>
    </row>
    <row r="9" spans="1:8">
      <c r="A9" s="8" t="s">
        <v>539</v>
      </c>
      <c r="B9" s="7" t="s">
        <v>540</v>
      </c>
      <c r="C9" s="11">
        <v>0.2</v>
      </c>
      <c r="D9" s="15">
        <f>'Estimate'!$F$55*C9</f>
        <v>0</v>
      </c>
      <c r="E9" s="22" t="s">
        <v>541</v>
      </c>
      <c r="F9" s="6" t="s">
        <v>512</v>
      </c>
      <c r="G9" s="6" t="s">
        <v>253</v>
      </c>
      <c r="H9" s="6" t="s">
        <v>253</v>
      </c>
    </row>
    <row r="10" spans="1:8">
      <c r="A10" s="8" t="s">
        <v>542</v>
      </c>
      <c r="B10" s="7" t="s">
        <v>543</v>
      </c>
      <c r="C10" s="11">
        <v>0.1</v>
      </c>
      <c r="D10" s="15">
        <f>'Estimate'!$F$55*C10</f>
        <v>0</v>
      </c>
      <c r="E10" s="22" t="s">
        <v>544</v>
      </c>
      <c r="F10" s="6" t="s">
        <v>512</v>
      </c>
      <c r="G10" s="6" t="s">
        <v>253</v>
      </c>
      <c r="H10" s="6" t="s">
        <v>253</v>
      </c>
    </row>
    <row r="11" spans="1:8" ht="25" customHeight="1">
      <c r="A11" s="16" t="s">
        <v>545</v>
      </c>
      <c r="B11" s="16"/>
      <c r="C11" s="24">
        <f>SUM(C6:C10)</f>
        <v>0</v>
      </c>
      <c r="D11" s="17">
        <f>SUM(D6:D10)</f>
        <v>0</v>
      </c>
      <c r="E11" s="16"/>
      <c r="F11" s="16"/>
      <c r="G11" s="16"/>
      <c r="H11" s="16"/>
    </row>
  </sheetData>
  <sheetProtection password="EC7C" sheet="1" objects="1" scenarios="1" formatCells="0" formatColumns="0" formatRows="0" insertRows="0" deleteRows="0" sort="0" autoFilter="0"/>
  <mergeCells count="4">
    <mergeCell ref="A2:H2"/>
    <mergeCell ref="A3:H3"/>
    <mergeCell ref="A11:B11"/>
    <mergeCell ref="E11:H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64748B"/>
    <pageSetUpPr fitToPage="1"/>
  </sheetPr>
  <dimension ref="A2:G19"/>
  <sheetViews>
    <sheetView showGridLines="0" workbookViewId="0"/>
  </sheetViews>
  <sheetFormatPr defaultRowHeight="15"/>
  <cols>
    <col min="1" max="1" width="5.7109375" customWidth="1"/>
    <col min="2" max="5" width="20.7109375" customWidth="1"/>
    <col min="6" max="7" width="16.7109375" customWidth="1"/>
  </cols>
  <sheetData>
    <row r="2" spans="2:7" ht="35" customHeight="1">
      <c r="B2" s="30" t="s">
        <v>546</v>
      </c>
      <c r="C2" s="30"/>
      <c r="D2" s="30"/>
      <c r="E2" s="30"/>
      <c r="F2" s="30"/>
      <c r="G2" s="30"/>
    </row>
    <row r="3" spans="2:7">
      <c r="B3" s="31" t="s">
        <v>547</v>
      </c>
      <c r="C3" s="31"/>
      <c r="D3" s="31"/>
      <c r="E3" s="31"/>
      <c r="F3" s="31"/>
      <c r="G3" s="31"/>
    </row>
    <row r="5" spans="2:7">
      <c r="B5" s="3" t="s">
        <v>548</v>
      </c>
      <c r="C5" s="3"/>
      <c r="D5" s="3"/>
      <c r="E5" s="3" t="s">
        <v>549</v>
      </c>
      <c r="F5" s="3"/>
      <c r="G5" s="3"/>
    </row>
    <row r="6" spans="2:7">
      <c r="B6" s="32" t="s">
        <v>360</v>
      </c>
      <c r="C6" s="7">
        <f>'Project Info'!B13</f>
        <v>0</v>
      </c>
      <c r="D6" s="7"/>
      <c r="E6" s="32" t="s">
        <v>550</v>
      </c>
      <c r="F6" s="6" t="s">
        <v>551</v>
      </c>
      <c r="G6" s="6"/>
    </row>
    <row r="7" spans="2:7">
      <c r="B7" s="32" t="s">
        <v>211</v>
      </c>
      <c r="C7" s="7">
        <f>'Project Info'!B5</f>
        <v>0</v>
      </c>
      <c r="D7" s="7"/>
      <c r="E7" s="32" t="s">
        <v>552</v>
      </c>
      <c r="F7" s="6" t="s">
        <v>553</v>
      </c>
      <c r="G7" s="6"/>
    </row>
    <row r="10" spans="2:7">
      <c r="B10" s="9" t="s">
        <v>554</v>
      </c>
      <c r="C10" s="9"/>
      <c r="D10" s="9"/>
      <c r="E10" s="9"/>
      <c r="F10" s="9"/>
      <c r="G10" s="9"/>
    </row>
    <row r="11" spans="2:7" ht="22" customHeight="1">
      <c r="B11" s="7" t="s">
        <v>555</v>
      </c>
      <c r="C11" s="7"/>
      <c r="D11" s="7"/>
      <c r="E11" s="15">
        <f>'Estimate'!F55</f>
        <v>0</v>
      </c>
      <c r="F11" s="15"/>
    </row>
    <row r="12" spans="2:7" ht="22" customHeight="1">
      <c r="B12" s="7" t="s">
        <v>556</v>
      </c>
      <c r="C12" s="7"/>
      <c r="D12" s="7"/>
      <c r="E12" s="15">
        <f>'Change Order Tracker'!D14</f>
        <v>0</v>
      </c>
      <c r="F12" s="15"/>
    </row>
    <row r="13" spans="2:7" ht="22" customHeight="1">
      <c r="B13" s="16" t="s">
        <v>557</v>
      </c>
      <c r="C13" s="16"/>
      <c r="D13" s="16"/>
      <c r="E13" s="17">
        <f>E11+E12</f>
        <v>0</v>
      </c>
      <c r="F13" s="17"/>
    </row>
    <row r="14" spans="2:7" ht="22" customHeight="1">
      <c r="B14" s="7" t="s">
        <v>558</v>
      </c>
      <c r="C14" s="7"/>
      <c r="D14" s="7"/>
      <c r="E14" s="15">
        <f>E13*0.45</f>
        <v>0</v>
      </c>
      <c r="F14" s="15"/>
    </row>
    <row r="15" spans="2:7" ht="22" customHeight="1">
      <c r="B15" s="7" t="s">
        <v>559</v>
      </c>
      <c r="C15" s="7"/>
      <c r="D15" s="7"/>
      <c r="E15" s="15">
        <f>E14*0.05</f>
        <v>0</v>
      </c>
      <c r="F15" s="15"/>
    </row>
    <row r="16" spans="2:7" ht="22" customHeight="1">
      <c r="B16" s="16" t="s">
        <v>560</v>
      </c>
      <c r="C16" s="16"/>
      <c r="D16" s="16"/>
      <c r="E16" s="17">
        <f>E14-E15</f>
        <v>0</v>
      </c>
      <c r="F16" s="17"/>
    </row>
    <row r="17" spans="2:6" ht="22" customHeight="1">
      <c r="B17" s="7" t="s">
        <v>561</v>
      </c>
      <c r="C17" s="7"/>
      <c r="D17" s="7"/>
      <c r="E17" s="15">
        <f>'Payment Schedule'!D6</f>
        <v>0</v>
      </c>
      <c r="F17" s="15"/>
    </row>
    <row r="18" spans="2:6" ht="24" customHeight="1">
      <c r="B18" s="19" t="s">
        <v>562</v>
      </c>
      <c r="C18" s="19"/>
      <c r="D18" s="19"/>
      <c r="E18" s="20">
        <f>E16-E17</f>
        <v>0</v>
      </c>
      <c r="F18" s="20"/>
    </row>
    <row r="19" spans="2:6" ht="22" customHeight="1">
      <c r="B19" s="7" t="s">
        <v>563</v>
      </c>
      <c r="C19" s="7"/>
      <c r="D19" s="7"/>
      <c r="E19" s="17">
        <f>E13-E16</f>
        <v>0</v>
      </c>
      <c r="F19" s="17"/>
    </row>
  </sheetData>
  <sheetProtection password="EC7C" sheet="1" objects="1" scenarios="1" formatCells="0" formatColumns="0" formatRows="0" insertRows="0" deleteRows="0" sort="0" autoFilter="0"/>
  <mergeCells count="27">
    <mergeCell ref="B2:G2"/>
    <mergeCell ref="B3:G3"/>
    <mergeCell ref="B5:D5"/>
    <mergeCell ref="E5:G5"/>
    <mergeCell ref="C6:D6"/>
    <mergeCell ref="F6:G6"/>
    <mergeCell ref="C7:D7"/>
    <mergeCell ref="F7:G7"/>
    <mergeCell ref="B10:G10"/>
    <mergeCell ref="B11:D11"/>
    <mergeCell ref="E11:F11"/>
    <mergeCell ref="B12:D12"/>
    <mergeCell ref="E12:F12"/>
    <mergeCell ref="B13:D13"/>
    <mergeCell ref="E13:F13"/>
    <mergeCell ref="B14:D14"/>
    <mergeCell ref="E14:F14"/>
    <mergeCell ref="B15:D15"/>
    <mergeCell ref="E15:F15"/>
    <mergeCell ref="B16:D16"/>
    <mergeCell ref="E16:F16"/>
    <mergeCell ref="B17:D17"/>
    <mergeCell ref="E17:F17"/>
    <mergeCell ref="B18:D18"/>
    <mergeCell ref="E18:F18"/>
    <mergeCell ref="B19:D19"/>
    <mergeCell ref="E19:F19"/>
  </mergeCells>
  <pageMargins left="0.5" right="0.5" top="0.75" bottom="0.75" header="0.3" footer="0.3"/>
  <pageSetup paperSize="1" fitToHeight="0" orientation="portrait"/>
</worksheet>
</file>

<file path=xl/worksheets/sheet19.xml><?xml version="1.0" encoding="utf-8"?>
<worksheet xmlns="http://schemas.openxmlformats.org/spreadsheetml/2006/main" xmlns:r="http://schemas.openxmlformats.org/officeDocument/2006/relationships">
  <sheetPr>
    <tabColor rgb="FF64748B"/>
  </sheetPr>
  <dimension ref="A2:S17"/>
  <sheetViews>
    <sheetView workbookViewId="0"/>
  </sheetViews>
  <sheetFormatPr defaultRowHeight="15"/>
  <cols>
    <col min="1" max="1" width="8.7109375" customWidth="1"/>
    <col min="2" max="2" width="32.7109375" customWidth="1"/>
    <col min="3" max="4" width="14.7109375" customWidth="1"/>
    <col min="5" max="7" width="12.7109375" customWidth="1"/>
    <col min="8" max="19" width="6.7109375" customWidth="1"/>
  </cols>
  <sheetData>
    <row r="2" spans="1:19" ht="30" customHeight="1">
      <c r="A2" s="1" t="s">
        <v>564</v>
      </c>
      <c r="B2" s="1"/>
      <c r="C2" s="1"/>
      <c r="D2" s="1"/>
      <c r="E2" s="1"/>
      <c r="F2" s="1"/>
      <c r="G2" s="1"/>
      <c r="H2" s="1"/>
      <c r="I2" s="1"/>
      <c r="J2" s="1"/>
      <c r="K2" s="1"/>
      <c r="L2" s="1"/>
      <c r="M2" s="1"/>
      <c r="N2" s="1"/>
      <c r="O2" s="1"/>
      <c r="P2" s="1"/>
      <c r="Q2" s="1"/>
      <c r="R2" s="1"/>
      <c r="S2" s="1"/>
    </row>
    <row r="3" spans="1:19">
      <c r="A3" s="2" t="s">
        <v>565</v>
      </c>
      <c r="B3" s="2"/>
      <c r="C3" s="2"/>
      <c r="D3" s="2"/>
      <c r="E3" s="2"/>
      <c r="F3" s="2"/>
      <c r="G3" s="2"/>
      <c r="H3" s="2"/>
      <c r="I3" s="2"/>
      <c r="J3" s="2"/>
      <c r="K3" s="2"/>
      <c r="L3" s="2"/>
      <c r="M3" s="2"/>
      <c r="N3" s="2"/>
      <c r="O3" s="2"/>
      <c r="P3" s="2"/>
      <c r="Q3" s="2"/>
      <c r="R3" s="2"/>
      <c r="S3" s="2"/>
    </row>
    <row r="5" spans="1:19" ht="25" customHeight="1">
      <c r="A5" s="9" t="s">
        <v>566</v>
      </c>
      <c r="B5" s="9" t="s">
        <v>567</v>
      </c>
      <c r="C5" s="9" t="s">
        <v>568</v>
      </c>
      <c r="D5" s="9" t="s">
        <v>339</v>
      </c>
      <c r="E5" s="9" t="s">
        <v>569</v>
      </c>
      <c r="F5" s="9" t="s">
        <v>570</v>
      </c>
      <c r="G5" s="9" t="s">
        <v>571</v>
      </c>
      <c r="H5" s="9" t="s">
        <v>572</v>
      </c>
      <c r="I5" s="9" t="s">
        <v>573</v>
      </c>
      <c r="J5" s="9" t="s">
        <v>574</v>
      </c>
      <c r="K5" s="9" t="s">
        <v>575</v>
      </c>
      <c r="L5" s="9" t="s">
        <v>576</v>
      </c>
      <c r="M5" s="9" t="s">
        <v>577</v>
      </c>
      <c r="N5" s="9" t="s">
        <v>578</v>
      </c>
      <c r="O5" s="9" t="s">
        <v>579</v>
      </c>
      <c r="P5" s="9" t="s">
        <v>580</v>
      </c>
      <c r="Q5" s="9" t="s">
        <v>581</v>
      </c>
      <c r="R5" s="9" t="s">
        <v>582</v>
      </c>
      <c r="S5" s="9" t="s">
        <v>583</v>
      </c>
    </row>
    <row r="6" spans="1:19">
      <c r="A6" s="8" t="s">
        <v>584</v>
      </c>
      <c r="B6" s="7" t="s">
        <v>585</v>
      </c>
      <c r="C6" s="8" t="s">
        <v>586</v>
      </c>
      <c r="D6" s="6" t="s">
        <v>587</v>
      </c>
      <c r="E6" s="13">
        <v>1</v>
      </c>
      <c r="F6" s="13">
        <v>2</v>
      </c>
      <c r="G6" s="8">
        <f>E6+F6-1</f>
        <v>0</v>
      </c>
      <c r="H6" s="33"/>
      <c r="I6" s="33"/>
      <c r="J6" s="34"/>
      <c r="K6" s="34"/>
      <c r="L6" s="34"/>
      <c r="M6" s="34"/>
      <c r="N6" s="34"/>
      <c r="O6" s="34"/>
      <c r="P6" s="34"/>
      <c r="Q6" s="34"/>
      <c r="R6" s="34"/>
      <c r="S6" s="34"/>
    </row>
    <row r="7" spans="1:19">
      <c r="A7" s="8" t="s">
        <v>588</v>
      </c>
      <c r="B7" s="7" t="s">
        <v>589</v>
      </c>
      <c r="C7" s="8" t="s">
        <v>590</v>
      </c>
      <c r="D7" s="6" t="s">
        <v>587</v>
      </c>
      <c r="E7" s="13">
        <v>2</v>
      </c>
      <c r="F7" s="13">
        <v>1</v>
      </c>
      <c r="G7" s="8">
        <f>E7+F7-1</f>
        <v>0</v>
      </c>
      <c r="H7" s="34"/>
      <c r="I7" s="33"/>
      <c r="J7" s="34"/>
      <c r="K7" s="34"/>
      <c r="L7" s="34"/>
      <c r="M7" s="34"/>
      <c r="N7" s="34"/>
      <c r="O7" s="34"/>
      <c r="P7" s="34"/>
      <c r="Q7" s="34"/>
      <c r="R7" s="34"/>
      <c r="S7" s="34"/>
    </row>
    <row r="8" spans="1:19">
      <c r="A8" s="8" t="s">
        <v>591</v>
      </c>
      <c r="B8" s="7" t="s">
        <v>592</v>
      </c>
      <c r="C8" s="8" t="s">
        <v>593</v>
      </c>
      <c r="D8" s="6" t="s">
        <v>587</v>
      </c>
      <c r="E8" s="13">
        <v>3</v>
      </c>
      <c r="F8" s="13">
        <v>1</v>
      </c>
      <c r="G8" s="8">
        <f>E8+F8-1</f>
        <v>0</v>
      </c>
      <c r="H8" s="34"/>
      <c r="I8" s="34"/>
      <c r="J8" s="33"/>
      <c r="K8" s="34"/>
      <c r="L8" s="34"/>
      <c r="M8" s="34"/>
      <c r="N8" s="34"/>
      <c r="O8" s="34"/>
      <c r="P8" s="34"/>
      <c r="Q8" s="34"/>
      <c r="R8" s="34"/>
      <c r="S8" s="34"/>
    </row>
    <row r="9" spans="1:19">
      <c r="A9" s="8" t="s">
        <v>594</v>
      </c>
      <c r="B9" s="7" t="s">
        <v>595</v>
      </c>
      <c r="C9" s="8" t="s">
        <v>596</v>
      </c>
      <c r="D9" s="6" t="s">
        <v>587</v>
      </c>
      <c r="E9" s="13">
        <v>3</v>
      </c>
      <c r="F9" s="13">
        <v>2</v>
      </c>
      <c r="G9" s="8">
        <f>E9+F9-1</f>
        <v>0</v>
      </c>
      <c r="H9" s="34"/>
      <c r="I9" s="34"/>
      <c r="J9" s="33"/>
      <c r="K9" s="33"/>
      <c r="L9" s="34"/>
      <c r="M9" s="34"/>
      <c r="N9" s="34"/>
      <c r="O9" s="34"/>
      <c r="P9" s="34"/>
      <c r="Q9" s="34"/>
      <c r="R9" s="34"/>
      <c r="S9" s="34"/>
    </row>
    <row r="10" spans="1:19">
      <c r="A10" s="8" t="s">
        <v>597</v>
      </c>
      <c r="B10" s="7" t="s">
        <v>598</v>
      </c>
      <c r="C10" s="8" t="s">
        <v>249</v>
      </c>
      <c r="D10" s="6" t="s">
        <v>587</v>
      </c>
      <c r="E10" s="13">
        <v>5</v>
      </c>
      <c r="F10" s="13">
        <v>1</v>
      </c>
      <c r="G10" s="8">
        <f>E10+F10-1</f>
        <v>0</v>
      </c>
      <c r="H10" s="34"/>
      <c r="I10" s="34"/>
      <c r="J10" s="34"/>
      <c r="K10" s="34"/>
      <c r="L10" s="33"/>
      <c r="M10" s="34"/>
      <c r="N10" s="34"/>
      <c r="O10" s="34"/>
      <c r="P10" s="34"/>
      <c r="Q10" s="34"/>
      <c r="R10" s="34"/>
      <c r="S10" s="34"/>
    </row>
    <row r="11" spans="1:19">
      <c r="A11" s="8" t="s">
        <v>599</v>
      </c>
      <c r="B11" s="7" t="s">
        <v>600</v>
      </c>
      <c r="C11" s="8" t="s">
        <v>422</v>
      </c>
      <c r="D11" s="6" t="s">
        <v>601</v>
      </c>
      <c r="E11" s="13">
        <v>5</v>
      </c>
      <c r="F11" s="13">
        <v>2</v>
      </c>
      <c r="G11" s="8">
        <f>E11+F11-1</f>
        <v>0</v>
      </c>
      <c r="H11" s="34"/>
      <c r="I11" s="34"/>
      <c r="J11" s="34"/>
      <c r="K11" s="34"/>
      <c r="L11" s="33"/>
      <c r="M11" s="33"/>
      <c r="N11" s="34"/>
      <c r="O11" s="34"/>
      <c r="P11" s="34"/>
      <c r="Q11" s="34"/>
      <c r="R11" s="34"/>
      <c r="S11" s="34"/>
    </row>
    <row r="12" spans="1:19">
      <c r="A12" s="8" t="s">
        <v>602</v>
      </c>
      <c r="B12" s="7" t="s">
        <v>143</v>
      </c>
      <c r="C12" s="8" t="s">
        <v>92</v>
      </c>
      <c r="D12" s="6" t="s">
        <v>603</v>
      </c>
      <c r="E12" s="13">
        <v>7</v>
      </c>
      <c r="F12" s="13">
        <v>1</v>
      </c>
      <c r="G12" s="8">
        <f>E12+F12-1</f>
        <v>0</v>
      </c>
      <c r="H12" s="34"/>
      <c r="I12" s="34"/>
      <c r="J12" s="34"/>
      <c r="K12" s="34"/>
      <c r="L12" s="34"/>
      <c r="M12" s="34"/>
      <c r="N12" s="33"/>
      <c r="O12" s="34"/>
      <c r="P12" s="34"/>
      <c r="Q12" s="34"/>
      <c r="R12" s="34"/>
      <c r="S12" s="34"/>
    </row>
    <row r="13" spans="1:19">
      <c r="A13" s="8" t="s">
        <v>604</v>
      </c>
      <c r="B13" s="7" t="s">
        <v>605</v>
      </c>
      <c r="C13" s="8" t="s">
        <v>593</v>
      </c>
      <c r="D13" s="6" t="s">
        <v>603</v>
      </c>
      <c r="E13" s="13">
        <v>8</v>
      </c>
      <c r="F13" s="13">
        <v>2</v>
      </c>
      <c r="G13" s="8">
        <f>E13+F13-1</f>
        <v>0</v>
      </c>
      <c r="H13" s="34"/>
      <c r="I13" s="34"/>
      <c r="J13" s="34"/>
      <c r="K13" s="34"/>
      <c r="L13" s="34"/>
      <c r="M13" s="34"/>
      <c r="N13" s="34"/>
      <c r="O13" s="33"/>
      <c r="P13" s="33"/>
      <c r="Q13" s="34"/>
      <c r="R13" s="34"/>
      <c r="S13" s="34"/>
    </row>
    <row r="14" spans="1:19">
      <c r="A14" s="8" t="s">
        <v>606</v>
      </c>
      <c r="B14" s="7" t="s">
        <v>607</v>
      </c>
      <c r="C14" s="8" t="s">
        <v>608</v>
      </c>
      <c r="D14" s="6" t="s">
        <v>603</v>
      </c>
      <c r="E14" s="13">
        <v>9</v>
      </c>
      <c r="F14" s="13">
        <v>2</v>
      </c>
      <c r="G14" s="8">
        <f>E14+F14-1</f>
        <v>0</v>
      </c>
      <c r="H14" s="34"/>
      <c r="I14" s="34"/>
      <c r="J14" s="34"/>
      <c r="K14" s="34"/>
      <c r="L14" s="34"/>
      <c r="M14" s="34"/>
      <c r="N14" s="34"/>
      <c r="O14" s="34"/>
      <c r="P14" s="33"/>
      <c r="Q14" s="33"/>
      <c r="R14" s="34"/>
      <c r="S14" s="34"/>
    </row>
    <row r="15" spans="1:19">
      <c r="A15" s="8" t="s">
        <v>609</v>
      </c>
      <c r="B15" s="7" t="s">
        <v>610</v>
      </c>
      <c r="C15" s="8" t="s">
        <v>611</v>
      </c>
      <c r="D15" s="6" t="s">
        <v>603</v>
      </c>
      <c r="E15" s="13">
        <v>10</v>
      </c>
      <c r="F15" s="13">
        <v>2</v>
      </c>
      <c r="G15" s="8">
        <f>E15+F15-1</f>
        <v>0</v>
      </c>
      <c r="H15" s="34"/>
      <c r="I15" s="34"/>
      <c r="J15" s="34"/>
      <c r="K15" s="34"/>
      <c r="L15" s="34"/>
      <c r="M15" s="34"/>
      <c r="N15" s="34"/>
      <c r="O15" s="34"/>
      <c r="P15" s="34"/>
      <c r="Q15" s="33"/>
      <c r="R15" s="33"/>
      <c r="S15" s="34"/>
    </row>
    <row r="16" spans="1:19">
      <c r="A16" s="8" t="s">
        <v>612</v>
      </c>
      <c r="B16" s="7" t="s">
        <v>613</v>
      </c>
      <c r="C16" s="8" t="s">
        <v>596</v>
      </c>
      <c r="D16" s="6" t="s">
        <v>603</v>
      </c>
      <c r="E16" s="13">
        <v>11</v>
      </c>
      <c r="F16" s="13">
        <v>1</v>
      </c>
      <c r="G16" s="8">
        <f>E16+F16-1</f>
        <v>0</v>
      </c>
      <c r="H16" s="34"/>
      <c r="I16" s="34"/>
      <c r="J16" s="34"/>
      <c r="K16" s="34"/>
      <c r="L16" s="34"/>
      <c r="M16" s="34"/>
      <c r="N16" s="34"/>
      <c r="O16" s="34"/>
      <c r="P16" s="34"/>
      <c r="Q16" s="34"/>
      <c r="R16" s="33"/>
      <c r="S16" s="34"/>
    </row>
    <row r="17" spans="1:19">
      <c r="A17" s="8" t="s">
        <v>614</v>
      </c>
      <c r="B17" s="7" t="s">
        <v>615</v>
      </c>
      <c r="C17" s="8" t="s">
        <v>586</v>
      </c>
      <c r="D17" s="6" t="s">
        <v>603</v>
      </c>
      <c r="E17" s="13">
        <v>12</v>
      </c>
      <c r="F17" s="13">
        <v>1</v>
      </c>
      <c r="G17" s="8">
        <f>E17+F17-1</f>
        <v>0</v>
      </c>
      <c r="H17" s="34"/>
      <c r="I17" s="34"/>
      <c r="J17" s="34"/>
      <c r="K17" s="34"/>
      <c r="L17" s="34"/>
      <c r="M17" s="34"/>
      <c r="N17" s="34"/>
      <c r="O17" s="34"/>
      <c r="P17" s="34"/>
      <c r="Q17" s="34"/>
      <c r="R17" s="34"/>
      <c r="S17" s="33"/>
    </row>
  </sheetData>
  <sheetProtection password="EC7C" sheet="1" objects="1" scenarios="1" formatCells="0" formatColumns="0" formatRows="0" insertRows="0" deleteRows="0" sort="0" autoFilter="0"/>
  <mergeCells count="2">
    <mergeCell ref="A2:S2"/>
    <mergeCell ref="A3:S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Instructions</vt:lpstr>
      <vt:lpstr>Project Info</vt:lpstr>
      <vt:lpstr>Materials</vt:lpstr>
      <vt:lpstr>Labor</vt:lpstr>
      <vt:lpstr>Equipment</vt:lpstr>
      <vt:lpstr>Subcontractors</vt:lpstr>
      <vt:lpstr>Estimate</vt:lpstr>
      <vt:lpstr>Markup &amp; Margin Calculator</vt:lpstr>
      <vt:lpstr>Job Costing &amp; Actuals</vt:lpstr>
      <vt:lpstr>Summary Dashboard</vt:lpstr>
      <vt:lpstr>Client Proposal</vt:lpstr>
      <vt:lpstr>Terms &amp; Conditions</vt:lpstr>
      <vt:lpstr>Material Price DB</vt:lpstr>
      <vt:lpstr>Labor Rate DB</vt:lpstr>
      <vt:lpstr>Estimate Versions</vt:lpstr>
      <vt:lpstr>Change Order Tracker</vt:lpstr>
      <vt:lpstr>Payment Schedule</vt:lpstr>
      <vt:lpstr>Invoice Summary</vt:lpstr>
      <vt:lpstr>Project Timeline</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Construction Estimate Template Excel | Contractor Bid &amp; Job Costing Spreadsheet, Markup Margin Calculator, Proposal Generator Google Sheets</dc:title>
  <dc:subject>Professional Construction Estimating, Contractor Bid, Job Costing &amp; Profit Margin Template</dc:subject>
  <dc:creator>novality store</dc:creator>
  <cp:keywords>Construction Estimate, Contractor Bid, Job Costing, Markup Calculator, Profit Margin, Proposal Generator, Excel, Google Sheets, novality store</cp:keywords>
  <dc:description>All formula cells are locked with the password premium. Compatible with Microsoft Excel and Google Sheets.</dc:description>
  <cp:lastModifiedBy>novality store</cp:lastModifiedBy>
  <dcterms:created xsi:type="dcterms:W3CDTF">2026-08-15T13:27:02Z</dcterms:created>
  <dcterms:modified xsi:type="dcterms:W3CDTF">2026-08-15T13:27:02Z</dcterms:modified>
  <cp:category>Construction Management &amp; Contractor Spreadsheets</cp:category>
  <cp:contentStatus>Final Commercial Release</cp:contentStatus>
</cp:coreProperties>
</file>